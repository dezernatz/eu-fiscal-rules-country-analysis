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nard.welslau\Code\Lennard Github\eu-debt-sustainability-analysis\latest_version\output\june_update\"/>
    </mc:Choice>
  </mc:AlternateContent>
  <xr:revisionPtr revIDLastSave="0" documentId="13_ncr:1_{0BB8B24B-EE93-4F7F-893C-E616A01679A2}" xr6:coauthVersionLast="47" xr6:coauthVersionMax="47" xr10:uidLastSave="{00000000-0000-0000-0000-000000000000}"/>
  <bookViews>
    <workbookView xWindow="-108" yWindow="-108" windowWidth="23256" windowHeight="12456" tabRatio="815" activeTab="1" xr2:uid="{31272739-6127-420E-9E02-3293C1D47EFD}"/>
  </bookViews>
  <sheets>
    <sheet name="table_all" sheetId="78" r:id="rId1"/>
    <sheet name="table_summary" sheetId="79" r:id="rId2"/>
    <sheet name="results_spb" sheetId="55" r:id="rId3"/>
    <sheet name="ameco_2024_data" sheetId="31" r:id="rId4"/>
  </sheets>
  <externalReferences>
    <externalReference r:id="rId5"/>
  </externalReferences>
  <definedNames>
    <definedName name="_xlnm.Print_Area" localSheetId="0">table_all!$B$3:$AI$35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79" l="1" a="1"/>
  <c r="T9" i="79" s="1"/>
  <c r="S10" i="79" a="1"/>
  <c r="S10" i="79" s="1"/>
  <c r="T10" i="79" a="1"/>
  <c r="T10" i="79" s="1"/>
  <c r="S11" i="79" a="1"/>
  <c r="S11" i="79" s="1"/>
  <c r="T11" i="79" a="1"/>
  <c r="T11" i="79" s="1"/>
  <c r="S12" i="79" a="1"/>
  <c r="S12" i="79" s="1"/>
  <c r="T12" i="79" a="1"/>
  <c r="T12" i="79" s="1"/>
  <c r="S13" i="79" a="1"/>
  <c r="S13" i="79" s="1"/>
  <c r="T13" i="79" a="1"/>
  <c r="T13" i="79"/>
  <c r="S14" i="79" a="1"/>
  <c r="S14" i="79" s="1"/>
  <c r="T14" i="79" a="1"/>
  <c r="T14" i="79" s="1"/>
  <c r="S15" i="79" a="1"/>
  <c r="S15" i="79" s="1"/>
  <c r="T15" i="79" a="1"/>
  <c r="T15" i="79" s="1"/>
  <c r="S16" i="79" a="1"/>
  <c r="S16" i="79" s="1"/>
  <c r="T16" i="79" a="1"/>
  <c r="T16" i="79" s="1"/>
  <c r="S17" i="79" a="1"/>
  <c r="S17" i="79" s="1"/>
  <c r="T17" i="79" a="1"/>
  <c r="T17" i="79"/>
  <c r="S18" i="79" a="1"/>
  <c r="S18" i="79" s="1"/>
  <c r="T18" i="79" a="1"/>
  <c r="T18" i="79" s="1"/>
  <c r="S19" i="79" a="1"/>
  <c r="S19" i="79" s="1"/>
  <c r="T19" i="79" a="1"/>
  <c r="T19" i="79" s="1"/>
  <c r="S20" i="79" a="1"/>
  <c r="S20" i="79" s="1"/>
  <c r="T20" i="79" a="1"/>
  <c r="T20" i="79" s="1"/>
  <c r="S21" i="79" a="1"/>
  <c r="S21" i="79" s="1"/>
  <c r="T21" i="79" a="1"/>
  <c r="T21" i="79"/>
  <c r="S22" i="79" a="1"/>
  <c r="S22" i="79" s="1"/>
  <c r="T22" i="79" a="1"/>
  <c r="T22" i="79" s="1"/>
  <c r="S23" i="79" a="1"/>
  <c r="S23" i="79" s="1"/>
  <c r="T23" i="79" a="1"/>
  <c r="T23" i="79" s="1"/>
  <c r="S24" i="79" a="1"/>
  <c r="S24" i="79" s="1"/>
  <c r="T24" i="79" a="1"/>
  <c r="T24" i="79" s="1"/>
  <c r="S25" i="79" a="1"/>
  <c r="S25" i="79" s="1"/>
  <c r="T25" i="79" a="1"/>
  <c r="T25" i="79"/>
  <c r="S26" i="79" a="1"/>
  <c r="S26" i="79" s="1"/>
  <c r="T26" i="79" a="1"/>
  <c r="T26" i="79" s="1"/>
  <c r="S27" i="79" a="1"/>
  <c r="S27" i="79" s="1"/>
  <c r="T27" i="79" a="1"/>
  <c r="T27" i="79" s="1"/>
  <c r="S28" i="79" a="1"/>
  <c r="S28" i="79" s="1"/>
  <c r="T28" i="79" a="1"/>
  <c r="T28" i="79" s="1"/>
  <c r="S29" i="79" a="1"/>
  <c r="S29" i="79" s="1"/>
  <c r="T29" i="79" a="1"/>
  <c r="T29" i="79" s="1"/>
  <c r="S30" i="79" a="1"/>
  <c r="S30" i="79" s="1"/>
  <c r="T30" i="79" a="1"/>
  <c r="T30" i="79" s="1"/>
  <c r="S31" i="79" a="1"/>
  <c r="S31" i="79" s="1"/>
  <c r="T31" i="79" a="1"/>
  <c r="T31" i="79" s="1"/>
  <c r="S32" i="79" a="1"/>
  <c r="S32" i="79" s="1"/>
  <c r="T32" i="79" a="1"/>
  <c r="T32" i="79" s="1"/>
  <c r="S33" i="79" a="1"/>
  <c r="S33" i="79" s="1"/>
  <c r="T33" i="79" a="1"/>
  <c r="T33" i="79" s="1"/>
  <c r="S34" i="79" a="1"/>
  <c r="S34" i="79" s="1"/>
  <c r="T34" i="79" a="1"/>
  <c r="T34" i="79" s="1"/>
  <c r="S35" i="79" a="1"/>
  <c r="S35" i="79" s="1"/>
  <c r="T35" i="79" a="1"/>
  <c r="T35" i="79" s="1"/>
  <c r="S9" i="79" a="1"/>
  <c r="S9" i="79" s="1"/>
  <c r="Q9" i="79" a="1"/>
  <c r="Q9" i="79" s="1"/>
  <c r="P9" i="79" a="1"/>
  <c r="P9" i="79" s="1"/>
  <c r="A1" i="55" a="1"/>
  <c r="A1" i="55" s="1"/>
  <c r="Q31" i="79" s="1" a="1"/>
  <c r="Q31" i="79" s="1"/>
  <c r="E35" i="79"/>
  <c r="D35" i="79"/>
  <c r="C35" i="79"/>
  <c r="B35" i="79"/>
  <c r="E34" i="79"/>
  <c r="D34" i="79"/>
  <c r="C34" i="79"/>
  <c r="B34" i="79"/>
  <c r="E33" i="79"/>
  <c r="D33" i="79"/>
  <c r="C33" i="79"/>
  <c r="B33" i="79"/>
  <c r="E32" i="79"/>
  <c r="D32" i="79"/>
  <c r="C32" i="79"/>
  <c r="B32" i="79"/>
  <c r="E31" i="79"/>
  <c r="D31" i="79"/>
  <c r="C31" i="79"/>
  <c r="B31" i="79"/>
  <c r="E30" i="79"/>
  <c r="D30" i="79"/>
  <c r="C30" i="79"/>
  <c r="B30" i="79"/>
  <c r="E29" i="79"/>
  <c r="D29" i="79"/>
  <c r="C29" i="79"/>
  <c r="B29" i="79"/>
  <c r="E28" i="79"/>
  <c r="D28" i="79"/>
  <c r="C28" i="79"/>
  <c r="B28" i="79"/>
  <c r="E27" i="79"/>
  <c r="D27" i="79"/>
  <c r="C27" i="79"/>
  <c r="B27" i="79"/>
  <c r="E26" i="79"/>
  <c r="D26" i="79"/>
  <c r="C26" i="79"/>
  <c r="B26" i="79"/>
  <c r="E25" i="79"/>
  <c r="D25" i="79"/>
  <c r="C25" i="79"/>
  <c r="B25" i="79"/>
  <c r="E24" i="79"/>
  <c r="D24" i="79"/>
  <c r="C24" i="79"/>
  <c r="B24" i="79"/>
  <c r="E23" i="79"/>
  <c r="D23" i="79"/>
  <c r="C23" i="79"/>
  <c r="B23" i="79"/>
  <c r="E22" i="79"/>
  <c r="D22" i="79"/>
  <c r="C22" i="79"/>
  <c r="B22" i="79"/>
  <c r="E21" i="79"/>
  <c r="D21" i="79"/>
  <c r="C21" i="79"/>
  <c r="B21" i="79"/>
  <c r="E20" i="79"/>
  <c r="D20" i="79"/>
  <c r="C20" i="79"/>
  <c r="B20" i="79"/>
  <c r="E19" i="79"/>
  <c r="D19" i="79"/>
  <c r="C19" i="79"/>
  <c r="B19" i="79"/>
  <c r="E18" i="79"/>
  <c r="D18" i="79"/>
  <c r="C18" i="79"/>
  <c r="B18" i="79"/>
  <c r="E17" i="79"/>
  <c r="D17" i="79"/>
  <c r="C17" i="79"/>
  <c r="B17" i="79"/>
  <c r="E16" i="79"/>
  <c r="D16" i="79"/>
  <c r="C16" i="79"/>
  <c r="B16" i="79"/>
  <c r="E15" i="79"/>
  <c r="D15" i="79"/>
  <c r="C15" i="79"/>
  <c r="B15" i="79"/>
  <c r="E14" i="79"/>
  <c r="D14" i="79"/>
  <c r="C14" i="79"/>
  <c r="B14" i="79"/>
  <c r="E13" i="79"/>
  <c r="D13" i="79"/>
  <c r="C13" i="79"/>
  <c r="B13" i="79"/>
  <c r="E12" i="79"/>
  <c r="D12" i="79"/>
  <c r="C12" i="79"/>
  <c r="B12" i="79"/>
  <c r="E11" i="79"/>
  <c r="D11" i="79"/>
  <c r="C11" i="79"/>
  <c r="B11" i="79"/>
  <c r="E10" i="79"/>
  <c r="D10" i="79"/>
  <c r="C10" i="79"/>
  <c r="B10" i="79"/>
  <c r="E9" i="79"/>
  <c r="D9" i="79"/>
  <c r="C9" i="79"/>
  <c r="B9" i="79"/>
  <c r="C9" i="78" l="1"/>
  <c r="B9" i="78"/>
  <c r="B10" i="78"/>
  <c r="B11" i="78"/>
  <c r="B12" i="78"/>
  <c r="B13" i="78"/>
  <c r="B14" i="78"/>
  <c r="B15" i="78"/>
  <c r="B16" i="78"/>
  <c r="B17" i="78"/>
  <c r="B18" i="78"/>
  <c r="B19" i="78"/>
  <c r="B20" i="78"/>
  <c r="B21" i="78"/>
  <c r="B22" i="78"/>
  <c r="B23" i="78"/>
  <c r="B24" i="78"/>
  <c r="B25" i="78"/>
  <c r="B26" i="78"/>
  <c r="B27" i="78"/>
  <c r="B28" i="78"/>
  <c r="B29" i="78"/>
  <c r="B30" i="78"/>
  <c r="B31" i="78"/>
  <c r="B32" i="78"/>
  <c r="B33" i="78"/>
  <c r="B34" i="78"/>
  <c r="B35" i="78"/>
  <c r="W20" i="78" l="1" a="1"/>
  <c r="W20" i="78" s="1"/>
  <c r="S19" i="78" a="1"/>
  <c r="S19" i="78" s="1"/>
  <c r="Y18" i="78" a="1"/>
  <c r="Y18" i="78" s="1"/>
  <c r="Z17" i="78" a="1"/>
  <c r="Z17" i="78" s="1"/>
  <c r="V21" i="78" a="1"/>
  <c r="V21" i="78" s="1"/>
  <c r="T16" i="78" a="1"/>
  <c r="T16" i="78" s="1"/>
  <c r="Q23" i="79" a="1"/>
  <c r="Q23" i="79" s="1"/>
  <c r="Q34" i="79" a="1"/>
  <c r="Q34" i="79" s="1"/>
  <c r="P35" i="79" a="1"/>
  <c r="P35" i="79" s="1"/>
  <c r="J9" i="79" a="1"/>
  <c r="J9" i="79" s="1"/>
  <c r="J13" i="79" a="1"/>
  <c r="J13" i="79" s="1"/>
  <c r="J34" i="79" a="1"/>
  <c r="J34" i="79" s="1"/>
  <c r="G30" i="79" a="1"/>
  <c r="G30" i="79" s="1"/>
  <c r="M32" i="79" a="1"/>
  <c r="M32" i="79" s="1"/>
  <c r="G22" i="79" a="1"/>
  <c r="G22" i="79" s="1"/>
  <c r="V22" i="79" s="1"/>
  <c r="Q30" i="79" a="1"/>
  <c r="Q30" i="79" s="1"/>
  <c r="H9" i="79" a="1"/>
  <c r="H9" i="79" s="1"/>
  <c r="K13" i="79" a="1"/>
  <c r="K13" i="79" s="1"/>
  <c r="M17" i="79" a="1"/>
  <c r="M17" i="79" s="1"/>
  <c r="N21" i="79" a="1"/>
  <c r="N21" i="79" s="1"/>
  <c r="N25" i="79" a="1"/>
  <c r="N25" i="79" s="1"/>
  <c r="Q27" i="79" a="1"/>
  <c r="Q27" i="79" s="1"/>
  <c r="Q16" i="79" a="1"/>
  <c r="Q16" i="79" s="1"/>
  <c r="H12" i="79" a="1"/>
  <c r="H12" i="79" s="1"/>
  <c r="G20" i="79" a="1"/>
  <c r="G20" i="79" s="1"/>
  <c r="G24" i="79" a="1"/>
  <c r="G24" i="79" s="1"/>
  <c r="G10" i="79" a="1"/>
  <c r="G10" i="79" s="1"/>
  <c r="G34" i="79" a="1"/>
  <c r="G34" i="79" s="1"/>
  <c r="M34" i="79" a="1"/>
  <c r="M34" i="79" s="1"/>
  <c r="P10" i="79" a="1"/>
  <c r="P10" i="79" s="1"/>
  <c r="G26" i="79" a="1"/>
  <c r="G26" i="79" s="1"/>
  <c r="H11" i="79" a="1"/>
  <c r="H11" i="79" s="1"/>
  <c r="K15" i="79" a="1"/>
  <c r="K15" i="79" s="1"/>
  <c r="M19" i="79" a="1"/>
  <c r="M19" i="79" s="1"/>
  <c r="N23" i="79" a="1"/>
  <c r="N23" i="79" s="1"/>
  <c r="K17" i="79" a="1"/>
  <c r="K17" i="79" s="1"/>
  <c r="J29" i="79" a="1"/>
  <c r="J29" i="79" s="1"/>
  <c r="Q20" i="79" a="1"/>
  <c r="Q20" i="79" s="1"/>
  <c r="Q10" i="79" a="1"/>
  <c r="Q10" i="79" s="1"/>
  <c r="P13" i="79" a="1"/>
  <c r="P13" i="79" s="1"/>
  <c r="J31" i="79" a="1"/>
  <c r="J31" i="79" s="1"/>
  <c r="J35" i="79" a="1"/>
  <c r="J35" i="79" s="1"/>
  <c r="G18" i="79" a="1"/>
  <c r="G18" i="79" s="1"/>
  <c r="H10" i="79" a="1"/>
  <c r="H10" i="79" s="1"/>
  <c r="N10" i="79" a="1"/>
  <c r="N10" i="79" s="1"/>
  <c r="P12" i="79" a="1"/>
  <c r="P12" i="79" s="1"/>
  <c r="G9" i="79" a="1"/>
  <c r="G9" i="79" s="1"/>
  <c r="H13" i="79" a="1"/>
  <c r="H13" i="79" s="1"/>
  <c r="M21" i="79" a="1"/>
  <c r="M21" i="79" s="1"/>
  <c r="K34" i="79" a="1"/>
  <c r="K34" i="79" s="1"/>
  <c r="Q24" i="79" a="1"/>
  <c r="Q24" i="79" s="1"/>
  <c r="Q11" i="79" a="1"/>
  <c r="Q11" i="79" s="1"/>
  <c r="J15" i="79" a="1"/>
  <c r="J15" i="79" s="1"/>
  <c r="P19" i="79" a="1"/>
  <c r="P19" i="79" s="1"/>
  <c r="H34" i="79" a="1"/>
  <c r="H34" i="79" s="1"/>
  <c r="K10" i="79" a="1"/>
  <c r="K10" i="79" s="1"/>
  <c r="H18" i="79" a="1"/>
  <c r="H18" i="79" s="1"/>
  <c r="N12" i="79" a="1"/>
  <c r="N12" i="79" s="1"/>
  <c r="P14" i="79" a="1"/>
  <c r="P14" i="79" s="1"/>
  <c r="G11" i="79" a="1"/>
  <c r="G11" i="79" s="1"/>
  <c r="H15" i="79" a="1"/>
  <c r="H15" i="79" s="1"/>
  <c r="K19" i="79" a="1"/>
  <c r="K19" i="79" s="1"/>
  <c r="M23" i="79" a="1"/>
  <c r="M23" i="79" s="1"/>
  <c r="N27" i="79" a="1"/>
  <c r="N27" i="79" s="1"/>
  <c r="N29" i="79" a="1"/>
  <c r="N29" i="79" s="1"/>
  <c r="P33" i="79" a="1"/>
  <c r="P33" i="79" s="1"/>
  <c r="Q28" i="79" a="1"/>
  <c r="Q28" i="79" s="1"/>
  <c r="Q15" i="79" a="1"/>
  <c r="Q15" i="79" s="1"/>
  <c r="P15" i="79" a="1"/>
  <c r="P15" i="79" s="1"/>
  <c r="J10" i="79" a="1"/>
  <c r="J10" i="79" s="1"/>
  <c r="K12" i="79" a="1"/>
  <c r="K12" i="79" s="1"/>
  <c r="H22" i="79" a="1"/>
  <c r="H22" i="79" s="1"/>
  <c r="N14" i="79" a="1"/>
  <c r="N14" i="79" s="1"/>
  <c r="P16" i="79" a="1"/>
  <c r="P16" i="79" s="1"/>
  <c r="G13" i="79" a="1"/>
  <c r="G13" i="79" s="1"/>
  <c r="H17" i="79" a="1"/>
  <c r="H17" i="79" s="1"/>
  <c r="K21" i="79" a="1"/>
  <c r="K21" i="79" s="1"/>
  <c r="M25" i="79" a="1"/>
  <c r="M25" i="79" s="1"/>
  <c r="M29" i="79" a="1"/>
  <c r="M29" i="79" s="1"/>
  <c r="M30" i="79" a="1"/>
  <c r="M30" i="79" s="1"/>
  <c r="Q32" i="79" a="1"/>
  <c r="Q32" i="79" s="1"/>
  <c r="Q19" i="79" a="1"/>
  <c r="Q19" i="79" s="1"/>
  <c r="G16" i="79" a="1"/>
  <c r="G16" i="79" s="1"/>
  <c r="H20" i="79" a="1"/>
  <c r="H20" i="79" s="1"/>
  <c r="J12" i="79" a="1"/>
  <c r="J12" i="79" s="1"/>
  <c r="K14" i="79" a="1"/>
  <c r="K14" i="79" s="1"/>
  <c r="M10" i="79" a="1"/>
  <c r="M10" i="79" s="1"/>
  <c r="N16" i="79" a="1"/>
  <c r="N16" i="79" s="1"/>
  <c r="P18" i="79" a="1"/>
  <c r="P18" i="79" s="1"/>
  <c r="G15" i="79" a="1"/>
  <c r="G15" i="79" s="1"/>
  <c r="H19" i="79" a="1"/>
  <c r="H19" i="79" s="1"/>
  <c r="K23" i="79" a="1"/>
  <c r="K23" i="79" s="1"/>
  <c r="M27" i="79" a="1"/>
  <c r="M27" i="79" s="1"/>
  <c r="N31" i="79" a="1"/>
  <c r="N31" i="79" s="1"/>
  <c r="N33" i="79" a="1"/>
  <c r="N33" i="79" s="1"/>
  <c r="G14" i="79" a="1"/>
  <c r="G14" i="79" s="1"/>
  <c r="Q21" i="79" a="1"/>
  <c r="Q21" i="79" s="1"/>
  <c r="Q35" i="79" a="1"/>
  <c r="Q35" i="79" s="1"/>
  <c r="H24" i="79" a="1"/>
  <c r="H24" i="79" s="1"/>
  <c r="P31" i="79" a="1"/>
  <c r="P31" i="79" s="1"/>
  <c r="J14" i="79" a="1"/>
  <c r="J14" i="79" s="1"/>
  <c r="K16" i="79" a="1"/>
  <c r="K16" i="79" s="1"/>
  <c r="M12" i="79" a="1"/>
  <c r="M12" i="79" s="1"/>
  <c r="N18" i="79" a="1"/>
  <c r="N18" i="79" s="1"/>
  <c r="P20" i="79" a="1"/>
  <c r="P20" i="79" s="1"/>
  <c r="G17" i="79" a="1"/>
  <c r="G17" i="79" s="1"/>
  <c r="H21" i="79" a="1"/>
  <c r="H21" i="79" s="1"/>
  <c r="K25" i="79" a="1"/>
  <c r="K25" i="79" s="1"/>
  <c r="G31" i="79" a="1"/>
  <c r="G31" i="79" s="1"/>
  <c r="K11" i="79" a="1"/>
  <c r="K11" i="79" s="1"/>
  <c r="Q25" i="79" a="1"/>
  <c r="Q25" i="79" s="1"/>
  <c r="Q12" i="79" a="1"/>
  <c r="Q12" i="79" s="1"/>
  <c r="J25" i="79" a="1"/>
  <c r="J25" i="79" s="1"/>
  <c r="J11" i="79" a="1"/>
  <c r="J11" i="79" s="1"/>
  <c r="J16" i="79" a="1"/>
  <c r="J16" i="79" s="1"/>
  <c r="K18" i="79" a="1"/>
  <c r="K18" i="79" s="1"/>
  <c r="M14" i="79" a="1"/>
  <c r="M14" i="79" s="1"/>
  <c r="N20" i="79" a="1"/>
  <c r="N20" i="79" s="1"/>
  <c r="P22" i="79" a="1"/>
  <c r="P22" i="79" s="1"/>
  <c r="G19" i="79" a="1"/>
  <c r="G19" i="79" s="1"/>
  <c r="H23" i="79" a="1"/>
  <c r="H23" i="79" s="1"/>
  <c r="K27" i="79" a="1"/>
  <c r="K27" i="79" s="1"/>
  <c r="M31" i="79" a="1"/>
  <c r="M31" i="79" s="1"/>
  <c r="N35" i="79" a="1"/>
  <c r="N35" i="79" s="1"/>
  <c r="M11" i="79" a="1"/>
  <c r="M11" i="79" s="1"/>
  <c r="M15" i="79" a="1"/>
  <c r="M15" i="79" s="1"/>
  <c r="Q29" i="79" a="1"/>
  <c r="Q29" i="79" s="1"/>
  <c r="Q17" i="79" a="1"/>
  <c r="Q17" i="79" s="1"/>
  <c r="P25" i="79" a="1"/>
  <c r="P25" i="79" s="1"/>
  <c r="J21" i="79" a="1"/>
  <c r="J21" i="79" s="1"/>
  <c r="J18" i="79" a="1"/>
  <c r="J18" i="79" s="1"/>
  <c r="K20" i="79" a="1"/>
  <c r="K20" i="79" s="1"/>
  <c r="M16" i="79" a="1"/>
  <c r="M16" i="79" s="1"/>
  <c r="N22" i="79" a="1"/>
  <c r="N22" i="79" s="1"/>
  <c r="P24" i="79" a="1"/>
  <c r="P24" i="79" s="1"/>
  <c r="G21" i="79" a="1"/>
  <c r="G21" i="79" s="1"/>
  <c r="H25" i="79" a="1"/>
  <c r="H25" i="79" s="1"/>
  <c r="K29" i="79" a="1"/>
  <c r="K29" i="79" s="1"/>
  <c r="M33" i="79" a="1"/>
  <c r="M33" i="79" s="1"/>
  <c r="K30" i="79" a="1"/>
  <c r="K30" i="79" s="1"/>
  <c r="P23" i="79" a="1"/>
  <c r="P23" i="79" s="1"/>
  <c r="Q33" i="79" a="1"/>
  <c r="Q33" i="79" s="1"/>
  <c r="Q18" i="79" a="1"/>
  <c r="Q18" i="79" s="1"/>
  <c r="J27" i="79" a="1"/>
  <c r="J27" i="79" s="1"/>
  <c r="G32" i="79" a="1"/>
  <c r="G32" i="79" s="1"/>
  <c r="J20" i="79" a="1"/>
  <c r="J20" i="79" s="1"/>
  <c r="K22" i="79" a="1"/>
  <c r="K22" i="79" s="1"/>
  <c r="M18" i="79" a="1"/>
  <c r="M18" i="79" s="1"/>
  <c r="N24" i="79" a="1"/>
  <c r="N24" i="79" s="1"/>
  <c r="P26" i="79" a="1"/>
  <c r="P26" i="79" s="1"/>
  <c r="G23" i="79" a="1"/>
  <c r="G23" i="79" s="1"/>
  <c r="H27" i="79" a="1"/>
  <c r="H27" i="79" s="1"/>
  <c r="K31" i="79" a="1"/>
  <c r="K31" i="79" s="1"/>
  <c r="M35" i="79" a="1"/>
  <c r="M35" i="79" s="1"/>
  <c r="N13" i="79" a="1"/>
  <c r="N13" i="79" s="1"/>
  <c r="H35" i="79" a="1"/>
  <c r="H35" i="79" s="1"/>
  <c r="Q22" i="79" a="1"/>
  <c r="Q22" i="79" s="1"/>
  <c r="H16" i="79" a="1"/>
  <c r="H16" i="79" s="1"/>
  <c r="P11" i="79" a="1"/>
  <c r="P11" i="79" s="1"/>
  <c r="J22" i="79" a="1"/>
  <c r="J22" i="79" s="1"/>
  <c r="K24" i="79" a="1"/>
  <c r="K24" i="79" s="1"/>
  <c r="M20" i="79" a="1"/>
  <c r="M20" i="79" s="1"/>
  <c r="N26" i="79" a="1"/>
  <c r="N26" i="79" s="1"/>
  <c r="P28" i="79" a="1"/>
  <c r="P28" i="79" s="1"/>
  <c r="G25" i="79" a="1"/>
  <c r="G25" i="79" s="1"/>
  <c r="V25" i="79" s="1"/>
  <c r="H29" i="79" a="1"/>
  <c r="H29" i="79" s="1"/>
  <c r="K33" i="79" a="1"/>
  <c r="K33" i="79" s="1"/>
  <c r="N9" i="79" a="1"/>
  <c r="N9" i="79" s="1"/>
  <c r="M26" i="79" a="1"/>
  <c r="M26" i="79" s="1"/>
  <c r="J32" i="79" a="1"/>
  <c r="J32" i="79" s="1"/>
  <c r="Q13" i="79" a="1"/>
  <c r="Q13" i="79" s="1"/>
  <c r="G28" i="79" a="1"/>
  <c r="G28" i="79" s="1"/>
  <c r="P27" i="79" a="1"/>
  <c r="P27" i="79" s="1"/>
  <c r="P21" i="79" a="1"/>
  <c r="P21" i="79" s="1"/>
  <c r="J24" i="79" a="1"/>
  <c r="J24" i="79" s="1"/>
  <c r="K26" i="79" a="1"/>
  <c r="K26" i="79" s="1"/>
  <c r="M22" i="79" a="1"/>
  <c r="M22" i="79" s="1"/>
  <c r="N28" i="79" a="1"/>
  <c r="N28" i="79" s="1"/>
  <c r="P30" i="79" a="1"/>
  <c r="P30" i="79" s="1"/>
  <c r="G27" i="79" a="1"/>
  <c r="G27" i="79" s="1"/>
  <c r="H31" i="79" a="1"/>
  <c r="H31" i="79" s="1"/>
  <c r="W31" i="79" s="1"/>
  <c r="K35" i="79" a="1"/>
  <c r="K35" i="79" s="1"/>
  <c r="N11" i="79" a="1"/>
  <c r="N11" i="79" s="1"/>
  <c r="N32" i="79" a="1"/>
  <c r="N32" i="79" s="1"/>
  <c r="G35" i="79" a="1"/>
  <c r="G35" i="79" s="1"/>
  <c r="H26" i="79" a="1"/>
  <c r="H26" i="79" s="1"/>
  <c r="H28" i="79" a="1"/>
  <c r="H28" i="79" s="1"/>
  <c r="J17" i="79" a="1"/>
  <c r="J17" i="79" s="1"/>
  <c r="G12" i="79" a="1"/>
  <c r="G12" i="79" s="1"/>
  <c r="J26" i="79" a="1"/>
  <c r="J26" i="79" s="1"/>
  <c r="K28" i="79" a="1"/>
  <c r="K28" i="79" s="1"/>
  <c r="M24" i="79" a="1"/>
  <c r="M24" i="79" s="1"/>
  <c r="N30" i="79" a="1"/>
  <c r="N30" i="79" s="1"/>
  <c r="P32" i="79" a="1"/>
  <c r="P32" i="79" s="1"/>
  <c r="G29" i="79" a="1"/>
  <c r="G29" i="79" s="1"/>
  <c r="H33" i="79" a="1"/>
  <c r="H33" i="79" s="1"/>
  <c r="M9" i="79" a="1"/>
  <c r="M9" i="79" s="1"/>
  <c r="P34" i="79" a="1"/>
  <c r="P34" i="79" s="1"/>
  <c r="Q26" i="79" a="1"/>
  <c r="Q26" i="79" s="1"/>
  <c r="H30" i="79" a="1"/>
  <c r="H30" i="79" s="1"/>
  <c r="P29" i="79" a="1"/>
  <c r="P29" i="79" s="1"/>
  <c r="P17" i="79" a="1"/>
  <c r="P17" i="79" s="1"/>
  <c r="J23" i="79" a="1"/>
  <c r="J23" i="79" s="1"/>
  <c r="J28" i="79" a="1"/>
  <c r="J28" i="79" s="1"/>
  <c r="N15" i="79" a="1"/>
  <c r="N15" i="79" s="1"/>
  <c r="H32" i="79" a="1"/>
  <c r="H32" i="79" s="1"/>
  <c r="J19" i="79" a="1"/>
  <c r="J19" i="79" s="1"/>
  <c r="J33" i="79" a="1"/>
  <c r="J33" i="79" s="1"/>
  <c r="J30" i="79" a="1"/>
  <c r="J30" i="79" s="1"/>
  <c r="K32" i="79" a="1"/>
  <c r="K32" i="79" s="1"/>
  <c r="M28" i="79" a="1"/>
  <c r="M28" i="79" s="1"/>
  <c r="N34" i="79" a="1"/>
  <c r="N34" i="79" s="1"/>
  <c r="Q14" i="79" a="1"/>
  <c r="Q14" i="79" s="1"/>
  <c r="G33" i="79" a="1"/>
  <c r="G33" i="79" s="1"/>
  <c r="K9" i="79" a="1"/>
  <c r="K9" i="79" s="1"/>
  <c r="M13" i="79" a="1"/>
  <c r="M13" i="79" s="1"/>
  <c r="N17" i="79" a="1"/>
  <c r="N17" i="79" s="1"/>
  <c r="H14" i="79" a="1"/>
  <c r="H14" i="79" s="1"/>
  <c r="W14" i="79" s="1"/>
  <c r="N19" i="79" a="1"/>
  <c r="N19" i="79" s="1"/>
  <c r="Z15" i="78" a="1"/>
  <c r="Z15" i="78" s="1"/>
  <c r="S35" i="78" a="1"/>
  <c r="S35" i="78" s="1"/>
  <c r="AC14" i="78" a="1"/>
  <c r="AC14" i="78" s="1"/>
  <c r="T32" i="78" a="1"/>
  <c r="T32" i="78" s="1"/>
  <c r="V13" i="78" a="1"/>
  <c r="V13" i="78" s="1"/>
  <c r="AC30" i="78" a="1"/>
  <c r="AC30" i="78" s="1"/>
  <c r="W12" i="78" a="1"/>
  <c r="W12" i="78" s="1"/>
  <c r="W28" i="78" a="1"/>
  <c r="W28" i="78" s="1"/>
  <c r="W11" i="78" a="1"/>
  <c r="W11" i="78" s="1"/>
  <c r="W27" i="78" a="1"/>
  <c r="W27" i="78" s="1"/>
  <c r="Y10" i="78" a="1"/>
  <c r="Y10" i="78" s="1"/>
  <c r="Z33" i="78" a="1"/>
  <c r="Z33" i="78" s="1"/>
  <c r="Z25" i="78" a="1"/>
  <c r="Z25" i="78" s="1"/>
  <c r="Z9" i="78" a="1"/>
  <c r="Z9" i="78" s="1"/>
  <c r="S34" i="78" a="1"/>
  <c r="S34" i="78" s="1"/>
  <c r="Y26" i="78" a="1"/>
  <c r="Y26" i="78" s="1"/>
  <c r="Z24" i="78" a="1"/>
  <c r="Z24" i="78" s="1"/>
  <c r="V29" i="78" a="1"/>
  <c r="V29" i="78" s="1"/>
  <c r="Z23" i="78" a="1"/>
  <c r="Z23" i="78" s="1"/>
  <c r="J28" i="78" a="1"/>
  <c r="J28" i="78" s="1"/>
  <c r="T31" i="78" a="1"/>
  <c r="T31" i="78" s="1"/>
  <c r="AC22" i="78" a="1"/>
  <c r="AC22" i="78" s="1"/>
  <c r="P12" i="78" a="1"/>
  <c r="P12" i="78" s="1"/>
  <c r="Q12" i="78" a="1"/>
  <c r="Q12" i="78" s="1"/>
  <c r="P16" i="78" a="1"/>
  <c r="P16" i="78" s="1"/>
  <c r="Q16" i="78" a="1"/>
  <c r="Q16" i="78" s="1"/>
  <c r="P20" i="78" a="1"/>
  <c r="P20" i="78" s="1"/>
  <c r="Q20" i="78" a="1"/>
  <c r="Q20" i="78" s="1"/>
  <c r="P24" i="78" a="1"/>
  <c r="P24" i="78" s="1"/>
  <c r="P28" i="78" a="1"/>
  <c r="P28" i="78" s="1"/>
  <c r="P32" i="78" a="1"/>
  <c r="P32" i="78" s="1"/>
  <c r="M12" i="78" a="1"/>
  <c r="M12" i="78" s="1"/>
  <c r="K22" i="78" a="1"/>
  <c r="K22" i="78" s="1"/>
  <c r="Q24" i="78" a="1"/>
  <c r="Q24" i="78" s="1"/>
  <c r="Q28" i="78" a="1"/>
  <c r="Q28" i="78" s="1"/>
  <c r="Q32" i="78" a="1"/>
  <c r="Q32" i="78" s="1"/>
  <c r="M16" i="78" a="1"/>
  <c r="M16" i="78" s="1"/>
  <c r="J32" i="78" a="1"/>
  <c r="J32" i="78" s="1"/>
  <c r="M24" i="78" a="1"/>
  <c r="M24" i="78" s="1"/>
  <c r="P9" i="78" a="1"/>
  <c r="P9" i="78" s="1"/>
  <c r="P13" i="78" a="1"/>
  <c r="P13" i="78" s="1"/>
  <c r="P17" i="78" a="1"/>
  <c r="P17" i="78" s="1"/>
  <c r="P21" i="78" a="1"/>
  <c r="P21" i="78" s="1"/>
  <c r="P25" i="78" a="1"/>
  <c r="P25" i="78" s="1"/>
  <c r="P29" i="78" a="1"/>
  <c r="P29" i="78" s="1"/>
  <c r="P33" i="78" a="1"/>
  <c r="P33" i="78" s="1"/>
  <c r="N24" i="78" a="1"/>
  <c r="N24" i="78" s="1"/>
  <c r="J9" i="78" a="1"/>
  <c r="J9" i="78" s="1"/>
  <c r="Q9" i="78" a="1"/>
  <c r="Q9" i="78" s="1"/>
  <c r="Q13" i="78" a="1"/>
  <c r="Q13" i="78" s="1"/>
  <c r="Q17" i="78" a="1"/>
  <c r="Q17" i="78" s="1"/>
  <c r="Q21" i="78" a="1"/>
  <c r="Q21" i="78" s="1"/>
  <c r="Q25" i="78" a="1"/>
  <c r="Q25" i="78" s="1"/>
  <c r="Q29" i="78" a="1"/>
  <c r="Q29" i="78" s="1"/>
  <c r="Q33" i="78" a="1"/>
  <c r="Q33" i="78" s="1"/>
  <c r="J24" i="78" a="1"/>
  <c r="J24" i="78" s="1"/>
  <c r="K10" i="78" a="1"/>
  <c r="K10" i="78" s="1"/>
  <c r="J11" i="78" a="1"/>
  <c r="J11" i="78" s="1"/>
  <c r="P10" i="78" a="1"/>
  <c r="P10" i="78" s="1"/>
  <c r="P14" i="78" a="1"/>
  <c r="P14" i="78" s="1"/>
  <c r="P18" i="78" a="1"/>
  <c r="P18" i="78" s="1"/>
  <c r="P22" i="78" a="1"/>
  <c r="P22" i="78" s="1"/>
  <c r="P26" i="78" a="1"/>
  <c r="P26" i="78" s="1"/>
  <c r="P30" i="78" a="1"/>
  <c r="P30" i="78" s="1"/>
  <c r="P34" i="78" a="1"/>
  <c r="P34" i="78" s="1"/>
  <c r="J12" i="78" a="1"/>
  <c r="J12" i="78" s="1"/>
  <c r="K14" i="78" a="1"/>
  <c r="K14" i="78" s="1"/>
  <c r="Q10" i="78" a="1"/>
  <c r="Q10" i="78" s="1"/>
  <c r="Q14" i="78" a="1"/>
  <c r="Q14" i="78" s="1"/>
  <c r="Q18" i="78" a="1"/>
  <c r="Q18" i="78" s="1"/>
  <c r="Q22" i="78" a="1"/>
  <c r="Q22" i="78" s="1"/>
  <c r="Q26" i="78" a="1"/>
  <c r="Q26" i="78" s="1"/>
  <c r="Q30" i="78" a="1"/>
  <c r="Q30" i="78" s="1"/>
  <c r="Q34" i="78" a="1"/>
  <c r="Q34" i="78" s="1"/>
  <c r="J15" i="78" a="1"/>
  <c r="J15" i="78" s="1"/>
  <c r="J16" i="78" a="1"/>
  <c r="J16" i="78" s="1"/>
  <c r="P11" i="78" a="1"/>
  <c r="P11" i="78" s="1"/>
  <c r="P15" i="78" a="1"/>
  <c r="P15" i="78" s="1"/>
  <c r="P19" i="78" a="1"/>
  <c r="P19" i="78" s="1"/>
  <c r="P23" i="78" a="1"/>
  <c r="P23" i="78" s="1"/>
  <c r="P27" i="78" a="1"/>
  <c r="P27" i="78" s="1"/>
  <c r="P31" i="78" a="1"/>
  <c r="P31" i="78" s="1"/>
  <c r="P35" i="78" a="1"/>
  <c r="P35" i="78" s="1"/>
  <c r="K18" i="78" a="1"/>
  <c r="K18" i="78" s="1"/>
  <c r="J19" i="78" a="1"/>
  <c r="J19" i="78" s="1"/>
  <c r="Q11" i="78" a="1"/>
  <c r="Q11" i="78" s="1"/>
  <c r="Q15" i="78" a="1"/>
  <c r="Q15" i="78" s="1"/>
  <c r="Q19" i="78" a="1"/>
  <c r="Q19" i="78" s="1"/>
  <c r="Q23" i="78" a="1"/>
  <c r="Q23" i="78" s="1"/>
  <c r="Q27" i="78" a="1"/>
  <c r="Q27" i="78" s="1"/>
  <c r="Q31" i="78" a="1"/>
  <c r="Q31" i="78" s="1"/>
  <c r="Q35" i="78" a="1"/>
  <c r="Q35" i="78" s="1"/>
  <c r="J20" i="78" a="1"/>
  <c r="J20" i="78" s="1"/>
  <c r="M28" i="78" a="1"/>
  <c r="M28" i="78" s="1"/>
  <c r="K12" i="78" a="1"/>
  <c r="K12" i="78" s="1"/>
  <c r="K16" i="78" a="1"/>
  <c r="K16" i="78" s="1"/>
  <c r="K20" i="78" a="1"/>
  <c r="K20" i="78" s="1"/>
  <c r="K24" i="78" a="1"/>
  <c r="K24" i="78" s="1"/>
  <c r="K28" i="78" a="1"/>
  <c r="K28" i="78" s="1"/>
  <c r="K32" i="78" a="1"/>
  <c r="K32" i="78" s="1"/>
  <c r="M32" i="78" a="1"/>
  <c r="M32" i="78" s="1"/>
  <c r="J13" i="78" a="1"/>
  <c r="J13" i="78" s="1"/>
  <c r="J17" i="78" a="1"/>
  <c r="J17" i="78" s="1"/>
  <c r="J21" i="78" a="1"/>
  <c r="J21" i="78" s="1"/>
  <c r="J25" i="78" a="1"/>
  <c r="J25" i="78" s="1"/>
  <c r="J29" i="78" a="1"/>
  <c r="J29" i="78" s="1"/>
  <c r="J33" i="78" a="1"/>
  <c r="J33" i="78" s="1"/>
  <c r="K9" i="78" a="1"/>
  <c r="K9" i="78" s="1"/>
  <c r="K13" i="78" a="1"/>
  <c r="K13" i="78" s="1"/>
  <c r="K17" i="78" a="1"/>
  <c r="K17" i="78" s="1"/>
  <c r="K21" i="78" a="1"/>
  <c r="K21" i="78" s="1"/>
  <c r="K25" i="78" a="1"/>
  <c r="K25" i="78" s="1"/>
  <c r="K29" i="78" a="1"/>
  <c r="K29" i="78" s="1"/>
  <c r="K33" i="78" a="1"/>
  <c r="K33" i="78" s="1"/>
  <c r="J10" i="78" a="1"/>
  <c r="J10" i="78" s="1"/>
  <c r="J14" i="78" a="1"/>
  <c r="J14" i="78" s="1"/>
  <c r="J18" i="78" a="1"/>
  <c r="J18" i="78" s="1"/>
  <c r="J22" i="78" a="1"/>
  <c r="J22" i="78" s="1"/>
  <c r="J26" i="78" a="1"/>
  <c r="J26" i="78" s="1"/>
  <c r="J30" i="78" a="1"/>
  <c r="J30" i="78" s="1"/>
  <c r="J34" i="78" a="1"/>
  <c r="J34" i="78" s="1"/>
  <c r="K26" i="78" a="1"/>
  <c r="K26" i="78" s="1"/>
  <c r="K30" i="78" a="1"/>
  <c r="K30" i="78" s="1"/>
  <c r="K34" i="78" a="1"/>
  <c r="K34" i="78" s="1"/>
  <c r="N12" i="78" a="1"/>
  <c r="N12" i="78" s="1"/>
  <c r="J23" i="78" a="1"/>
  <c r="J23" i="78" s="1"/>
  <c r="J27" i="78" a="1"/>
  <c r="J27" i="78" s="1"/>
  <c r="J31" i="78" a="1"/>
  <c r="J31" i="78" s="1"/>
  <c r="J35" i="78" a="1"/>
  <c r="J35" i="78" s="1"/>
  <c r="N16" i="78" a="1"/>
  <c r="N16" i="78" s="1"/>
  <c r="M20" i="78" a="1"/>
  <c r="M20" i="78" s="1"/>
  <c r="K11" i="78" a="1"/>
  <c r="K11" i="78" s="1"/>
  <c r="K15" i="78" a="1"/>
  <c r="K15" i="78" s="1"/>
  <c r="K19" i="78" a="1"/>
  <c r="K19" i="78" s="1"/>
  <c r="K23" i="78" a="1"/>
  <c r="K23" i="78" s="1"/>
  <c r="K27" i="78" a="1"/>
  <c r="K27" i="78" s="1"/>
  <c r="K31" i="78" a="1"/>
  <c r="K31" i="78" s="1"/>
  <c r="K35" i="78" a="1"/>
  <c r="K35" i="78" s="1"/>
  <c r="N20" i="78" a="1"/>
  <c r="N20" i="78" s="1"/>
  <c r="N32" i="78" a="1"/>
  <c r="N32" i="78" s="1"/>
  <c r="N28" i="78" a="1"/>
  <c r="N28" i="78" s="1"/>
  <c r="M9" i="78" a="1"/>
  <c r="M9" i="78" s="1"/>
  <c r="M13" i="78" a="1"/>
  <c r="M13" i="78" s="1"/>
  <c r="M17" i="78" a="1"/>
  <c r="M17" i="78" s="1"/>
  <c r="M21" i="78" a="1"/>
  <c r="M21" i="78" s="1"/>
  <c r="M25" i="78" a="1"/>
  <c r="M25" i="78" s="1"/>
  <c r="M29" i="78" a="1"/>
  <c r="M29" i="78" s="1"/>
  <c r="M33" i="78" a="1"/>
  <c r="M33" i="78" s="1"/>
  <c r="N9" i="78" a="1"/>
  <c r="N9" i="78" s="1"/>
  <c r="N13" i="78" a="1"/>
  <c r="N13" i="78" s="1"/>
  <c r="N17" i="78" a="1"/>
  <c r="N17" i="78" s="1"/>
  <c r="N21" i="78" a="1"/>
  <c r="N21" i="78" s="1"/>
  <c r="N25" i="78" a="1"/>
  <c r="N25" i="78" s="1"/>
  <c r="N29" i="78" a="1"/>
  <c r="N29" i="78" s="1"/>
  <c r="N33" i="78" a="1"/>
  <c r="N33" i="78" s="1"/>
  <c r="M10" i="78" a="1"/>
  <c r="M10" i="78" s="1"/>
  <c r="M14" i="78" a="1"/>
  <c r="M14" i="78" s="1"/>
  <c r="M18" i="78" a="1"/>
  <c r="M18" i="78" s="1"/>
  <c r="M22" i="78" a="1"/>
  <c r="M22" i="78" s="1"/>
  <c r="M26" i="78" a="1"/>
  <c r="M26" i="78" s="1"/>
  <c r="M30" i="78" a="1"/>
  <c r="M30" i="78" s="1"/>
  <c r="M34" i="78" a="1"/>
  <c r="M34" i="78" s="1"/>
  <c r="N10" i="78" a="1"/>
  <c r="N10" i="78" s="1"/>
  <c r="N14" i="78" a="1"/>
  <c r="N14" i="78" s="1"/>
  <c r="N18" i="78" a="1"/>
  <c r="N18" i="78" s="1"/>
  <c r="N22" i="78" a="1"/>
  <c r="N22" i="78" s="1"/>
  <c r="N26" i="78" a="1"/>
  <c r="N26" i="78" s="1"/>
  <c r="N30" i="78" a="1"/>
  <c r="N30" i="78" s="1"/>
  <c r="N34" i="78" a="1"/>
  <c r="N34" i="78" s="1"/>
  <c r="M11" i="78" a="1"/>
  <c r="M11" i="78" s="1"/>
  <c r="M15" i="78" a="1"/>
  <c r="M15" i="78" s="1"/>
  <c r="M19" i="78" a="1"/>
  <c r="M19" i="78" s="1"/>
  <c r="M23" i="78" a="1"/>
  <c r="M23" i="78" s="1"/>
  <c r="M27" i="78" a="1"/>
  <c r="M27" i="78" s="1"/>
  <c r="M31" i="78" a="1"/>
  <c r="M31" i="78" s="1"/>
  <c r="M35" i="78" a="1"/>
  <c r="M35" i="78" s="1"/>
  <c r="N11" i="78" a="1"/>
  <c r="N11" i="78" s="1"/>
  <c r="N15" i="78" a="1"/>
  <c r="N15" i="78" s="1"/>
  <c r="N19" i="78" a="1"/>
  <c r="N19" i="78" s="1"/>
  <c r="N23" i="78" a="1"/>
  <c r="N23" i="78" s="1"/>
  <c r="N27" i="78" a="1"/>
  <c r="N27" i="78" s="1"/>
  <c r="N31" i="78" a="1"/>
  <c r="N31" i="78" s="1"/>
  <c r="N35" i="78" a="1"/>
  <c r="N35" i="78" s="1"/>
  <c r="AC23" i="78" a="1"/>
  <c r="AC23" i="78" s="1"/>
  <c r="G16" i="78" a="1"/>
  <c r="G16" i="78" s="1"/>
  <c r="H16" i="78" a="1"/>
  <c r="H16" i="78" s="1"/>
  <c r="V30" i="78" a="1"/>
  <c r="V30" i="78" s="1"/>
  <c r="W30" i="78" a="1"/>
  <c r="W30" i="78" s="1"/>
  <c r="AB24" i="78" a="1"/>
  <c r="AB24" i="78" s="1"/>
  <c r="AB31" i="78" a="1"/>
  <c r="AB31" i="78" s="1"/>
  <c r="G12" i="78" a="1"/>
  <c r="G12" i="78" s="1"/>
  <c r="H12" i="78" a="1"/>
  <c r="H12" i="78" s="1"/>
  <c r="G14" i="78" a="1"/>
  <c r="G14" i="78" s="1"/>
  <c r="G20" i="78" a="1"/>
  <c r="G20" i="78" s="1"/>
  <c r="H20" i="78" a="1"/>
  <c r="H20" i="78" s="1"/>
  <c r="G22" i="78" a="1"/>
  <c r="G22" i="78" s="1"/>
  <c r="T28" i="78" a="1"/>
  <c r="T28" i="78" s="1"/>
  <c r="G24" i="78" a="1"/>
  <c r="G24" i="78" s="1"/>
  <c r="W22" i="78" a="1"/>
  <c r="W22" i="78" s="1"/>
  <c r="G28" i="78" a="1"/>
  <c r="G28" i="78" s="1"/>
  <c r="W29" i="78" a="1"/>
  <c r="W29" i="78" s="1"/>
  <c r="G32" i="78" a="1"/>
  <c r="G32" i="78" s="1"/>
  <c r="H24" i="78" a="1"/>
  <c r="H24" i="78" s="1"/>
  <c r="H32" i="78" a="1"/>
  <c r="H32" i="78" s="1"/>
  <c r="S32" i="78" a="1"/>
  <c r="S32" i="78" s="1"/>
  <c r="Z10" i="78" a="1"/>
  <c r="Z10" i="78" s="1"/>
  <c r="AB32" i="78" a="1"/>
  <c r="AB32" i="78" s="1"/>
  <c r="H28" i="78" a="1"/>
  <c r="H28" i="78" s="1"/>
  <c r="S31" i="78" a="1"/>
  <c r="S31" i="78" s="1"/>
  <c r="Y11" i="78" a="1"/>
  <c r="Y11" i="78" s="1"/>
  <c r="G9" i="78" a="1"/>
  <c r="G9" i="78" s="1"/>
  <c r="G13" i="78" a="1"/>
  <c r="G13" i="78" s="1"/>
  <c r="G17" i="78" a="1"/>
  <c r="G17" i="78" s="1"/>
  <c r="G21" i="78" a="1"/>
  <c r="G21" i="78" s="1"/>
  <c r="G25" i="78" a="1"/>
  <c r="G25" i="78" s="1"/>
  <c r="G29" i="78" a="1"/>
  <c r="G29" i="78" s="1"/>
  <c r="G33" i="78" a="1"/>
  <c r="G33" i="78" s="1"/>
  <c r="AC31" i="78" a="1"/>
  <c r="AC31" i="78" s="1"/>
  <c r="S30" i="78" a="1"/>
  <c r="S30" i="78" s="1"/>
  <c r="Z11" i="78" a="1"/>
  <c r="Z11" i="78" s="1"/>
  <c r="S17" i="78" a="1"/>
  <c r="S17" i="78" s="1"/>
  <c r="Z18" i="78" a="1"/>
  <c r="Z18" i="78" s="1"/>
  <c r="H9" i="78" a="1"/>
  <c r="H9" i="78" s="1"/>
  <c r="H13" i="78" a="1"/>
  <c r="H13" i="78" s="1"/>
  <c r="H17" i="78" a="1"/>
  <c r="H17" i="78" s="1"/>
  <c r="H21" i="78" a="1"/>
  <c r="H21" i="78" s="1"/>
  <c r="H25" i="78" a="1"/>
  <c r="H25" i="78" s="1"/>
  <c r="H29" i="78" a="1"/>
  <c r="H29" i="78" s="1"/>
  <c r="H33" i="78" a="1"/>
  <c r="H33" i="78" s="1"/>
  <c r="T29" i="78" a="1"/>
  <c r="T29" i="78" s="1"/>
  <c r="Z26" i="78" a="1"/>
  <c r="Z26" i="78" s="1"/>
  <c r="G26" i="78" a="1"/>
  <c r="G26" i="78" s="1"/>
  <c r="G30" i="78" a="1"/>
  <c r="G30" i="78" s="1"/>
  <c r="G34" i="78" a="1"/>
  <c r="G34" i="78" s="1"/>
  <c r="Y27" i="78" a="1"/>
  <c r="Y27" i="78" s="1"/>
  <c r="G10" i="78" a="1"/>
  <c r="G10" i="78" s="1"/>
  <c r="G18" i="78" a="1"/>
  <c r="G18" i="78" s="1"/>
  <c r="T27" i="78" a="1"/>
  <c r="T27" i="78" s="1"/>
  <c r="Z27" i="78" a="1"/>
  <c r="Z27" i="78" s="1"/>
  <c r="T15" i="78" a="1"/>
  <c r="T15" i="78" s="1"/>
  <c r="Y34" i="78" a="1"/>
  <c r="Y34" i="78" s="1"/>
  <c r="H10" i="78" a="1"/>
  <c r="H10" i="78" s="1"/>
  <c r="H14" i="78" a="1"/>
  <c r="H14" i="78" s="1"/>
  <c r="H18" i="78" a="1"/>
  <c r="H18" i="78" s="1"/>
  <c r="H22" i="78" a="1"/>
  <c r="H22" i="78" s="1"/>
  <c r="H26" i="78" a="1"/>
  <c r="H26" i="78" s="1"/>
  <c r="H30" i="78" a="1"/>
  <c r="H30" i="78" s="1"/>
  <c r="H34" i="78" a="1"/>
  <c r="H34" i="78" s="1"/>
  <c r="T13" i="78" a="1"/>
  <c r="T13" i="78" s="1"/>
  <c r="AB15" i="78" a="1"/>
  <c r="AB15" i="78" s="1"/>
  <c r="W13" i="78" a="1"/>
  <c r="W13" i="78" s="1"/>
  <c r="AC15" i="78" a="1"/>
  <c r="AC15" i="78" s="1"/>
  <c r="G11" i="78" a="1"/>
  <c r="G11" i="78" s="1"/>
  <c r="G15" i="78" a="1"/>
  <c r="G15" i="78" s="1"/>
  <c r="G19" i="78" a="1"/>
  <c r="G19" i="78" s="1"/>
  <c r="G23" i="78" a="1"/>
  <c r="G23" i="78" s="1"/>
  <c r="G27" i="78" a="1"/>
  <c r="G27" i="78" s="1"/>
  <c r="G31" i="78" a="1"/>
  <c r="G31" i="78" s="1"/>
  <c r="G35" i="78" a="1"/>
  <c r="G35" i="78" s="1"/>
  <c r="W21" i="78" a="1"/>
  <c r="W21" i="78" s="1"/>
  <c r="AB16" i="78" a="1"/>
  <c r="AB16" i="78" s="1"/>
  <c r="V22" i="78" a="1"/>
  <c r="V22" i="78" s="1"/>
  <c r="AB23" i="78" a="1"/>
  <c r="AB23" i="78" s="1"/>
  <c r="H11" i="78" a="1"/>
  <c r="H11" i="78" s="1"/>
  <c r="H15" i="78" a="1"/>
  <c r="H15" i="78" s="1"/>
  <c r="H19" i="78" a="1"/>
  <c r="H19" i="78" s="1"/>
  <c r="H23" i="78" a="1"/>
  <c r="H23" i="78" s="1"/>
  <c r="H27" i="78" a="1"/>
  <c r="H27" i="78" s="1"/>
  <c r="H31" i="78" a="1"/>
  <c r="H31" i="78" s="1"/>
  <c r="H35" i="78" a="1"/>
  <c r="H35" i="78" s="1"/>
  <c r="S29" i="78" a="1"/>
  <c r="S29" i="78" s="1"/>
  <c r="S16" i="78" a="1"/>
  <c r="S16" i="78" s="1"/>
  <c r="T26" i="78" a="1"/>
  <c r="T26" i="78" s="1"/>
  <c r="T12" i="78" a="1"/>
  <c r="T12" i="78" s="1"/>
  <c r="V15" i="78" a="1"/>
  <c r="V15" i="78" s="1"/>
  <c r="V23" i="78" a="1"/>
  <c r="V23" i="78" s="1"/>
  <c r="V31" i="78" a="1"/>
  <c r="V31" i="78" s="1"/>
  <c r="Y12" i="78" a="1"/>
  <c r="Y12" i="78" s="1"/>
  <c r="Y20" i="78" a="1"/>
  <c r="Y20" i="78" s="1"/>
  <c r="Y28" i="78" a="1"/>
  <c r="Y28" i="78" s="1"/>
  <c r="Z35" i="78" a="1"/>
  <c r="Z35" i="78" s="1"/>
  <c r="AC16" i="78" a="1"/>
  <c r="AC16" i="78" s="1"/>
  <c r="AC24" i="78" a="1"/>
  <c r="AC24" i="78" s="1"/>
  <c r="AC32" i="78" a="1"/>
  <c r="AC32" i="78" s="1"/>
  <c r="S28" i="78" a="1"/>
  <c r="S28" i="78" s="1"/>
  <c r="S15" i="78" a="1"/>
  <c r="S15" i="78" s="1"/>
  <c r="T25" i="78" a="1"/>
  <c r="T25" i="78" s="1"/>
  <c r="T11" i="78" a="1"/>
  <c r="T11" i="78" s="1"/>
  <c r="W15" i="78" a="1"/>
  <c r="W15" i="78" s="1"/>
  <c r="W23" i="78" a="1"/>
  <c r="W23" i="78" s="1"/>
  <c r="W31" i="78" a="1"/>
  <c r="W31" i="78" s="1"/>
  <c r="Z12" i="78" a="1"/>
  <c r="Z12" i="78" s="1"/>
  <c r="Z20" i="78" a="1"/>
  <c r="Z20" i="78" s="1"/>
  <c r="Z28" i="78" a="1"/>
  <c r="Z28" i="78" s="1"/>
  <c r="AB9" i="78" a="1"/>
  <c r="AB9" i="78" s="1"/>
  <c r="AB17" i="78" a="1"/>
  <c r="AB17" i="78" s="1"/>
  <c r="AB25" i="78" a="1"/>
  <c r="AB25" i="78" s="1"/>
  <c r="AB33" i="78" a="1"/>
  <c r="AB33" i="78" s="1"/>
  <c r="S27" i="78" a="1"/>
  <c r="S27" i="78" s="1"/>
  <c r="S14" i="78" a="1"/>
  <c r="S14" i="78" s="1"/>
  <c r="T24" i="78" a="1"/>
  <c r="T24" i="78" s="1"/>
  <c r="T10" i="78" a="1"/>
  <c r="T10" i="78" s="1"/>
  <c r="V16" i="78" a="1"/>
  <c r="V16" i="78" s="1"/>
  <c r="V24" i="78" a="1"/>
  <c r="V24" i="78" s="1"/>
  <c r="V32" i="78" a="1"/>
  <c r="V32" i="78" s="1"/>
  <c r="Y13" i="78" a="1"/>
  <c r="Y13" i="78" s="1"/>
  <c r="Y21" i="78" a="1"/>
  <c r="Y21" i="78" s="1"/>
  <c r="Y29" i="78" a="1"/>
  <c r="Y29" i="78" s="1"/>
  <c r="AC9" i="78" a="1"/>
  <c r="AC9" i="78" s="1"/>
  <c r="AC17" i="78" a="1"/>
  <c r="AC17" i="78" s="1"/>
  <c r="AC25" i="78" a="1"/>
  <c r="AC25" i="78" s="1"/>
  <c r="AC33" i="78" a="1"/>
  <c r="AC33" i="78" s="1"/>
  <c r="Y35" i="78" a="1"/>
  <c r="Y35" i="78" s="1"/>
  <c r="S26" i="78" a="1"/>
  <c r="S26" i="78" s="1"/>
  <c r="S13" i="78" a="1"/>
  <c r="S13" i="78" s="1"/>
  <c r="T23" i="78" a="1"/>
  <c r="T23" i="78" s="1"/>
  <c r="T9" i="78" a="1"/>
  <c r="T9" i="78" s="1"/>
  <c r="W16" i="78" a="1"/>
  <c r="W16" i="78" s="1"/>
  <c r="W24" i="78" a="1"/>
  <c r="W24" i="78" s="1"/>
  <c r="W32" i="78" a="1"/>
  <c r="W32" i="78" s="1"/>
  <c r="Z13" i="78" a="1"/>
  <c r="Z13" i="78" s="1"/>
  <c r="Z21" i="78" a="1"/>
  <c r="Z21" i="78" s="1"/>
  <c r="Z29" i="78" a="1"/>
  <c r="Z29" i="78" s="1"/>
  <c r="AB10" i="78" a="1"/>
  <c r="AB10" i="78" s="1"/>
  <c r="AB18" i="78" a="1"/>
  <c r="AB18" i="78" s="1"/>
  <c r="AB26" i="78" a="1"/>
  <c r="AB26" i="78" s="1"/>
  <c r="AB34" i="78" a="1"/>
  <c r="AB34" i="78" s="1"/>
  <c r="T14" i="78" a="1"/>
  <c r="T14" i="78" s="1"/>
  <c r="V14" i="78" a="1"/>
  <c r="V14" i="78" s="1"/>
  <c r="Y19" i="78" a="1"/>
  <c r="Y19" i="78" s="1"/>
  <c r="S25" i="78" a="1"/>
  <c r="S25" i="78" s="1"/>
  <c r="S12" i="78" a="1"/>
  <c r="S12" i="78" s="1"/>
  <c r="T22" i="78" a="1"/>
  <c r="T22" i="78" s="1"/>
  <c r="V9" i="78" a="1"/>
  <c r="V9" i="78" s="1"/>
  <c r="V17" i="78" a="1"/>
  <c r="V17" i="78" s="1"/>
  <c r="V25" i="78" a="1"/>
  <c r="V25" i="78" s="1"/>
  <c r="V33" i="78" a="1"/>
  <c r="V33" i="78" s="1"/>
  <c r="Y14" i="78" a="1"/>
  <c r="Y14" i="78" s="1"/>
  <c r="Y22" i="78" a="1"/>
  <c r="Y22" i="78" s="1"/>
  <c r="Y30" i="78" a="1"/>
  <c r="Y30" i="78" s="1"/>
  <c r="AC10" i="78" a="1"/>
  <c r="AC10" i="78" s="1"/>
  <c r="AC18" i="78" a="1"/>
  <c r="AC18" i="78" s="1"/>
  <c r="AC26" i="78" a="1"/>
  <c r="AC26" i="78" s="1"/>
  <c r="AC34" i="78" a="1"/>
  <c r="AC34" i="78" s="1"/>
  <c r="Z19" i="78" a="1"/>
  <c r="Z19" i="78" s="1"/>
  <c r="S11" i="78" a="1"/>
  <c r="S11" i="78" s="1"/>
  <c r="T21" i="78" a="1"/>
  <c r="T21" i="78" s="1"/>
  <c r="W9" i="78" a="1"/>
  <c r="W9" i="78" s="1"/>
  <c r="W17" i="78" a="1"/>
  <c r="W17" i="78" s="1"/>
  <c r="W25" i="78" a="1"/>
  <c r="W25" i="78" s="1"/>
  <c r="W33" i="78" a="1"/>
  <c r="W33" i="78" s="1"/>
  <c r="Z14" i="78" a="1"/>
  <c r="Z14" i="78" s="1"/>
  <c r="Z22" i="78" a="1"/>
  <c r="Z22" i="78" s="1"/>
  <c r="Z30" i="78" a="1"/>
  <c r="Z30" i="78" s="1"/>
  <c r="AB11" i="78" a="1"/>
  <c r="AB11" i="78" s="1"/>
  <c r="AB19" i="78" a="1"/>
  <c r="AB19" i="78" s="1"/>
  <c r="AB27" i="78" a="1"/>
  <c r="AB27" i="78" s="1"/>
  <c r="AB35" i="78" a="1"/>
  <c r="AB35" i="78" s="1"/>
  <c r="Z34" i="78" a="1"/>
  <c r="Z34" i="78" s="1"/>
  <c r="W14" i="78" a="1"/>
  <c r="W14" i="78" s="1"/>
  <c r="S24" i="78" a="1"/>
  <c r="S24" i="78" s="1"/>
  <c r="S10" i="78" a="1"/>
  <c r="S10" i="78" s="1"/>
  <c r="T20" i="78" a="1"/>
  <c r="T20" i="78" s="1"/>
  <c r="V10" i="78" a="1"/>
  <c r="V10" i="78" s="1"/>
  <c r="V18" i="78" a="1"/>
  <c r="V18" i="78" s="1"/>
  <c r="V26" i="78" a="1"/>
  <c r="V26" i="78" s="1"/>
  <c r="V34" i="78" a="1"/>
  <c r="V34" i="78" s="1"/>
  <c r="Y15" i="78" a="1"/>
  <c r="Y15" i="78" s="1"/>
  <c r="Y23" i="78" a="1"/>
  <c r="Y23" i="78" s="1"/>
  <c r="Y31" i="78" a="1"/>
  <c r="Y31" i="78" s="1"/>
  <c r="AC11" i="78" a="1"/>
  <c r="AC11" i="78" s="1"/>
  <c r="AC19" i="78" a="1"/>
  <c r="AC19" i="78" s="1"/>
  <c r="AC27" i="78" a="1"/>
  <c r="AC27" i="78" s="1"/>
  <c r="AC35" i="78" a="1"/>
  <c r="AC35" i="78" s="1"/>
  <c r="S23" i="78" a="1"/>
  <c r="S23" i="78" s="1"/>
  <c r="T35" i="78" a="1"/>
  <c r="T35" i="78" s="1"/>
  <c r="T19" i="78" a="1"/>
  <c r="T19" i="78" s="1"/>
  <c r="W10" i="78" a="1"/>
  <c r="W10" i="78" s="1"/>
  <c r="W18" i="78" a="1"/>
  <c r="W18" i="78" s="1"/>
  <c r="W26" i="78" a="1"/>
  <c r="W26" i="78" s="1"/>
  <c r="W34" i="78" a="1"/>
  <c r="W34" i="78" s="1"/>
  <c r="Z31" i="78" a="1"/>
  <c r="Z31" i="78" s="1"/>
  <c r="AB12" i="78" a="1"/>
  <c r="AB12" i="78" s="1"/>
  <c r="AB20" i="78" a="1"/>
  <c r="AB20" i="78" s="1"/>
  <c r="AB28" i="78" a="1"/>
  <c r="AB28" i="78" s="1"/>
  <c r="S22" i="78" a="1"/>
  <c r="S22" i="78" s="1"/>
  <c r="T34" i="78" a="1"/>
  <c r="T34" i="78" s="1"/>
  <c r="V11" i="78" a="1"/>
  <c r="V11" i="78" s="1"/>
  <c r="V19" i="78" a="1"/>
  <c r="V19" i="78" s="1"/>
  <c r="V27" i="78" a="1"/>
  <c r="V27" i="78" s="1"/>
  <c r="V35" i="78" a="1"/>
  <c r="V35" i="78" s="1"/>
  <c r="Y16" i="78" a="1"/>
  <c r="Y16" i="78" s="1"/>
  <c r="Y24" i="78" a="1"/>
  <c r="Y24" i="78" s="1"/>
  <c r="Y32" i="78" a="1"/>
  <c r="Y32" i="78" s="1"/>
  <c r="AC12" i="78" a="1"/>
  <c r="AC12" i="78" s="1"/>
  <c r="AC20" i="78" a="1"/>
  <c r="AC20" i="78" s="1"/>
  <c r="AC28" i="78" a="1"/>
  <c r="AC28" i="78" s="1"/>
  <c r="S9" i="78" a="1"/>
  <c r="S9" i="78" s="1"/>
  <c r="S21" i="78" a="1"/>
  <c r="S21" i="78" s="1"/>
  <c r="T33" i="78" a="1"/>
  <c r="T33" i="78" s="1"/>
  <c r="T18" i="78" a="1"/>
  <c r="T18" i="78" s="1"/>
  <c r="W19" i="78" a="1"/>
  <c r="W19" i="78" s="1"/>
  <c r="W35" i="78" a="1"/>
  <c r="W35" i="78" s="1"/>
  <c r="Z16" i="78" a="1"/>
  <c r="Z16" i="78" s="1"/>
  <c r="Z32" i="78" a="1"/>
  <c r="Z32" i="78" s="1"/>
  <c r="AB13" i="78" a="1"/>
  <c r="AB13" i="78" s="1"/>
  <c r="AB21" i="78" a="1"/>
  <c r="AB21" i="78" s="1"/>
  <c r="AB29" i="78" a="1"/>
  <c r="AB29" i="78" s="1"/>
  <c r="S20" i="78" a="1"/>
  <c r="S20" i="78" s="1"/>
  <c r="T17" i="78" a="1"/>
  <c r="T17" i="78" s="1"/>
  <c r="V12" i="78" a="1"/>
  <c r="V12" i="78" s="1"/>
  <c r="V20" i="78" a="1"/>
  <c r="V20" i="78" s="1"/>
  <c r="V28" i="78" a="1"/>
  <c r="V28" i="78" s="1"/>
  <c r="Y9" i="78" a="1"/>
  <c r="Y9" i="78" s="1"/>
  <c r="Y17" i="78" a="1"/>
  <c r="Y17" i="78" s="1"/>
  <c r="Y25" i="78" a="1"/>
  <c r="Y25" i="78" s="1"/>
  <c r="Y33" i="78" a="1"/>
  <c r="Y33" i="78" s="1"/>
  <c r="AC13" i="78" a="1"/>
  <c r="AC13" i="78" s="1"/>
  <c r="AC21" i="78" a="1"/>
  <c r="AC21" i="78" s="1"/>
  <c r="AC29" i="78" a="1"/>
  <c r="AC29" i="78" s="1"/>
  <c r="AB14" i="78" a="1"/>
  <c r="AB14" i="78" s="1"/>
  <c r="AB22" i="78" a="1"/>
  <c r="AB22" i="78" s="1"/>
  <c r="AB30" i="78" a="1"/>
  <c r="AB30" i="78" s="1"/>
  <c r="S33" i="78" a="1"/>
  <c r="S33" i="78" s="1"/>
  <c r="S18" i="78" a="1"/>
  <c r="S18" i="78" s="1"/>
  <c r="T30" i="78" a="1"/>
  <c r="T30" i="78" s="1"/>
  <c r="D9" i="78"/>
  <c r="E9" i="78"/>
  <c r="C10" i="78"/>
  <c r="D10" i="78"/>
  <c r="E10" i="78"/>
  <c r="C11" i="78"/>
  <c r="D11" i="78"/>
  <c r="E11" i="78"/>
  <c r="C12" i="78"/>
  <c r="D12" i="78"/>
  <c r="E12" i="78"/>
  <c r="C13" i="78"/>
  <c r="D13" i="78"/>
  <c r="E13" i="78"/>
  <c r="C14" i="78"/>
  <c r="D14" i="78"/>
  <c r="E14" i="78"/>
  <c r="C15" i="78"/>
  <c r="D15" i="78"/>
  <c r="E15" i="78"/>
  <c r="C16" i="78"/>
  <c r="D16" i="78"/>
  <c r="E16" i="78"/>
  <c r="C17" i="78"/>
  <c r="D17" i="78"/>
  <c r="E17" i="78"/>
  <c r="C18" i="78"/>
  <c r="D18" i="78"/>
  <c r="E18" i="78"/>
  <c r="C19" i="78"/>
  <c r="D19" i="78"/>
  <c r="E19" i="78"/>
  <c r="C20" i="78"/>
  <c r="D20" i="78"/>
  <c r="E20" i="78"/>
  <c r="C21" i="78"/>
  <c r="D21" i="78"/>
  <c r="E21" i="78"/>
  <c r="C22" i="78"/>
  <c r="D22" i="78"/>
  <c r="E22" i="78"/>
  <c r="C23" i="78"/>
  <c r="D23" i="78"/>
  <c r="E23" i="78"/>
  <c r="C24" i="78"/>
  <c r="D24" i="78"/>
  <c r="E24" i="78"/>
  <c r="C25" i="78"/>
  <c r="D25" i="78"/>
  <c r="E25" i="78"/>
  <c r="C26" i="78"/>
  <c r="D26" i="78"/>
  <c r="E26" i="78"/>
  <c r="C27" i="78"/>
  <c r="D27" i="78"/>
  <c r="E27" i="78"/>
  <c r="C28" i="78"/>
  <c r="D28" i="78"/>
  <c r="E28" i="78"/>
  <c r="C29" i="78"/>
  <c r="D29" i="78"/>
  <c r="E29" i="78"/>
  <c r="C30" i="78"/>
  <c r="D30" i="78"/>
  <c r="E30" i="78"/>
  <c r="C31" i="78"/>
  <c r="D31" i="78"/>
  <c r="E31" i="78"/>
  <c r="C32" i="78"/>
  <c r="D32" i="78"/>
  <c r="E32" i="78"/>
  <c r="C33" i="78"/>
  <c r="D33" i="78"/>
  <c r="E33" i="78"/>
  <c r="C34" i="78"/>
  <c r="D34" i="78"/>
  <c r="E34" i="78"/>
  <c r="C35" i="78"/>
  <c r="D35" i="78"/>
  <c r="E35" i="78"/>
  <c r="V35" i="79" l="1"/>
  <c r="W24" i="79"/>
  <c r="W16" i="79"/>
  <c r="V12" i="79"/>
  <c r="W35" i="79"/>
  <c r="W26" i="79"/>
  <c r="W21" i="79"/>
  <c r="V11" i="79"/>
  <c r="W10" i="79"/>
  <c r="V34" i="79"/>
  <c r="W32" i="79"/>
  <c r="W13" i="79"/>
  <c r="W11" i="79"/>
  <c r="V9" i="79"/>
  <c r="V26" i="79"/>
  <c r="V28" i="79"/>
  <c r="V31" i="79"/>
  <c r="W28" i="79"/>
  <c r="W17" i="79"/>
  <c r="W15" i="79"/>
  <c r="V30" i="79"/>
  <c r="W19" i="79"/>
  <c r="V13" i="79"/>
  <c r="V17" i="79"/>
  <c r="V15" i="79"/>
  <c r="V18" i="79"/>
  <c r="V10" i="79"/>
  <c r="W30" i="79"/>
  <c r="W25" i="79"/>
  <c r="W23" i="79"/>
  <c r="V24" i="79"/>
  <c r="V33" i="79"/>
  <c r="W27" i="79"/>
  <c r="V21" i="79"/>
  <c r="V19" i="79"/>
  <c r="W22" i="79"/>
  <c r="W18" i="79"/>
  <c r="V20" i="79"/>
  <c r="W29" i="79"/>
  <c r="V23" i="79"/>
  <c r="W12" i="79"/>
  <c r="W34" i="79"/>
  <c r="W33" i="79"/>
  <c r="V27" i="79"/>
  <c r="V29" i="79"/>
  <c r="W20" i="79"/>
  <c r="V16" i="79"/>
  <c r="V32" i="79"/>
  <c r="V14" i="79"/>
  <c r="W9" i="79"/>
  <c r="AF30" i="78"/>
  <c r="AI30" i="78" s="1"/>
  <c r="AE25" i="78"/>
  <c r="AH25" i="78" s="1"/>
  <c r="AF26" i="78"/>
  <c r="AI26" i="78" s="1"/>
  <c r="AE24" i="78"/>
  <c r="AH24" i="78" s="1"/>
  <c r="AF22" i="78"/>
  <c r="AI22" i="78" s="1"/>
  <c r="AF33" i="78"/>
  <c r="AI33" i="78" s="1"/>
  <c r="AE17" i="78"/>
  <c r="AH17" i="78" s="1"/>
  <c r="AF18" i="78"/>
  <c r="AI18" i="78" s="1"/>
  <c r="AF29" i="78"/>
  <c r="AI29" i="78" s="1"/>
  <c r="AE13" i="78"/>
  <c r="AH13" i="78" s="1"/>
  <c r="AE22" i="78"/>
  <c r="AH22" i="78" s="1"/>
  <c r="AE21" i="78"/>
  <c r="AH21" i="78" s="1"/>
  <c r="AE35" i="78"/>
  <c r="AH35" i="78" s="1"/>
  <c r="AF14" i="78"/>
  <c r="AI14" i="78" s="1"/>
  <c r="AF25" i="78"/>
  <c r="AI25" i="78" s="1"/>
  <c r="AE9" i="78"/>
  <c r="AH9" i="78" s="1"/>
  <c r="AF20" i="78"/>
  <c r="AI20" i="78" s="1"/>
  <c r="AE31" i="78"/>
  <c r="AH31" i="78" s="1"/>
  <c r="AF10" i="78"/>
  <c r="AI10" i="78" s="1"/>
  <c r="AF21" i="78"/>
  <c r="AI21" i="78" s="1"/>
  <c r="AE20" i="78"/>
  <c r="AH20" i="78" s="1"/>
  <c r="AE27" i="78"/>
  <c r="AH27" i="78" s="1"/>
  <c r="AF17" i="78"/>
  <c r="AE14" i="78"/>
  <c r="AH14" i="78" s="1"/>
  <c r="AE23" i="78"/>
  <c r="AH23" i="78" s="1"/>
  <c r="AF13" i="78"/>
  <c r="AI13" i="78" s="1"/>
  <c r="AF28" i="78"/>
  <c r="AI28" i="78" s="1"/>
  <c r="AF12" i="78"/>
  <c r="AI12" i="78" s="1"/>
  <c r="AE19" i="78"/>
  <c r="AH19" i="78" s="1"/>
  <c r="AF9" i="78"/>
  <c r="AI9" i="78" s="1"/>
  <c r="AE12" i="78"/>
  <c r="AH12" i="78" s="1"/>
  <c r="AF35" i="78"/>
  <c r="AI35" i="78" s="1"/>
  <c r="AE15" i="78"/>
  <c r="AH15" i="78" s="1"/>
  <c r="AF31" i="78"/>
  <c r="AI31" i="78" s="1"/>
  <c r="AE11" i="78"/>
  <c r="AH11" i="78" s="1"/>
  <c r="AE18" i="78"/>
  <c r="AF27" i="78"/>
  <c r="AI27" i="78" s="1"/>
  <c r="AE10" i="78"/>
  <c r="AH10" i="78" s="1"/>
  <c r="AF32" i="78"/>
  <c r="AI32" i="78" s="1"/>
  <c r="AF23" i="78"/>
  <c r="AI23" i="78" s="1"/>
  <c r="AF24" i="78"/>
  <c r="AI24" i="78" s="1"/>
  <c r="AF19" i="78"/>
  <c r="AI19" i="78" s="1"/>
  <c r="AE34" i="78"/>
  <c r="AH34" i="78" s="1"/>
  <c r="AE32" i="78"/>
  <c r="AH32" i="78" s="1"/>
  <c r="AF16" i="78"/>
  <c r="AI16" i="78" s="1"/>
  <c r="AF15" i="78"/>
  <c r="AI15" i="78" s="1"/>
  <c r="AE30" i="78"/>
  <c r="AH30" i="78" s="1"/>
  <c r="AE33" i="78"/>
  <c r="AH33" i="78" s="1"/>
  <c r="AE16" i="78"/>
  <c r="AH16" i="78" s="1"/>
  <c r="AF11" i="78"/>
  <c r="AI11" i="78" s="1"/>
  <c r="AF34" i="78"/>
  <c r="AI34" i="78" s="1"/>
  <c r="AE26" i="78"/>
  <c r="AH26" i="78" s="1"/>
  <c r="AE29" i="78"/>
  <c r="AH29" i="78" s="1"/>
  <c r="AE28" i="78"/>
  <c r="AH28" i="78" s="1"/>
  <c r="AH18" i="78"/>
  <c r="AI17" i="7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<sst xmlns="http://schemas.openxmlformats.org/spreadsheetml/2006/main" count="267" uniqueCount="124">
  <si>
    <t>European Commission forecasts for 2024</t>
  </si>
  <si>
    <t>Debt</t>
  </si>
  <si>
    <t>Fiscal balance</t>
  </si>
  <si>
    <t>SPB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</si>
  <si>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</si>
  <si>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</si>
  <si>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</si>
  <si>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</si>
  <si>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</si>
  <si>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</si>
  <si>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</si>
  <si>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</si>
  <si>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</si>
  <si>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</si>
  <si>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</si>
  <si>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GRC</t>
  </si>
  <si>
    <t>ITA</t>
  </si>
  <si>
    <t>FRA</t>
  </si>
  <si>
    <t>ESP</t>
  </si>
  <si>
    <t>BEL</t>
  </si>
  <si>
    <t>PRT</t>
  </si>
  <si>
    <t>FIN</t>
  </si>
  <si>
    <t>AUT</t>
  </si>
  <si>
    <t>CYP</t>
  </si>
  <si>
    <t>HUN</t>
  </si>
  <si>
    <t>SVN</t>
  </si>
  <si>
    <t>DEU</t>
  </si>
  <si>
    <t>HRV</t>
  </si>
  <si>
    <t>SVK</t>
  </si>
  <si>
    <t>MLT</t>
  </si>
  <si>
    <t>POL</t>
  </si>
  <si>
    <t>ROU</t>
  </si>
  <si>
    <t>BGR</t>
  </si>
  <si>
    <t>country</t>
  </si>
  <si>
    <t>deficit_reduction</t>
  </si>
  <si>
    <t>CZE</t>
  </si>
  <si>
    <t>DNK</t>
  </si>
  <si>
    <t>IRL</t>
  </si>
  <si>
    <t>LTU</t>
  </si>
  <si>
    <t>LVA</t>
  </si>
  <si>
    <t>NLD</t>
  </si>
  <si>
    <t>SWE</t>
  </si>
  <si>
    <t>d</t>
  </si>
  <si>
    <t>fb</t>
  </si>
  <si>
    <t>spb</t>
  </si>
  <si>
    <t>Austria</t>
  </si>
  <si>
    <t>Belgium</t>
  </si>
  <si>
    <t>Bulgaria</t>
  </si>
  <si>
    <t>Cyprus</t>
  </si>
  <si>
    <t>Germany</t>
  </si>
  <si>
    <t>Denmark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</si>
  <si>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</si>
  <si>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</si>
  <si>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</si>
  <si>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</si>
  <si>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</si>
  <si>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</si>
  <si>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</si>
  <si>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</si>
  <si>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</si>
  <si>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Latvia</t>
  </si>
  <si>
    <t>Malta</t>
  </si>
  <si>
    <t>Netherlands</t>
  </si>
  <si>
    <t>Poland</t>
  </si>
  <si>
    <t>Portugal</t>
  </si>
  <si>
    <t>Romania</t>
  </si>
  <si>
    <t>Slovakia</t>
  </si>
  <si>
    <t>Slovenia</t>
  </si>
  <si>
    <t>Sweden</t>
  </si>
  <si>
    <t>iso</t>
  </si>
  <si>
    <t>EST</t>
  </si>
  <si>
    <t>LUX</t>
  </si>
  <si>
    <t>Estonia</t>
  </si>
  <si>
    <t>Luxembourg</t>
  </si>
  <si>
    <t>Average annual fiscal adjustment need</t>
  </si>
  <si>
    <t>Minimum SPB satisfying all criteria</t>
  </si>
  <si>
    <t>Min. SPB required by 3% deficit cap</t>
  </si>
  <si>
    <t>4-year adj.</t>
  </si>
  <si>
    <t>7-year adj.</t>
  </si>
  <si>
    <t>Min. SPB required by DSA criteria</t>
  </si>
  <si>
    <t>binding_dsa</t>
  </si>
  <si>
    <t>deficit_resilience</t>
  </si>
  <si>
    <t>binding</t>
  </si>
  <si>
    <t>debt_safeguard</t>
  </si>
  <si>
    <t>main_adjustment</t>
  </si>
  <si>
    <t>adverse_r_g</t>
  </si>
  <si>
    <t>lower_spb</t>
  </si>
  <si>
    <t>financial_stress</t>
  </si>
  <si>
    <t>stochastic</t>
  </si>
  <si>
    <r>
      <t xml:space="preserve">Min. SPB  required by EDP and </t>
    </r>
    <r>
      <rPr>
        <sz val="10"/>
        <color theme="1"/>
        <rFont val="Calibri (Body)"/>
      </rPr>
      <t>the debt safeguard</t>
    </r>
  </si>
  <si>
    <t>Czechia</t>
  </si>
  <si>
    <t>NOR</t>
  </si>
  <si>
    <t>Norway</t>
  </si>
  <si>
    <t>sb</t>
  </si>
  <si>
    <r>
      <t xml:space="preserve">Min. SPB  required by EDP, debt safeguard </t>
    </r>
    <r>
      <rPr>
        <sz val="10"/>
        <color theme="1"/>
        <rFont val="Calibri (Body)"/>
      </rPr>
      <t xml:space="preserve">and the </t>
    </r>
    <r>
      <rPr>
        <sz val="10"/>
        <color theme="1"/>
        <rFont val="Calibri"/>
        <family val="2"/>
        <scheme val="minor"/>
      </rPr>
      <t>deficit resilience safeguard</t>
    </r>
  </si>
  <si>
    <t>adj ref</t>
  </si>
  <si>
    <t>col ref</t>
  </si>
  <si>
    <t>Min. SPB required by deterministic DSA</t>
  </si>
  <si>
    <t>Min. SPB required by stochastic DSA</t>
  </si>
  <si>
    <t>Min. SPB required 'adverse r-g' scenario</t>
  </si>
  <si>
    <t>Min. SPB required 'lower SPB' scenario</t>
  </si>
  <si>
    <t>Min. SPB required 'financial stress' scenario</t>
  </si>
  <si>
    <t>(12)</t>
  </si>
  <si>
    <t>(13)</t>
  </si>
  <si>
    <t>(14)</t>
  </si>
  <si>
    <t>(15)</t>
  </si>
  <si>
    <t>(16)</t>
  </si>
  <si>
    <t>(17)</t>
  </si>
  <si>
    <t>(18)</t>
  </si>
  <si>
    <t>(19)</t>
  </si>
  <si>
    <t>(19)=max(4,6,8,10,12,14,16,18)</t>
  </si>
  <si>
    <t>(20)=max(5,7,9,11,13,15,17,19)</t>
  </si>
  <si>
    <t>(21)={(19)-(3)}/4</t>
  </si>
  <si>
    <t>(22)={(20)-(3)}/7</t>
  </si>
  <si>
    <t xml:space="preserve"> Fiscal adjustment requirements under the new EU fiscal framework (structural primary balance measured in percent of GDP)</t>
  </si>
  <si>
    <t>Binding deterministic scenario</t>
  </si>
  <si>
    <t>Binding stochastic criterion</t>
  </si>
  <si>
    <t>Binding 3% deficit cap</t>
  </si>
  <si>
    <t>Binding debt sustainability safeguard</t>
  </si>
  <si>
    <t>Legend</t>
  </si>
  <si>
    <t xml:space="preserve">Binding deficit resilience safeguard, no impact on final SPB </t>
  </si>
  <si>
    <t>Binding deficit resilience safeguard, impact on final SPB</t>
  </si>
  <si>
    <t>Source: Bruegel based on European Commission May 2024 forecasts, the April 2024 Ageing report, Bloomberg and ECB. Note: Methodology based on European Commission DSM (2024) and adjusted with the new requirements of the approved fiscal framework.</t>
  </si>
  <si>
    <t>Binding DSA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</si>
</sst>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 (Body)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3" xfId="0" applyBorder="1"/>
    <xf numFmtId="0" fontId="2" fillId="0" borderId="0" xfId="0" applyFont="1"/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0" fontId="1" fillId="0" borderId="3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0" fontId="1" fillId="0" borderId="3" xfId="0" quotePrefix="1" applyFont="1" applyBorder="1" applyAlignment="1">
      <alignment horizontal="center" vertical="center"/>
    </xf>
    <xf numFmtId="0" fontId="0" fillId="0" borderId="1" xfId="0" applyBorder="1"/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vertical="center" wrapText="1"/>
    </xf>
    <xf numFmtId="1" fontId="0" fillId="0" borderId="0" xfId="0" applyNumberFormat="1" applyAlignment="1">
      <alignment horizontal="left"/>
    </xf>
    <xf numFmtId="1" fontId="0" fillId="0" borderId="3" xfId="0" applyNumberFormat="1" applyBorder="1" applyAlignment="1">
      <alignment horizontal="left"/>
    </xf>
    <xf numFmtId="164" fontId="0" fillId="0" borderId="3" xfId="0" applyNumberFormat="1" applyBorder="1"/>
    <xf numFmtId="0" fontId="6" fillId="7" borderId="0" xfId="0" applyFont="1" applyFill="1"/>
    <xf numFmtId="0" fontId="7" fillId="7" borderId="0" xfId="0" applyFont="1" applyFill="1"/>
    <xf numFmtId="0" fontId="6" fillId="7" borderId="0" xfId="0" applyFont="1" applyFill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4" xfId="0" applyFill="1" applyBorder="1"/>
    <xf numFmtId="0" fontId="4" fillId="0" borderId="0" xfId="0" applyFont="1"/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2"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nard.welslau\Code\Lennard%20Github\eu-debt-sustainability-analysis\latest_version\output\june_update\results_spb.xlsx" TargetMode="External"/><Relationship Id="rId1" Type="http://schemas.openxmlformats.org/officeDocument/2006/relationships/externalLinkPath" Target="results_sp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country</v>
          </cell>
          <cell r="B1" t="str">
            <v>iso</v>
          </cell>
          <cell r="C1" t="str">
            <v>adjustment_period</v>
          </cell>
          <cell r="D1" t="str">
            <v>main_adjustment</v>
          </cell>
          <cell r="E1" t="str">
            <v>adverse_r_g</v>
          </cell>
          <cell r="F1" t="str">
            <v>lower_spb</v>
          </cell>
          <cell r="G1" t="str">
            <v>financial_stress</v>
          </cell>
          <cell r="H1" t="str">
            <v>stochastic</v>
          </cell>
          <cell r="I1" t="str">
            <v>binding_dsa</v>
          </cell>
          <cell r="J1" t="str">
            <v>deficit_reduction</v>
          </cell>
          <cell r="K1" t="str">
            <v>edp</v>
          </cell>
          <cell r="L1" t="str">
            <v>debt_safeguard</v>
          </cell>
          <cell r="M1" t="str">
            <v>deficit_resilience</v>
          </cell>
          <cell r="N1" t="str">
            <v>binding_safeguard</v>
          </cell>
          <cell r="O1" t="str">
            <v>binding</v>
          </cell>
        </row>
        <row r="2">
          <cell r="A2" t="str">
            <v>Austria</v>
          </cell>
          <cell r="B2" t="str">
            <v>AUT</v>
          </cell>
          <cell r="C2">
            <v>4</v>
          </cell>
          <cell r="D2">
            <v>0.185</v>
          </cell>
          <cell r="E2">
            <v>0.78100000000000003</v>
          </cell>
          <cell r="F2">
            <v>0.69099999999999995</v>
          </cell>
          <cell r="G2">
            <v>0.20799999999999999</v>
          </cell>
          <cell r="H2">
            <v>0.629</v>
          </cell>
          <cell r="I2">
            <v>0.78100000000000003</v>
          </cell>
          <cell r="J2">
            <v>-8.2000000000000003E-2</v>
          </cell>
          <cell r="K2"/>
          <cell r="L2"/>
          <cell r="M2"/>
          <cell r="N2">
            <v>-8.2000000000000003E-2</v>
          </cell>
          <cell r="O2">
            <v>0.78100000000000003</v>
          </cell>
        </row>
        <row r="3">
          <cell r="A3" t="str">
            <v>Belgium</v>
          </cell>
          <cell r="B3" t="str">
            <v>BEL</v>
          </cell>
          <cell r="C3">
            <v>4</v>
          </cell>
          <cell r="D3">
            <v>0.35299999999999998</v>
          </cell>
          <cell r="E3">
            <v>1.0920000000000001</v>
          </cell>
          <cell r="F3">
            <v>0.85499999999999998</v>
          </cell>
          <cell r="G3">
            <v>0.41599999999999998</v>
          </cell>
          <cell r="H3">
            <v>0.432</v>
          </cell>
          <cell r="I3">
            <v>1.0920000000000001</v>
          </cell>
          <cell r="J3">
            <v>0.81399999999999995</v>
          </cell>
          <cell r="K3"/>
          <cell r="L3"/>
          <cell r="M3"/>
          <cell r="N3">
            <v>0.81399999999999995</v>
          </cell>
          <cell r="O3">
            <v>1.0920000000000001</v>
          </cell>
        </row>
        <row r="4">
          <cell r="A4" t="str">
            <v>Bulgaria</v>
          </cell>
          <cell r="B4" t="str">
            <v>BGR</v>
          </cell>
          <cell r="C4">
            <v>4</v>
          </cell>
          <cell r="D4">
            <v>-3.4049999999999998</v>
          </cell>
          <cell r="E4">
            <v>-3.125</v>
          </cell>
          <cell r="F4">
            <v>-3.0289999999999999</v>
          </cell>
          <cell r="G4">
            <v>-3.3730000000000002</v>
          </cell>
          <cell r="H4">
            <v>-3.7850000000000001</v>
          </cell>
          <cell r="I4">
            <v>-3.0289999999999999</v>
          </cell>
          <cell r="J4">
            <v>-2.2029999999999998</v>
          </cell>
          <cell r="K4"/>
          <cell r="L4"/>
          <cell r="M4"/>
          <cell r="N4">
            <v>-2.2029999999999998</v>
          </cell>
          <cell r="O4">
            <v>-2.2029999999999998</v>
          </cell>
        </row>
        <row r="5">
          <cell r="A5" t="str">
            <v>Croatia</v>
          </cell>
          <cell r="B5" t="str">
            <v>HRV</v>
          </cell>
          <cell r="C5">
            <v>4</v>
          </cell>
          <cell r="D5">
            <v>-0.47599999999999998</v>
          </cell>
          <cell r="E5">
            <v>-0.108</v>
          </cell>
          <cell r="F5">
            <v>-0.10100000000000001</v>
          </cell>
          <cell r="G5">
            <v>-0.438</v>
          </cell>
          <cell r="H5">
            <v>0.34599999999999997</v>
          </cell>
          <cell r="I5">
            <v>0.34599999999999997</v>
          </cell>
          <cell r="J5">
            <v>-1.0189999999999999</v>
          </cell>
          <cell r="K5"/>
          <cell r="L5"/>
          <cell r="M5"/>
          <cell r="N5">
            <v>-1.0189999999999999</v>
          </cell>
          <cell r="O5">
            <v>0.34599999999999997</v>
          </cell>
        </row>
        <row r="6">
          <cell r="A6" t="str">
            <v>Cyprus</v>
          </cell>
          <cell r="B6" t="str">
            <v>CYP</v>
          </cell>
          <cell r="C6">
            <v>4</v>
          </cell>
          <cell r="D6">
            <v>-2.1000000000000001E-2</v>
          </cell>
          <cell r="E6">
            <v>0.32800000000000001</v>
          </cell>
          <cell r="F6">
            <v>0.35399999999999998</v>
          </cell>
          <cell r="G6">
            <v>0.02</v>
          </cell>
          <cell r="H6">
            <v>0.247</v>
          </cell>
          <cell r="I6">
            <v>0.35399999999999998</v>
          </cell>
          <cell r="J6">
            <v>0.70099999999999996</v>
          </cell>
          <cell r="K6"/>
          <cell r="L6"/>
          <cell r="M6"/>
          <cell r="N6">
            <v>0.70099999999999996</v>
          </cell>
          <cell r="O6">
            <v>0.70099999999999996</v>
          </cell>
        </row>
        <row r="7">
          <cell r="A7" t="str">
            <v>Czechia</v>
          </cell>
          <cell r="B7" t="str">
            <v>CZE</v>
          </cell>
          <cell r="C7">
            <v>4</v>
          </cell>
          <cell r="D7">
            <v>-0.57499999999999996</v>
          </cell>
          <cell r="E7">
            <v>-0.26600000000000001</v>
          </cell>
          <cell r="F7">
            <v>-0.20300000000000001</v>
          </cell>
          <cell r="G7">
            <v>-0.54800000000000004</v>
          </cell>
          <cell r="H7">
            <v>-1.115</v>
          </cell>
          <cell r="I7">
            <v>-0.20300000000000001</v>
          </cell>
          <cell r="J7">
            <v>0.33100000000000002</v>
          </cell>
          <cell r="K7"/>
          <cell r="L7"/>
          <cell r="M7"/>
          <cell r="N7">
            <v>0.33100000000000002</v>
          </cell>
          <cell r="O7">
            <v>0.33100000000000002</v>
          </cell>
        </row>
        <row r="8">
          <cell r="A8" t="str">
            <v>Denmark</v>
          </cell>
          <cell r="B8" t="str">
            <v>DNK</v>
          </cell>
          <cell r="C8">
            <v>4</v>
          </cell>
          <cell r="D8">
            <v>-3.2909999999999999</v>
          </cell>
          <cell r="E8">
            <v>-3.0110000000000001</v>
          </cell>
          <cell r="F8">
            <v>-2.9159999999999999</v>
          </cell>
          <cell r="G8">
            <v>-3.2679999999999998</v>
          </cell>
          <cell r="H8">
            <v>-5.54</v>
          </cell>
          <cell r="I8">
            <v>-2.9159999999999999</v>
          </cell>
          <cell r="J8">
            <v>-1.1930000000000001</v>
          </cell>
          <cell r="K8"/>
          <cell r="L8"/>
          <cell r="M8"/>
          <cell r="N8">
            <v>-1.1930000000000001</v>
          </cell>
          <cell r="O8">
            <v>-1.1930000000000001</v>
          </cell>
        </row>
        <row r="9">
          <cell r="A9" t="str">
            <v>Estonia</v>
          </cell>
          <cell r="B9" t="str">
            <v>EST</v>
          </cell>
          <cell r="C9">
            <v>4</v>
          </cell>
          <cell r="D9">
            <v>-3.4249999999999998</v>
          </cell>
          <cell r="E9">
            <v>-3.1880000000000002</v>
          </cell>
          <cell r="F9">
            <v>-3.052</v>
          </cell>
          <cell r="G9">
            <v>-3.407</v>
          </cell>
          <cell r="H9">
            <v>-4.4790000000000001</v>
          </cell>
          <cell r="I9">
            <v>-3.052</v>
          </cell>
          <cell r="J9">
            <v>-2.0640000000000001</v>
          </cell>
          <cell r="K9"/>
          <cell r="L9"/>
          <cell r="M9">
            <v>-2.0640000000000001</v>
          </cell>
          <cell r="N9">
            <v>-2.0640000000000001</v>
          </cell>
          <cell r="O9">
            <v>-2.0640000000000001</v>
          </cell>
        </row>
        <row r="10">
          <cell r="A10" t="str">
            <v>Finland</v>
          </cell>
          <cell r="B10" t="str">
            <v>FIN</v>
          </cell>
          <cell r="C10">
            <v>4</v>
          </cell>
          <cell r="D10">
            <v>0.66400000000000003</v>
          </cell>
          <cell r="E10">
            <v>1.139</v>
          </cell>
          <cell r="F10">
            <v>1.1919999999999999</v>
          </cell>
          <cell r="G10">
            <v>0.79700000000000004</v>
          </cell>
          <cell r="H10">
            <v>1.381</v>
          </cell>
          <cell r="I10">
            <v>1.381</v>
          </cell>
          <cell r="J10">
            <v>-0.38400000000000001</v>
          </cell>
          <cell r="K10"/>
          <cell r="L10">
            <v>4.3099999999999996</v>
          </cell>
          <cell r="M10"/>
          <cell r="N10">
            <v>4.3099999999999996</v>
          </cell>
          <cell r="O10">
            <v>4.3099999999999996</v>
          </cell>
        </row>
        <row r="11">
          <cell r="A11" t="str">
            <v>France</v>
          </cell>
          <cell r="B11" t="str">
            <v>FRA</v>
          </cell>
          <cell r="C11">
            <v>4</v>
          </cell>
          <cell r="D11">
            <v>-9.5000000000000001E-2</v>
          </cell>
          <cell r="E11">
            <v>0.77200000000000002</v>
          </cell>
          <cell r="F11">
            <v>0.495</v>
          </cell>
          <cell r="G11">
            <v>0.23599999999999999</v>
          </cell>
          <cell r="H11">
            <v>0.48199999999999998</v>
          </cell>
          <cell r="I11">
            <v>0.77200000000000002</v>
          </cell>
          <cell r="J11">
            <v>0.67300000000000004</v>
          </cell>
          <cell r="K11"/>
          <cell r="L11"/>
          <cell r="M11"/>
          <cell r="N11">
            <v>0.67300000000000004</v>
          </cell>
          <cell r="O11">
            <v>0.77200000000000002</v>
          </cell>
        </row>
        <row r="12">
          <cell r="A12" t="str">
            <v>Germany</v>
          </cell>
          <cell r="B12" t="str">
            <v>DEU</v>
          </cell>
          <cell r="C12">
            <v>4</v>
          </cell>
          <cell r="D12">
            <v>3.4000000000000002E-2</v>
          </cell>
          <cell r="E12">
            <v>0.41699999999999998</v>
          </cell>
          <cell r="F12">
            <v>0.40899999999999997</v>
          </cell>
          <cell r="G12">
            <v>7.1999999999999995E-2</v>
          </cell>
          <cell r="H12">
            <v>0.33400000000000002</v>
          </cell>
          <cell r="I12">
            <v>0.41699999999999998</v>
          </cell>
          <cell r="J12">
            <v>-0.48799999999999999</v>
          </cell>
          <cell r="K12"/>
          <cell r="L12"/>
          <cell r="M12"/>
          <cell r="N12">
            <v>-0.48799999999999999</v>
          </cell>
          <cell r="O12">
            <v>0.41699999999999998</v>
          </cell>
        </row>
        <row r="13">
          <cell r="A13" t="str">
            <v>Greece</v>
          </cell>
          <cell r="B13" t="str">
            <v>GRC</v>
          </cell>
          <cell r="C13">
            <v>4</v>
          </cell>
          <cell r="D13">
            <v>1.0680000000000001</v>
          </cell>
          <cell r="E13">
            <v>1.869</v>
          </cell>
          <cell r="F13">
            <v>1.5569999999999999</v>
          </cell>
          <cell r="G13">
            <v>1.167</v>
          </cell>
          <cell r="H13">
            <v>0.89700000000000002</v>
          </cell>
          <cell r="I13">
            <v>1.869</v>
          </cell>
          <cell r="J13">
            <v>1.7450000000000001</v>
          </cell>
          <cell r="K13"/>
          <cell r="L13"/>
          <cell r="M13"/>
          <cell r="N13">
            <v>1.7450000000000001</v>
          </cell>
          <cell r="O13">
            <v>1.869</v>
          </cell>
        </row>
        <row r="14">
          <cell r="A14" t="str">
            <v>Hungary</v>
          </cell>
          <cell r="B14" t="str">
            <v>HUN</v>
          </cell>
          <cell r="C14">
            <v>4</v>
          </cell>
          <cell r="D14">
            <v>2.5920000000000001</v>
          </cell>
          <cell r="E14">
            <v>3.0489999999999999</v>
          </cell>
          <cell r="F14">
            <v>3.0470000000000002</v>
          </cell>
          <cell r="G14">
            <v>2.6160000000000001</v>
          </cell>
          <cell r="H14">
            <v>2.8159999999999998</v>
          </cell>
          <cell r="I14">
            <v>3.0489999999999999</v>
          </cell>
          <cell r="J14">
            <v>2.3159999999999998</v>
          </cell>
          <cell r="K14"/>
          <cell r="L14"/>
          <cell r="M14"/>
          <cell r="N14">
            <v>2.3159999999999998</v>
          </cell>
          <cell r="O14">
            <v>3.0489999999999999</v>
          </cell>
        </row>
        <row r="15">
          <cell r="A15" t="str">
            <v>Ireland</v>
          </cell>
          <cell r="B15" t="str">
            <v>IRL</v>
          </cell>
          <cell r="C15">
            <v>4</v>
          </cell>
          <cell r="D15">
            <v>-2.37</v>
          </cell>
          <cell r="E15">
            <v>-2.0790000000000002</v>
          </cell>
          <cell r="F15">
            <v>-1.9890000000000001</v>
          </cell>
          <cell r="G15">
            <v>-2.3460000000000001</v>
          </cell>
          <cell r="H15">
            <v>-3.4129999999999998</v>
          </cell>
          <cell r="I15">
            <v>-1.9890000000000001</v>
          </cell>
          <cell r="J15">
            <v>-0.626</v>
          </cell>
          <cell r="K15"/>
          <cell r="L15"/>
          <cell r="M15"/>
          <cell r="N15">
            <v>-0.626</v>
          </cell>
          <cell r="O15">
            <v>-0.626</v>
          </cell>
        </row>
        <row r="16">
          <cell r="A16" t="str">
            <v>Italy</v>
          </cell>
          <cell r="B16" t="str">
            <v>ITA</v>
          </cell>
          <cell r="C16">
            <v>4</v>
          </cell>
          <cell r="D16">
            <v>2.2240000000000002</v>
          </cell>
          <cell r="E16">
            <v>3.286</v>
          </cell>
          <cell r="F16">
            <v>2.7029999999999998</v>
          </cell>
          <cell r="G16">
            <v>2.5419999999999998</v>
          </cell>
          <cell r="H16">
            <v>2.4710000000000001</v>
          </cell>
          <cell r="I16">
            <v>3.286</v>
          </cell>
          <cell r="J16">
            <v>3.1680000000000001</v>
          </cell>
          <cell r="K16"/>
          <cell r="L16"/>
          <cell r="M16"/>
          <cell r="N16">
            <v>3.1680000000000001</v>
          </cell>
          <cell r="O16">
            <v>3.286</v>
          </cell>
        </row>
        <row r="17">
          <cell r="A17" t="str">
            <v>Latvia</v>
          </cell>
          <cell r="B17" t="str">
            <v>LVA</v>
          </cell>
          <cell r="C17">
            <v>4</v>
          </cell>
          <cell r="D17">
            <v>-1.3260000000000001</v>
          </cell>
          <cell r="E17">
            <v>-0.998</v>
          </cell>
          <cell r="F17">
            <v>-0.95199999999999996</v>
          </cell>
          <cell r="G17">
            <v>-1.2929999999999999</v>
          </cell>
          <cell r="H17">
            <v>-1.0609999999999999</v>
          </cell>
          <cell r="I17">
            <v>-0.95199999999999996</v>
          </cell>
          <cell r="J17">
            <v>-1.165</v>
          </cell>
          <cell r="K17"/>
          <cell r="L17"/>
          <cell r="M17"/>
          <cell r="N17">
            <v>-1.165</v>
          </cell>
          <cell r="O17">
            <v>-0.95199999999999996</v>
          </cell>
        </row>
        <row r="18">
          <cell r="A18" t="str">
            <v>Lithuania</v>
          </cell>
          <cell r="B18" t="str">
            <v>LTU</v>
          </cell>
          <cell r="C18">
            <v>4</v>
          </cell>
          <cell r="D18">
            <v>-1.1419999999999999</v>
          </cell>
          <cell r="E18">
            <v>-0.84099999999999997</v>
          </cell>
          <cell r="F18">
            <v>-0.76500000000000001</v>
          </cell>
          <cell r="G18">
            <v>-1.1140000000000001</v>
          </cell>
          <cell r="H18">
            <v>-1.996</v>
          </cell>
          <cell r="I18">
            <v>-0.76500000000000001</v>
          </cell>
          <cell r="J18">
            <v>1.4999999999999999E-2</v>
          </cell>
          <cell r="K18"/>
          <cell r="L18"/>
          <cell r="M18"/>
          <cell r="N18">
            <v>1.4999999999999999E-2</v>
          </cell>
          <cell r="O18">
            <v>1.4999999999999999E-2</v>
          </cell>
        </row>
        <row r="19">
          <cell r="A19" t="str">
            <v>Luxembourg</v>
          </cell>
          <cell r="B19" t="str">
            <v>LUX</v>
          </cell>
          <cell r="C19">
            <v>4</v>
          </cell>
          <cell r="D19">
            <v>-3.4380000000000002</v>
          </cell>
          <cell r="E19">
            <v>-3.2069999999999999</v>
          </cell>
          <cell r="F19">
            <v>-3.0579999999999998</v>
          </cell>
          <cell r="G19">
            <v>-3.4220000000000002</v>
          </cell>
          <cell r="H19">
            <v>-5.0549999999999997</v>
          </cell>
          <cell r="I19">
            <v>-3.0579999999999998</v>
          </cell>
          <cell r="J19">
            <v>-0.75</v>
          </cell>
          <cell r="K19"/>
          <cell r="L19"/>
          <cell r="M19"/>
          <cell r="N19">
            <v>-0.75</v>
          </cell>
          <cell r="O19">
            <v>-0.75</v>
          </cell>
        </row>
        <row r="20">
          <cell r="A20" t="str">
            <v>Malta</v>
          </cell>
          <cell r="B20" t="str">
            <v>MLT</v>
          </cell>
          <cell r="C20">
            <v>4</v>
          </cell>
          <cell r="D20">
            <v>-2.2669999999999999</v>
          </cell>
          <cell r="E20">
            <v>-1.9550000000000001</v>
          </cell>
          <cell r="F20">
            <v>-1.88</v>
          </cell>
          <cell r="G20">
            <v>-2.238</v>
          </cell>
          <cell r="H20">
            <v>-1.9079999999999999</v>
          </cell>
          <cell r="I20">
            <v>-1.88</v>
          </cell>
          <cell r="J20">
            <v>-1.2529999999999999</v>
          </cell>
          <cell r="K20">
            <v>-1.377</v>
          </cell>
          <cell r="L20"/>
          <cell r="M20">
            <v>-0.996</v>
          </cell>
          <cell r="N20">
            <v>-0.996</v>
          </cell>
          <cell r="O20">
            <v>-0.996</v>
          </cell>
        </row>
        <row r="21">
          <cell r="A21" t="str">
            <v>Netherlands</v>
          </cell>
          <cell r="B21" t="str">
            <v>NLD</v>
          </cell>
          <cell r="C21">
            <v>4</v>
          </cell>
          <cell r="D21">
            <v>-0.93100000000000005</v>
          </cell>
          <cell r="E21">
            <v>-0.63600000000000001</v>
          </cell>
          <cell r="F21">
            <v>-0.55700000000000005</v>
          </cell>
          <cell r="G21">
            <v>-0.90800000000000003</v>
          </cell>
          <cell r="H21">
            <v>-1.64</v>
          </cell>
          <cell r="I21">
            <v>-0.55700000000000005</v>
          </cell>
          <cell r="J21">
            <v>-0.28000000000000003</v>
          </cell>
          <cell r="K21"/>
          <cell r="L21"/>
          <cell r="M21"/>
          <cell r="N21">
            <v>-0.28000000000000003</v>
          </cell>
          <cell r="O21">
            <v>-0.28000000000000003</v>
          </cell>
        </row>
        <row r="22">
          <cell r="A22" t="str">
            <v>Poland</v>
          </cell>
          <cell r="B22" t="str">
            <v>POL</v>
          </cell>
          <cell r="C22">
            <v>4</v>
          </cell>
          <cell r="D22">
            <v>-3.9E-2</v>
          </cell>
          <cell r="E22">
            <v>0.32600000000000001</v>
          </cell>
          <cell r="F22">
            <v>0.33200000000000002</v>
          </cell>
          <cell r="G22">
            <v>2E-3</v>
          </cell>
          <cell r="H22">
            <v>0.60899999999999999</v>
          </cell>
          <cell r="I22">
            <v>0.60899999999999999</v>
          </cell>
          <cell r="J22">
            <v>0.49199999999999999</v>
          </cell>
          <cell r="K22"/>
          <cell r="L22"/>
          <cell r="M22"/>
          <cell r="N22">
            <v>0.49199999999999999</v>
          </cell>
          <cell r="O22">
            <v>0.60899999999999999</v>
          </cell>
        </row>
        <row r="23">
          <cell r="A23" t="str">
            <v>Portugal</v>
          </cell>
          <cell r="B23" t="str">
            <v>PRT</v>
          </cell>
          <cell r="C23">
            <v>4</v>
          </cell>
          <cell r="D23">
            <v>2.0129999999999999</v>
          </cell>
          <cell r="E23">
            <v>2.5659999999999998</v>
          </cell>
          <cell r="F23">
            <v>2.5070000000000001</v>
          </cell>
          <cell r="G23">
            <v>2.028</v>
          </cell>
          <cell r="H23">
            <v>1.98</v>
          </cell>
          <cell r="I23">
            <v>2.5659999999999998</v>
          </cell>
          <cell r="J23">
            <v>1.6819999999999999</v>
          </cell>
          <cell r="K23"/>
          <cell r="L23"/>
          <cell r="M23"/>
          <cell r="N23">
            <v>1.6819999999999999</v>
          </cell>
          <cell r="O23">
            <v>2.5659999999999998</v>
          </cell>
        </row>
        <row r="24">
          <cell r="A24" t="str">
            <v>Romania</v>
          </cell>
          <cell r="B24" t="str">
            <v>ROU</v>
          </cell>
          <cell r="C24">
            <v>4</v>
          </cell>
          <cell r="D24">
            <v>-0.67900000000000005</v>
          </cell>
          <cell r="E24">
            <v>-0.33400000000000002</v>
          </cell>
          <cell r="F24">
            <v>-0.30199999999999999</v>
          </cell>
          <cell r="G24">
            <v>-0.64300000000000002</v>
          </cell>
          <cell r="H24">
            <v>5.8999999999999997E-2</v>
          </cell>
          <cell r="I24">
            <v>5.8999999999999997E-2</v>
          </cell>
          <cell r="J24">
            <v>0.129</v>
          </cell>
          <cell r="K24"/>
          <cell r="L24"/>
          <cell r="M24"/>
          <cell r="N24">
            <v>0.129</v>
          </cell>
          <cell r="O24">
            <v>0.129</v>
          </cell>
        </row>
        <row r="25">
          <cell r="A25" t="str">
            <v>Slovakia</v>
          </cell>
          <cell r="B25" t="str">
            <v>SVK</v>
          </cell>
          <cell r="C25">
            <v>4</v>
          </cell>
          <cell r="D25">
            <v>0.45800000000000002</v>
          </cell>
          <cell r="E25">
            <v>0.77800000000000002</v>
          </cell>
          <cell r="F25">
            <v>0.83399999999999996</v>
          </cell>
          <cell r="G25">
            <v>0.48799999999999999</v>
          </cell>
          <cell r="H25">
            <v>0.70299999999999996</v>
          </cell>
          <cell r="I25">
            <v>0.83399999999999996</v>
          </cell>
          <cell r="J25">
            <v>0.42699999999999999</v>
          </cell>
          <cell r="K25"/>
          <cell r="L25"/>
          <cell r="M25"/>
          <cell r="N25">
            <v>0.42699999999999999</v>
          </cell>
          <cell r="O25">
            <v>0.83399999999999996</v>
          </cell>
        </row>
        <row r="26">
          <cell r="A26" t="str">
            <v>Slovenia</v>
          </cell>
          <cell r="B26" t="str">
            <v>SVN</v>
          </cell>
          <cell r="C26">
            <v>4</v>
          </cell>
          <cell r="D26">
            <v>0.13500000000000001</v>
          </cell>
          <cell r="E26">
            <v>0.46</v>
          </cell>
          <cell r="F26">
            <v>0.51500000000000001</v>
          </cell>
          <cell r="G26">
            <v>0.16200000000000001</v>
          </cell>
          <cell r="H26">
            <v>0.32100000000000001</v>
          </cell>
          <cell r="I26">
            <v>0.51500000000000001</v>
          </cell>
          <cell r="J26">
            <v>0.372</v>
          </cell>
          <cell r="K26"/>
          <cell r="L26"/>
          <cell r="M26"/>
          <cell r="N26">
            <v>0.372</v>
          </cell>
          <cell r="O26">
            <v>0.51500000000000001</v>
          </cell>
        </row>
        <row r="27">
          <cell r="A27" t="str">
            <v>Spain</v>
          </cell>
          <cell r="B27" t="str">
            <v>ESP</v>
          </cell>
          <cell r="C27">
            <v>4</v>
          </cell>
          <cell r="D27">
            <v>2.0470000000000002</v>
          </cell>
          <cell r="E27">
            <v>2.73</v>
          </cell>
          <cell r="F27">
            <v>2.5409999999999999</v>
          </cell>
          <cell r="G27">
            <v>2.0950000000000002</v>
          </cell>
          <cell r="H27">
            <v>1.075</v>
          </cell>
          <cell r="I27">
            <v>2.73</v>
          </cell>
          <cell r="J27">
            <v>2.2069999999999999</v>
          </cell>
          <cell r="K27"/>
          <cell r="L27"/>
          <cell r="M27"/>
          <cell r="N27">
            <v>2.2069999999999999</v>
          </cell>
          <cell r="O27">
            <v>2.73</v>
          </cell>
        </row>
        <row r="28">
          <cell r="A28" t="str">
            <v>Sweden</v>
          </cell>
          <cell r="B28" t="str">
            <v>SWE</v>
          </cell>
          <cell r="C28">
            <v>4</v>
          </cell>
          <cell r="D28">
            <v>-2.6869999999999998</v>
          </cell>
          <cell r="E28">
            <v>-2.3889999999999998</v>
          </cell>
          <cell r="F28">
            <v>-2.3170000000000002</v>
          </cell>
          <cell r="G28">
            <v>-2.6669999999999998</v>
          </cell>
          <cell r="H28">
            <v>-3.52</v>
          </cell>
          <cell r="I28">
            <v>-2.3170000000000002</v>
          </cell>
          <cell r="J28">
            <v>-1.0760000000000001</v>
          </cell>
          <cell r="K28"/>
          <cell r="L28"/>
          <cell r="M28"/>
          <cell r="N28">
            <v>-1.0760000000000001</v>
          </cell>
          <cell r="O28">
            <v>-1.0760000000000001</v>
          </cell>
        </row>
        <row r="29">
          <cell r="A29" t="str">
            <v>Austria</v>
          </cell>
          <cell r="B29" t="str">
            <v>AUT</v>
          </cell>
          <cell r="C29">
            <v>7</v>
          </cell>
          <cell r="D29">
            <v>-0.06</v>
          </cell>
          <cell r="E29">
            <v>0.55000000000000004</v>
          </cell>
          <cell r="F29">
            <v>0.44900000000000001</v>
          </cell>
          <cell r="G29">
            <v>-3.6999999999999998E-2</v>
          </cell>
          <cell r="H29">
            <v>0.71299999999999997</v>
          </cell>
          <cell r="I29">
            <v>0.71299999999999997</v>
          </cell>
          <cell r="J29">
            <v>-0.23899999999999999</v>
          </cell>
          <cell r="K29"/>
          <cell r="L29"/>
          <cell r="M29"/>
          <cell r="N29">
            <v>-0.23899999999999999</v>
          </cell>
          <cell r="O29">
            <v>0.71299999999999997</v>
          </cell>
        </row>
        <row r="30">
          <cell r="A30" t="str">
            <v>Belgium</v>
          </cell>
          <cell r="B30" t="str">
            <v>BEL</v>
          </cell>
          <cell r="C30">
            <v>7</v>
          </cell>
          <cell r="D30">
            <v>0.39</v>
          </cell>
          <cell r="E30">
            <v>1.135</v>
          </cell>
          <cell r="F30">
            <v>0.89300000000000002</v>
          </cell>
          <cell r="G30">
            <v>0.45100000000000001</v>
          </cell>
          <cell r="H30">
            <v>0.65700000000000003</v>
          </cell>
          <cell r="I30">
            <v>1.135</v>
          </cell>
          <cell r="J30">
            <v>0.92300000000000004</v>
          </cell>
          <cell r="K30">
            <v>1.1299999999999999</v>
          </cell>
          <cell r="L30"/>
          <cell r="M30"/>
          <cell r="N30">
            <v>0.92300000000000004</v>
          </cell>
          <cell r="O30">
            <v>1.1299999999999999</v>
          </cell>
        </row>
        <row r="31">
          <cell r="A31" t="str">
            <v>Bulgaria</v>
          </cell>
          <cell r="B31" t="str">
            <v>BGR</v>
          </cell>
          <cell r="C31">
            <v>7</v>
          </cell>
          <cell r="D31">
            <v>-2.633</v>
          </cell>
          <cell r="E31">
            <v>-2.379</v>
          </cell>
          <cell r="F31">
            <v>-2.3199999999999998</v>
          </cell>
          <cell r="G31">
            <v>-2.605</v>
          </cell>
          <cell r="H31">
            <v>-2.64</v>
          </cell>
          <cell r="I31">
            <v>-2.3199999999999998</v>
          </cell>
          <cell r="J31">
            <v>-1.792</v>
          </cell>
          <cell r="K31"/>
          <cell r="L31"/>
          <cell r="M31"/>
          <cell r="N31">
            <v>-1.792</v>
          </cell>
          <cell r="O31">
            <v>-1.792</v>
          </cell>
        </row>
        <row r="32">
          <cell r="A32" t="str">
            <v>Croatia</v>
          </cell>
          <cell r="B32" t="str">
            <v>HRV</v>
          </cell>
          <cell r="C32">
            <v>7</v>
          </cell>
          <cell r="D32">
            <v>-0.313</v>
          </cell>
          <cell r="E32">
            <v>2.1000000000000001E-2</v>
          </cell>
          <cell r="F32">
            <v>1E-3</v>
          </cell>
          <cell r="G32">
            <v>-0.27800000000000002</v>
          </cell>
          <cell r="H32">
            <v>0.54800000000000004</v>
          </cell>
          <cell r="I32">
            <v>0.54800000000000004</v>
          </cell>
          <cell r="J32">
            <v>-0.93200000000000005</v>
          </cell>
          <cell r="K32"/>
          <cell r="L32"/>
          <cell r="M32"/>
          <cell r="N32">
            <v>-0.93200000000000005</v>
          </cell>
          <cell r="O32">
            <v>0.54800000000000004</v>
          </cell>
        </row>
        <row r="33">
          <cell r="A33" t="str">
            <v>Cyprus</v>
          </cell>
          <cell r="B33" t="str">
            <v>CYP</v>
          </cell>
          <cell r="C33">
            <v>7</v>
          </cell>
          <cell r="D33">
            <v>-0.47299999999999998</v>
          </cell>
          <cell r="E33">
            <v>-0.189</v>
          </cell>
          <cell r="F33">
            <v>-0.158</v>
          </cell>
          <cell r="G33">
            <v>-0.46800000000000003</v>
          </cell>
          <cell r="H33">
            <v>-0.41599999999999998</v>
          </cell>
          <cell r="I33">
            <v>-0.158</v>
          </cell>
          <cell r="J33">
            <v>0.29199999999999998</v>
          </cell>
          <cell r="K33"/>
          <cell r="L33"/>
          <cell r="M33"/>
          <cell r="N33">
            <v>0.29199999999999998</v>
          </cell>
          <cell r="O33">
            <v>0.29199999999999998</v>
          </cell>
        </row>
        <row r="34">
          <cell r="A34" t="str">
            <v>Czechia</v>
          </cell>
          <cell r="B34" t="str">
            <v>CZE</v>
          </cell>
          <cell r="C34">
            <v>7</v>
          </cell>
          <cell r="D34">
            <v>-0.36099999999999999</v>
          </cell>
          <cell r="E34">
            <v>-8.5999999999999993E-2</v>
          </cell>
          <cell r="F34">
            <v>-5.1999999999999998E-2</v>
          </cell>
          <cell r="G34">
            <v>-0.33600000000000002</v>
          </cell>
          <cell r="H34">
            <v>-0.84</v>
          </cell>
          <cell r="I34">
            <v>-5.1999999999999998E-2</v>
          </cell>
          <cell r="J34">
            <v>0.61699999999999999</v>
          </cell>
          <cell r="K34"/>
          <cell r="L34"/>
          <cell r="M34"/>
          <cell r="N34">
            <v>0.61699999999999999</v>
          </cell>
          <cell r="O34">
            <v>0.61699999999999999</v>
          </cell>
        </row>
        <row r="35">
          <cell r="A35" t="str">
            <v>Denmark</v>
          </cell>
          <cell r="B35" t="str">
            <v>DNK</v>
          </cell>
          <cell r="C35">
            <v>7</v>
          </cell>
          <cell r="D35">
            <v>-3.4630000000000001</v>
          </cell>
          <cell r="E35">
            <v>-3.2090000000000001</v>
          </cell>
          <cell r="F35">
            <v>-3.1469999999999998</v>
          </cell>
          <cell r="G35">
            <v>-3.4409999999999998</v>
          </cell>
          <cell r="H35">
            <v>-5.2629999999999999</v>
          </cell>
          <cell r="I35">
            <v>-3.1469999999999998</v>
          </cell>
          <cell r="J35">
            <v>-1.571</v>
          </cell>
          <cell r="K35"/>
          <cell r="L35"/>
          <cell r="M35"/>
          <cell r="N35">
            <v>-1.571</v>
          </cell>
          <cell r="O35">
            <v>-1.571</v>
          </cell>
        </row>
        <row r="36">
          <cell r="A36" t="str">
            <v>Estonia</v>
          </cell>
          <cell r="B36" t="str">
            <v>EST</v>
          </cell>
          <cell r="C36">
            <v>7</v>
          </cell>
          <cell r="D36">
            <v>-3.0920000000000001</v>
          </cell>
          <cell r="E36">
            <v>-2.8769999999999998</v>
          </cell>
          <cell r="F36">
            <v>-2.778</v>
          </cell>
          <cell r="G36">
            <v>-3.0760000000000001</v>
          </cell>
          <cell r="H36">
            <v>-3.7719999999999998</v>
          </cell>
          <cell r="I36">
            <v>-2.778</v>
          </cell>
          <cell r="J36">
            <v>-1.931</v>
          </cell>
          <cell r="K36"/>
          <cell r="L36"/>
          <cell r="M36"/>
          <cell r="N36">
            <v>-1.931</v>
          </cell>
          <cell r="O36">
            <v>-1.931</v>
          </cell>
        </row>
        <row r="37">
          <cell r="A37" t="str">
            <v>Finland</v>
          </cell>
          <cell r="B37" t="str">
            <v>FIN</v>
          </cell>
          <cell r="C37">
            <v>7</v>
          </cell>
          <cell r="D37">
            <v>0.34899999999999998</v>
          </cell>
          <cell r="E37">
            <v>0.81599999999999995</v>
          </cell>
          <cell r="F37">
            <v>0.64300000000000002</v>
          </cell>
          <cell r="G37">
            <v>0.49099999999999999</v>
          </cell>
          <cell r="H37">
            <v>0.98</v>
          </cell>
          <cell r="I37">
            <v>0.98</v>
          </cell>
          <cell r="J37">
            <v>-0.61499999999999999</v>
          </cell>
          <cell r="K37"/>
          <cell r="L37">
            <v>3.3210000000000002</v>
          </cell>
          <cell r="M37"/>
          <cell r="N37">
            <v>3.3210000000000002</v>
          </cell>
          <cell r="O37">
            <v>3.3210000000000002</v>
          </cell>
        </row>
        <row r="38">
          <cell r="A38" t="str">
            <v>France</v>
          </cell>
          <cell r="B38" t="str">
            <v>FRA</v>
          </cell>
          <cell r="C38">
            <v>7</v>
          </cell>
          <cell r="D38">
            <v>-2.3E-2</v>
          </cell>
          <cell r="E38">
            <v>0.79500000000000004</v>
          </cell>
          <cell r="F38">
            <v>0.53300000000000003</v>
          </cell>
          <cell r="G38">
            <v>0.38300000000000001</v>
          </cell>
          <cell r="H38">
            <v>0.58699999999999997</v>
          </cell>
          <cell r="I38">
            <v>0.79500000000000004</v>
          </cell>
          <cell r="J38">
            <v>0.753</v>
          </cell>
          <cell r="K38">
            <v>0.78800000000000003</v>
          </cell>
          <cell r="L38"/>
          <cell r="M38">
            <v>0.81399999999999995</v>
          </cell>
          <cell r="N38">
            <v>0.81399999999999995</v>
          </cell>
          <cell r="O38">
            <v>0.81399999999999995</v>
          </cell>
        </row>
        <row r="39">
          <cell r="A39" t="str">
            <v>Germany</v>
          </cell>
          <cell r="B39" t="str">
            <v>DEU</v>
          </cell>
          <cell r="C39">
            <v>7</v>
          </cell>
          <cell r="D39">
            <v>-0.19400000000000001</v>
          </cell>
          <cell r="E39">
            <v>0.14899999999999999</v>
          </cell>
          <cell r="F39">
            <v>0.122</v>
          </cell>
          <cell r="G39">
            <v>-0.159</v>
          </cell>
          <cell r="H39">
            <v>0.10100000000000001</v>
          </cell>
          <cell r="I39">
            <v>0.14899999999999999</v>
          </cell>
          <cell r="J39">
            <v>-0.7</v>
          </cell>
          <cell r="K39"/>
          <cell r="L39"/>
          <cell r="M39"/>
          <cell r="N39">
            <v>-0.7</v>
          </cell>
          <cell r="O39">
            <v>0.14899999999999999</v>
          </cell>
        </row>
        <row r="40">
          <cell r="A40" t="str">
            <v>Greece</v>
          </cell>
          <cell r="B40" t="str">
            <v>GRC</v>
          </cell>
          <cell r="C40">
            <v>7</v>
          </cell>
          <cell r="D40">
            <v>1.337</v>
          </cell>
          <cell r="E40">
            <v>2.1080000000000001</v>
          </cell>
          <cell r="F40">
            <v>1.819</v>
          </cell>
          <cell r="G40">
            <v>1.41</v>
          </cell>
          <cell r="H40">
            <v>1.956</v>
          </cell>
          <cell r="I40">
            <v>2.1080000000000001</v>
          </cell>
          <cell r="J40">
            <v>2.056</v>
          </cell>
          <cell r="K40"/>
          <cell r="L40"/>
          <cell r="M40"/>
          <cell r="N40">
            <v>2.056</v>
          </cell>
          <cell r="O40">
            <v>2.1080000000000001</v>
          </cell>
        </row>
        <row r="41">
          <cell r="A41" t="str">
            <v>Hungary</v>
          </cell>
          <cell r="B41" t="str">
            <v>HUN</v>
          </cell>
          <cell r="C41">
            <v>7</v>
          </cell>
          <cell r="D41">
            <v>2.9790000000000001</v>
          </cell>
          <cell r="E41">
            <v>3.2909999999999999</v>
          </cell>
          <cell r="F41">
            <v>3.2730000000000001</v>
          </cell>
          <cell r="G41">
            <v>3.0089999999999999</v>
          </cell>
          <cell r="H41">
            <v>3.3130000000000002</v>
          </cell>
          <cell r="I41">
            <v>3.3130000000000002</v>
          </cell>
          <cell r="J41">
            <v>2.762</v>
          </cell>
          <cell r="K41">
            <v>3.3090000000000002</v>
          </cell>
          <cell r="L41"/>
          <cell r="M41"/>
          <cell r="N41">
            <v>2.762</v>
          </cell>
          <cell r="O41">
            <v>3.3090000000000002</v>
          </cell>
        </row>
        <row r="42">
          <cell r="A42" t="str">
            <v>Ireland</v>
          </cell>
          <cell r="B42" t="str">
            <v>IRL</v>
          </cell>
          <cell r="C42">
            <v>7</v>
          </cell>
          <cell r="D42">
            <v>-2.363</v>
          </cell>
          <cell r="E42">
            <v>-2.109</v>
          </cell>
          <cell r="F42">
            <v>-2.0419999999999998</v>
          </cell>
          <cell r="G42">
            <v>-2.34</v>
          </cell>
          <cell r="H42">
            <v>-3.3330000000000002</v>
          </cell>
          <cell r="I42">
            <v>-2.0419999999999998</v>
          </cell>
          <cell r="J42">
            <v>-0.59699999999999998</v>
          </cell>
          <cell r="K42"/>
          <cell r="L42"/>
          <cell r="M42"/>
          <cell r="N42">
            <v>-0.59699999999999998</v>
          </cell>
          <cell r="O42">
            <v>-0.59699999999999998</v>
          </cell>
        </row>
        <row r="43">
          <cell r="A43" t="str">
            <v>Italy</v>
          </cell>
          <cell r="B43" t="str">
            <v>ITA</v>
          </cell>
          <cell r="C43">
            <v>7</v>
          </cell>
          <cell r="D43">
            <v>2.0089999999999999</v>
          </cell>
          <cell r="E43">
            <v>2.9969999999999999</v>
          </cell>
          <cell r="F43">
            <v>2.57</v>
          </cell>
          <cell r="G43">
            <v>2.742</v>
          </cell>
          <cell r="H43">
            <v>2.7709999999999999</v>
          </cell>
          <cell r="I43">
            <v>2.9969999999999999</v>
          </cell>
          <cell r="J43">
            <v>3.1240000000000001</v>
          </cell>
          <cell r="K43">
            <v>3.1040000000000001</v>
          </cell>
          <cell r="L43"/>
          <cell r="M43"/>
          <cell r="N43">
            <v>3.1240000000000001</v>
          </cell>
          <cell r="O43">
            <v>3.1040000000000001</v>
          </cell>
        </row>
        <row r="44">
          <cell r="A44" t="str">
            <v>Latvia</v>
          </cell>
          <cell r="B44" t="str">
            <v>LVA</v>
          </cell>
          <cell r="C44">
            <v>7</v>
          </cell>
          <cell r="D44">
            <v>-1.085</v>
          </cell>
          <cell r="E44">
            <v>-0.78800000000000003</v>
          </cell>
          <cell r="F44">
            <v>-0.77200000000000002</v>
          </cell>
          <cell r="G44">
            <v>-1.0549999999999999</v>
          </cell>
          <cell r="H44">
            <v>-0.69399999999999995</v>
          </cell>
          <cell r="I44">
            <v>-0.69399999999999995</v>
          </cell>
          <cell r="J44">
            <v>-1.159</v>
          </cell>
          <cell r="K44"/>
          <cell r="L44"/>
          <cell r="M44"/>
          <cell r="N44">
            <v>-1.159</v>
          </cell>
          <cell r="O44">
            <v>-0.69399999999999995</v>
          </cell>
        </row>
        <row r="45">
          <cell r="A45" t="str">
            <v>Lithuania</v>
          </cell>
          <cell r="B45" t="str">
            <v>LTU</v>
          </cell>
          <cell r="C45">
            <v>7</v>
          </cell>
          <cell r="D45">
            <v>-1.0900000000000001</v>
          </cell>
          <cell r="E45">
            <v>-0.82099999999999995</v>
          </cell>
          <cell r="F45">
            <v>-0.77300000000000002</v>
          </cell>
          <cell r="G45">
            <v>-1.0640000000000001</v>
          </cell>
          <cell r="H45">
            <v>-1.7350000000000001</v>
          </cell>
          <cell r="I45">
            <v>-0.77300000000000002</v>
          </cell>
          <cell r="J45">
            <v>-0.155</v>
          </cell>
          <cell r="K45"/>
          <cell r="L45"/>
          <cell r="M45"/>
          <cell r="N45">
            <v>-0.155</v>
          </cell>
          <cell r="O45">
            <v>-0.155</v>
          </cell>
        </row>
        <row r="46">
          <cell r="A46" t="str">
            <v>Luxembourg</v>
          </cell>
          <cell r="B46" t="str">
            <v>LUX</v>
          </cell>
          <cell r="C46">
            <v>7</v>
          </cell>
          <cell r="D46">
            <v>-3.3580000000000001</v>
          </cell>
          <cell r="E46">
            <v>-3.1549999999999998</v>
          </cell>
          <cell r="F46">
            <v>-3.0369999999999999</v>
          </cell>
          <cell r="G46">
            <v>-3.3450000000000002</v>
          </cell>
          <cell r="H46">
            <v>-4.6900000000000004</v>
          </cell>
          <cell r="I46">
            <v>-3.0369999999999999</v>
          </cell>
          <cell r="J46">
            <v>-0.83799999999999997</v>
          </cell>
          <cell r="K46"/>
          <cell r="L46"/>
          <cell r="M46"/>
          <cell r="N46">
            <v>-0.83799999999999997</v>
          </cell>
          <cell r="O46">
            <v>-0.83799999999999997</v>
          </cell>
        </row>
        <row r="47">
          <cell r="A47" t="str">
            <v>Malta</v>
          </cell>
          <cell r="B47" t="str">
            <v>MLT</v>
          </cell>
          <cell r="C47">
            <v>7</v>
          </cell>
          <cell r="D47">
            <v>-1.6679999999999999</v>
          </cell>
          <cell r="E47">
            <v>-1.391</v>
          </cell>
          <cell r="F47">
            <v>-1.341</v>
          </cell>
          <cell r="G47">
            <v>-1.643</v>
          </cell>
          <cell r="H47">
            <v>-1.367</v>
          </cell>
          <cell r="I47">
            <v>-1.341</v>
          </cell>
          <cell r="J47">
            <v>-1</v>
          </cell>
          <cell r="K47">
            <v>-1.05</v>
          </cell>
          <cell r="L47"/>
          <cell r="M47"/>
          <cell r="N47">
            <v>-1</v>
          </cell>
          <cell r="O47">
            <v>-1.05</v>
          </cell>
        </row>
        <row r="48">
          <cell r="A48" t="str">
            <v>Netherlands</v>
          </cell>
          <cell r="B48" t="str">
            <v>NLD</v>
          </cell>
          <cell r="C48">
            <v>7</v>
          </cell>
          <cell r="D48">
            <v>-0.93700000000000006</v>
          </cell>
          <cell r="E48">
            <v>-0.67</v>
          </cell>
          <cell r="F48">
            <v>-0.623</v>
          </cell>
          <cell r="G48">
            <v>-0.91600000000000004</v>
          </cell>
          <cell r="H48">
            <v>-1.3919999999999999</v>
          </cell>
          <cell r="I48">
            <v>-0.623</v>
          </cell>
          <cell r="J48">
            <v>-0.39200000000000002</v>
          </cell>
          <cell r="K48"/>
          <cell r="L48"/>
          <cell r="M48"/>
          <cell r="N48">
            <v>-0.39200000000000002</v>
          </cell>
          <cell r="O48">
            <v>-0.39200000000000002</v>
          </cell>
        </row>
        <row r="49">
          <cell r="A49" t="str">
            <v>Poland</v>
          </cell>
          <cell r="B49" t="str">
            <v>POL</v>
          </cell>
          <cell r="C49">
            <v>7</v>
          </cell>
          <cell r="D49">
            <v>0.35099999999999998</v>
          </cell>
          <cell r="E49">
            <v>0.67500000000000004</v>
          </cell>
          <cell r="F49">
            <v>0.65800000000000003</v>
          </cell>
          <cell r="G49">
            <v>0.38600000000000001</v>
          </cell>
          <cell r="H49">
            <v>0.81699999999999995</v>
          </cell>
          <cell r="I49">
            <v>0.81699999999999995</v>
          </cell>
          <cell r="J49">
            <v>0.53300000000000003</v>
          </cell>
          <cell r="K49">
            <v>0.81299999999999994</v>
          </cell>
          <cell r="L49"/>
          <cell r="M49">
            <v>0.89500000000000002</v>
          </cell>
          <cell r="N49">
            <v>0.89500000000000002</v>
          </cell>
          <cell r="O49">
            <v>0.89500000000000002</v>
          </cell>
        </row>
        <row r="50">
          <cell r="A50" t="str">
            <v>Portugal</v>
          </cell>
          <cell r="B50" t="str">
            <v>PRT</v>
          </cell>
          <cell r="C50">
            <v>7</v>
          </cell>
          <cell r="D50">
            <v>1.77</v>
          </cell>
          <cell r="E50">
            <v>2.2890000000000001</v>
          </cell>
          <cell r="F50">
            <v>2.2629999999999999</v>
          </cell>
          <cell r="G50">
            <v>1.79</v>
          </cell>
          <cell r="H50">
            <v>2.1880000000000002</v>
          </cell>
          <cell r="I50">
            <v>2.2890000000000001</v>
          </cell>
          <cell r="J50">
            <v>1.4610000000000001</v>
          </cell>
          <cell r="K50"/>
          <cell r="L50"/>
          <cell r="M50"/>
          <cell r="N50">
            <v>1.4610000000000001</v>
          </cell>
          <cell r="O50">
            <v>2.2890000000000001</v>
          </cell>
        </row>
        <row r="51">
          <cell r="A51" t="str">
            <v>Romania</v>
          </cell>
          <cell r="B51" t="str">
            <v>ROU</v>
          </cell>
          <cell r="C51">
            <v>7</v>
          </cell>
          <cell r="D51">
            <v>6.4000000000000001E-2</v>
          </cell>
          <cell r="E51">
            <v>0.378</v>
          </cell>
          <cell r="F51">
            <v>0.378</v>
          </cell>
          <cell r="G51">
            <v>9.7000000000000003E-2</v>
          </cell>
          <cell r="H51">
            <v>0.83899999999999997</v>
          </cell>
          <cell r="I51">
            <v>0.83899999999999997</v>
          </cell>
          <cell r="J51">
            <v>0.36</v>
          </cell>
          <cell r="K51"/>
          <cell r="L51"/>
          <cell r="M51"/>
          <cell r="N51">
            <v>0.36</v>
          </cell>
          <cell r="O51">
            <v>0.83899999999999997</v>
          </cell>
        </row>
        <row r="52">
          <cell r="A52" t="str">
            <v>Slovakia</v>
          </cell>
          <cell r="B52" t="str">
            <v>SVK</v>
          </cell>
          <cell r="C52">
            <v>7</v>
          </cell>
          <cell r="D52">
            <v>0.83</v>
          </cell>
          <cell r="E52">
            <v>1.1160000000000001</v>
          </cell>
          <cell r="F52">
            <v>1.1439999999999999</v>
          </cell>
          <cell r="G52">
            <v>0.85499999999999998</v>
          </cell>
          <cell r="H52">
            <v>0.90600000000000003</v>
          </cell>
          <cell r="I52">
            <v>1.1439999999999999</v>
          </cell>
          <cell r="J52">
            <v>0.56499999999999995</v>
          </cell>
          <cell r="K52"/>
          <cell r="L52"/>
          <cell r="M52"/>
          <cell r="N52">
            <v>0.56499999999999995</v>
          </cell>
          <cell r="O52">
            <v>1.1439999999999999</v>
          </cell>
        </row>
        <row r="53">
          <cell r="A53" t="str">
            <v>Slovenia</v>
          </cell>
          <cell r="B53" t="str">
            <v>SVN</v>
          </cell>
          <cell r="C53">
            <v>7</v>
          </cell>
          <cell r="D53">
            <v>0.192</v>
          </cell>
          <cell r="E53">
            <v>0.47899999999999998</v>
          </cell>
          <cell r="F53">
            <v>0.51</v>
          </cell>
          <cell r="G53">
            <v>0.216</v>
          </cell>
          <cell r="H53">
            <v>0.35099999999999998</v>
          </cell>
          <cell r="I53">
            <v>0.51</v>
          </cell>
          <cell r="J53">
            <v>0.43</v>
          </cell>
          <cell r="K53"/>
          <cell r="L53"/>
          <cell r="M53"/>
          <cell r="N53">
            <v>0.43</v>
          </cell>
          <cell r="O53">
            <v>0.51</v>
          </cell>
        </row>
        <row r="54">
          <cell r="A54" t="str">
            <v>Spain</v>
          </cell>
          <cell r="B54" t="str">
            <v>ESP</v>
          </cell>
          <cell r="C54">
            <v>7</v>
          </cell>
          <cell r="D54">
            <v>2.1080000000000001</v>
          </cell>
          <cell r="E54">
            <v>2.7770000000000001</v>
          </cell>
          <cell r="F54">
            <v>2.5990000000000002</v>
          </cell>
          <cell r="G54">
            <v>2.1469999999999998</v>
          </cell>
          <cell r="H54">
            <v>1.6679999999999999</v>
          </cell>
          <cell r="I54">
            <v>2.7770000000000001</v>
          </cell>
          <cell r="J54">
            <v>2.274</v>
          </cell>
          <cell r="K54"/>
          <cell r="L54"/>
          <cell r="M54"/>
          <cell r="N54">
            <v>2.274</v>
          </cell>
          <cell r="O54">
            <v>2.7770000000000001</v>
          </cell>
        </row>
        <row r="55">
          <cell r="A55" t="str">
            <v>Sweden</v>
          </cell>
          <cell r="B55" t="str">
            <v>SWE</v>
          </cell>
          <cell r="C55">
            <v>7</v>
          </cell>
          <cell r="D55">
            <v>-2.7949999999999999</v>
          </cell>
          <cell r="E55">
            <v>-2.5190000000000001</v>
          </cell>
          <cell r="F55">
            <v>-2.4769999999999999</v>
          </cell>
          <cell r="G55">
            <v>-2.7730000000000001</v>
          </cell>
          <cell r="H55">
            <v>-3.4159999999999999</v>
          </cell>
          <cell r="I55">
            <v>-2.4769999999999999</v>
          </cell>
          <cell r="J55">
            <v>-1.661</v>
          </cell>
          <cell r="K55"/>
          <cell r="L55"/>
          <cell r="M55"/>
          <cell r="N55">
            <v>-1.661</v>
          </cell>
          <cell r="O55">
            <v>-1.661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89EC5-C8DD-4D2B-9ADF-5BC2CE02FAC0}" name="Table1" displayName="Table1" ref="A1:F29" totalsRowShown="0" headerRowDxfId="31" dataDxfId="30" headerRowCellStyle="Normal" dataCellStyle="Normal">
  <autoFilter ref="A1:F29" xr:uid="{E0C89EC5-C8DD-4D2B-9ADF-5BC2CE02FAC0}"/>
  <sortState xmlns:xlrd2="http://schemas.microsoft.com/office/spreadsheetml/2017/richdata2" ref="A2:F29">
    <sortCondition ref="A1:A29"/>
  </sortState>
  <tableColumns count="6">
    <tableColumn id="1" xr3:uid="{289E87E4-9BDF-4509-8EB2-185D394C7825}" name="iso" dataDxfId="29" dataCellStyle="Normal"/>
    <tableColumn id="2" xr3:uid="{CA8A0CF0-55F1-4A8F-B28B-1DE986FD069E}" name="d" dataDxfId="28" dataCellStyle="Normal"/>
    <tableColumn id="6" xr3:uid="{E975F1FC-ABF0-42BF-BCE6-7210F2A51FF3}" name="sb" dataDxfId="27" dataCellStyle="Normal"/>
    <tableColumn id="3" xr3:uid="{BAF0A001-A1E6-4636-9283-DDFE7B21FE06}" name="fb" dataDxfId="26" dataCellStyle="Normal"/>
    <tableColumn id="4" xr3:uid="{60B4F78E-EFBE-4888-AE06-5B1413425799}" name="spb" dataDxfId="25" dataCellStyle="Normal"/>
    <tableColumn id="5" xr3:uid="{F0C72C74-9F42-40A3-B501-B58ACA5A964A}" name="country" dataDxfId="24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6371-901F-4DA9-9689-BC5B4E36C9C7}">
  <sheetPr>
    <pageSetUpPr fitToPage="1"/>
  </sheetPr>
  <dimension ref="A1:AQ36"/>
  <sheetViews>
    <sheetView topLeftCell="A6" zoomScale="76" zoomScaleNormal="70" workbookViewId="0">
      <selection activeCell="M41" sqref="M41"/>
    </sheetView>
  </sheetViews>
  <sheetFormatPr defaultColWidth="8.6640625" defaultRowHeight="14.4"/>
  <cols>
    <col min="1" max="1" width="10.6640625" style="2" customWidth="1"/>
    <col min="2" max="2" width="12.6640625" customWidth="1"/>
    <col min="3" max="5" width="6.33203125" customWidth="1"/>
    <col min="6" max="6" width="1.6640625" customWidth="1"/>
    <col min="7" max="8" width="6.33203125" customWidth="1"/>
    <col min="9" max="9" width="1.6640625" customWidth="1"/>
    <col min="10" max="11" width="6.33203125" customWidth="1"/>
    <col min="12" max="12" width="1.6640625" customWidth="1"/>
    <col min="13" max="14" width="6.33203125" customWidth="1"/>
    <col min="15" max="15" width="1.6640625" customWidth="1"/>
    <col min="16" max="17" width="6.33203125" customWidth="1"/>
    <col min="18" max="18" width="1.6640625" customWidth="1"/>
    <col min="19" max="20" width="6.33203125" customWidth="1"/>
    <col min="21" max="21" width="1.6640625" customWidth="1"/>
    <col min="22" max="23" width="6.33203125" customWidth="1"/>
    <col min="24" max="24" width="1.6640625" customWidth="1"/>
    <col min="25" max="26" width="6.44140625" customWidth="1"/>
    <col min="27" max="27" width="1.6640625" customWidth="1"/>
    <col min="28" max="29" width="6.33203125" customWidth="1"/>
    <col min="30" max="30" width="1.6640625" customWidth="1"/>
    <col min="31" max="32" width="8.33203125" customWidth="1"/>
    <col min="33" max="33" width="1.6640625" customWidth="1"/>
    <col min="34" max="35" width="8.44140625" customWidth="1"/>
    <col min="36" max="36" width="5.44140625" customWidth="1"/>
  </cols>
  <sheetData>
    <row r="1" spans="1:43">
      <c r="A1" s="25" t="s">
        <v>95</v>
      </c>
      <c r="B1" s="26"/>
      <c r="C1" s="26"/>
      <c r="D1" s="25"/>
      <c r="E1" s="25"/>
      <c r="F1" s="25"/>
      <c r="G1" s="25">
        <v>4</v>
      </c>
      <c r="H1" s="25">
        <v>7</v>
      </c>
      <c r="I1" s="25"/>
      <c r="J1" s="25">
        <v>4</v>
      </c>
      <c r="K1" s="25">
        <v>7</v>
      </c>
      <c r="L1" s="25"/>
      <c r="M1" s="25">
        <v>4</v>
      </c>
      <c r="N1" s="25">
        <v>7</v>
      </c>
      <c r="O1" s="25"/>
      <c r="P1" s="25">
        <v>4</v>
      </c>
      <c r="Q1" s="25">
        <v>7</v>
      </c>
      <c r="R1" s="25"/>
      <c r="S1" s="25">
        <v>4</v>
      </c>
      <c r="T1" s="25">
        <v>7</v>
      </c>
      <c r="U1" s="25"/>
      <c r="V1" s="25">
        <v>4</v>
      </c>
      <c r="W1" s="25">
        <v>7</v>
      </c>
      <c r="X1" s="25"/>
      <c r="Y1" s="25">
        <v>4</v>
      </c>
      <c r="Z1" s="25">
        <v>7</v>
      </c>
      <c r="AA1" s="25"/>
      <c r="AB1" s="25">
        <v>4</v>
      </c>
      <c r="AC1" s="25">
        <v>7</v>
      </c>
      <c r="AD1" s="25"/>
      <c r="AE1" s="25">
        <v>4</v>
      </c>
      <c r="AF1" s="25">
        <v>7</v>
      </c>
      <c r="AG1" s="25"/>
      <c r="AH1" s="25"/>
      <c r="AI1" s="25"/>
    </row>
    <row r="2" spans="1:43" s="2" customFormat="1">
      <c r="A2" s="25" t="s">
        <v>96</v>
      </c>
      <c r="B2" s="25" t="s">
        <v>33</v>
      </c>
      <c r="C2" s="25" t="s">
        <v>42</v>
      </c>
      <c r="D2" s="25" t="s">
        <v>43</v>
      </c>
      <c r="E2" s="25" t="s">
        <v>44</v>
      </c>
      <c r="F2" s="25"/>
      <c r="G2" s="25" t="s">
        <v>84</v>
      </c>
      <c r="H2" s="25" t="s">
        <v>84</v>
      </c>
      <c r="I2" s="25"/>
      <c r="J2" s="25" t="s">
        <v>85</v>
      </c>
      <c r="K2" s="25" t="s">
        <v>85</v>
      </c>
      <c r="L2" s="25"/>
      <c r="M2" s="25" t="s">
        <v>86</v>
      </c>
      <c r="N2" s="25" t="s">
        <v>86</v>
      </c>
      <c r="O2" s="25"/>
      <c r="P2" s="25" t="s">
        <v>87</v>
      </c>
      <c r="Q2" s="25" t="s">
        <v>87</v>
      </c>
      <c r="R2" s="25"/>
      <c r="S2" s="25" t="s">
        <v>88</v>
      </c>
      <c r="T2" s="25" t="s">
        <v>88</v>
      </c>
      <c r="U2" s="25"/>
      <c r="V2" s="25" t="s">
        <v>34</v>
      </c>
      <c r="W2" s="25" t="s">
        <v>34</v>
      </c>
      <c r="X2" s="25"/>
      <c r="Y2" s="25" t="s">
        <v>83</v>
      </c>
      <c r="Z2" s="25" t="s">
        <v>83</v>
      </c>
      <c r="AA2" s="25"/>
      <c r="AB2" s="25" t="s">
        <v>81</v>
      </c>
      <c r="AC2" s="25" t="s">
        <v>81</v>
      </c>
      <c r="AD2" s="25"/>
      <c r="AE2" s="25" t="s">
        <v>82</v>
      </c>
      <c r="AF2" s="25" t="s">
        <v>82</v>
      </c>
      <c r="AG2" s="26"/>
      <c r="AH2" s="25"/>
      <c r="AI2" s="25"/>
    </row>
    <row r="3" spans="1:43" ht="17.399999999999999">
      <c r="A3" s="25"/>
      <c r="B3" s="36" t="s">
        <v>114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</row>
    <row r="4" spans="1:43" ht="4.95" customHeight="1">
      <c r="A4" s="25"/>
      <c r="AG4" s="1"/>
    </row>
    <row r="5" spans="1:43" ht="16.2" customHeight="1">
      <c r="A5" s="25"/>
      <c r="B5" s="11"/>
      <c r="C5" s="37" t="s">
        <v>0</v>
      </c>
      <c r="D5" s="37"/>
      <c r="E5" s="37"/>
      <c r="F5" s="8"/>
      <c r="G5" s="37" t="s">
        <v>97</v>
      </c>
      <c r="H5" s="37"/>
      <c r="I5" s="4"/>
      <c r="J5" s="37" t="s">
        <v>99</v>
      </c>
      <c r="K5" s="37"/>
      <c r="L5" s="4"/>
      <c r="M5" s="37" t="s">
        <v>100</v>
      </c>
      <c r="N5" s="37"/>
      <c r="O5" s="4"/>
      <c r="P5" s="37" t="s">
        <v>101</v>
      </c>
      <c r="Q5" s="37"/>
      <c r="R5" s="4"/>
      <c r="S5" s="37" t="s">
        <v>98</v>
      </c>
      <c r="T5" s="37"/>
      <c r="U5" s="4"/>
      <c r="V5" s="37" t="s">
        <v>76</v>
      </c>
      <c r="W5" s="37"/>
      <c r="X5" s="4"/>
      <c r="Y5" s="37" t="s">
        <v>89</v>
      </c>
      <c r="Z5" s="37"/>
      <c r="AA5" s="4"/>
      <c r="AB5" s="37" t="s">
        <v>94</v>
      </c>
      <c r="AC5" s="37"/>
      <c r="AD5" s="4"/>
      <c r="AE5" s="37" t="s">
        <v>75</v>
      </c>
      <c r="AF5" s="37"/>
      <c r="AG5" s="18"/>
      <c r="AH5" s="37" t="s">
        <v>74</v>
      </c>
      <c r="AI5" s="37"/>
    </row>
    <row r="6" spans="1:43" ht="72" customHeight="1">
      <c r="A6" s="27"/>
      <c r="B6" s="20"/>
      <c r="C6" s="38"/>
      <c r="D6" s="38"/>
      <c r="E6" s="38"/>
      <c r="G6" s="38"/>
      <c r="H6" s="38"/>
      <c r="I6" s="6"/>
      <c r="J6" s="38"/>
      <c r="K6" s="38"/>
      <c r="L6" s="6"/>
      <c r="M6" s="38"/>
      <c r="N6" s="38"/>
      <c r="O6" s="6"/>
      <c r="P6" s="38"/>
      <c r="Q6" s="38"/>
      <c r="R6" s="6"/>
      <c r="S6" s="38"/>
      <c r="T6" s="38"/>
      <c r="U6" s="6"/>
      <c r="V6" s="38"/>
      <c r="W6" s="38"/>
      <c r="X6" s="6"/>
      <c r="Y6" s="38"/>
      <c r="Z6" s="38"/>
      <c r="AA6" s="6"/>
      <c r="AB6" s="38"/>
      <c r="AC6" s="38"/>
      <c r="AD6" s="6"/>
      <c r="AE6" s="38"/>
      <c r="AF6" s="38"/>
      <c r="AH6" s="38"/>
      <c r="AI6" s="38"/>
    </row>
    <row r="7" spans="1:43" ht="41.4">
      <c r="A7" s="27"/>
      <c r="B7" s="20"/>
      <c r="C7" s="7" t="s">
        <v>1</v>
      </c>
      <c r="D7" s="7" t="s">
        <v>2</v>
      </c>
      <c r="E7" s="7" t="s">
        <v>3</v>
      </c>
      <c r="F7" s="5"/>
      <c r="G7" s="7" t="s">
        <v>77</v>
      </c>
      <c r="H7" s="7" t="s">
        <v>78</v>
      </c>
      <c r="I7" s="5"/>
      <c r="J7" s="7" t="s">
        <v>77</v>
      </c>
      <c r="K7" s="7" t="s">
        <v>78</v>
      </c>
      <c r="L7" s="5"/>
      <c r="M7" s="7" t="s">
        <v>77</v>
      </c>
      <c r="N7" s="7" t="s">
        <v>78</v>
      </c>
      <c r="O7" s="5"/>
      <c r="P7" s="7" t="s">
        <v>77</v>
      </c>
      <c r="Q7" s="7" t="s">
        <v>78</v>
      </c>
      <c r="R7" s="5"/>
      <c r="S7" s="7" t="s">
        <v>77</v>
      </c>
      <c r="T7" s="7" t="s">
        <v>78</v>
      </c>
      <c r="U7" s="5"/>
      <c r="V7" s="7" t="s">
        <v>77</v>
      </c>
      <c r="W7" s="7" t="s">
        <v>78</v>
      </c>
      <c r="X7" s="5"/>
      <c r="Y7" s="7" t="s">
        <v>77</v>
      </c>
      <c r="Z7" s="7" t="s">
        <v>78</v>
      </c>
      <c r="AA7" s="5"/>
      <c r="AB7" s="7" t="s">
        <v>77</v>
      </c>
      <c r="AC7" s="7" t="s">
        <v>78</v>
      </c>
      <c r="AD7" s="5"/>
      <c r="AE7" s="7" t="s">
        <v>77</v>
      </c>
      <c r="AF7" s="7" t="s">
        <v>78</v>
      </c>
      <c r="AG7" s="1"/>
      <c r="AH7" s="7" t="s">
        <v>77</v>
      </c>
      <c r="AI7" s="7" t="s">
        <v>78</v>
      </c>
    </row>
    <row r="8" spans="1:43" ht="51.75" customHeight="1">
      <c r="A8" s="27"/>
      <c r="B8" s="21"/>
      <c r="C8" s="17" t="s">
        <v>4</v>
      </c>
      <c r="D8" s="17" t="s">
        <v>5</v>
      </c>
      <c r="E8" s="10" t="s">
        <v>6</v>
      </c>
      <c r="F8" s="17"/>
      <c r="G8" s="10" t="s">
        <v>7</v>
      </c>
      <c r="H8" s="10" t="s">
        <v>8</v>
      </c>
      <c r="I8" s="10"/>
      <c r="J8" s="10" t="s">
        <v>9</v>
      </c>
      <c r="K8" s="10" t="s">
        <v>10</v>
      </c>
      <c r="L8" s="10"/>
      <c r="M8" s="10" t="s">
        <v>11</v>
      </c>
      <c r="N8" s="10" t="s">
        <v>12</v>
      </c>
      <c r="O8" s="10"/>
      <c r="P8" s="10" t="s">
        <v>13</v>
      </c>
      <c r="Q8" s="10" t="s">
        <v>14</v>
      </c>
      <c r="R8" s="10"/>
      <c r="S8" s="10" t="s">
        <v>102</v>
      </c>
      <c r="T8" s="10" t="s">
        <v>103</v>
      </c>
      <c r="U8" s="10"/>
      <c r="V8" s="10" t="s">
        <v>104</v>
      </c>
      <c r="W8" s="10" t="s">
        <v>105</v>
      </c>
      <c r="X8" s="10"/>
      <c r="Y8" s="10" t="s">
        <v>106</v>
      </c>
      <c r="Z8" s="10" t="s">
        <v>107</v>
      </c>
      <c r="AA8" s="10"/>
      <c r="AB8" s="10" t="s">
        <v>108</v>
      </c>
      <c r="AC8" s="10" t="s">
        <v>109</v>
      </c>
      <c r="AD8" s="10"/>
      <c r="AE8" s="10" t="s">
        <v>110</v>
      </c>
      <c r="AF8" s="10" t="s">
        <v>111</v>
      </c>
      <c r="AG8" s="1"/>
      <c r="AH8" s="10" t="s">
        <v>112</v>
      </c>
      <c r="AI8" s="10" t="s">
        <v>113</v>
      </c>
      <c r="AK8" s="42" t="s">
        <v>119</v>
      </c>
      <c r="AL8" s="42"/>
      <c r="AM8" s="42"/>
      <c r="AN8" s="42"/>
      <c r="AO8" s="42"/>
      <c r="AP8" s="42"/>
      <c r="AQ8" s="42"/>
    </row>
    <row r="9" spans="1:43" ht="15" customHeight="1">
      <c r="A9" s="25" t="s">
        <v>15</v>
      </c>
      <c r="B9" s="22" t="str">
        <f>INDEX(Table1[#All], MATCH($A9, ameco_2024_data!$A:$A, 0), MATCH(B$2, ameco_2024_data!$1:$1, 0))</f>
        <v>Greece</v>
      </c>
      <c r="C9" s="15">
        <f>INDEX(Table1[#All], MATCH($A9, ameco_2024_data!$A:$A, 0), MATCH(C$2, ameco_2024_data!$1:$1, 0))</f>
        <v>153.85239999999999</v>
      </c>
      <c r="D9" s="19">
        <f>INDEX(Table1[#All], MATCH($A9, ameco_2024_data!$A:$A, 0), MATCH(D$2, ameco_2024_data!$1:$1, 0))</f>
        <v>-1.1512785000000001</v>
      </c>
      <c r="E9" s="12">
        <f>INDEX(Table1[#All], MATCH($A9, ameco_2024_data!$A:$A, 0), MATCH(E$2, ameco_2024_data!$1:$1, 0))</f>
        <v>1.7294</v>
      </c>
      <c r="F9" s="3"/>
      <c r="G9" s="12" cm="1">
        <f t="array" ref="G9">IF(INDEX(results_spb!$A$1:$Y$100,
          MATCH(1, (results_spb!$A$1:$A$100 = table_all!$B9) * (results_spb!$C$1:$C$100 = table_all!G$1), 0),
          MATCH(table_all!G$2, results_spb!$1:$1, 0)) = 0,
   "...",
   INDEX(results_spb!$A$1:$Y$100,
         MATCH(1, (results_spb!$A$1:$A$100 = table_all!$B9) * (results_spb!$C$1:$C$100 = table_all!G$1), 0),
         MATCH(table_all!G$2, results_spb!$1:$1, 0)))</f>
        <v>1.0680000000000001</v>
      </c>
      <c r="H9" s="12" cm="1">
        <f t="array" ref="H9">IF(INDEX(results_spb!$A$1:$Y$100,
          MATCH(1, (results_spb!$A$1:$A$100 = table_all!$B9) * (results_spb!$C$1:$C$100 = table_all!H$1), 0),
          MATCH(table_all!H$2, results_spb!$1:$1, 0)) = 0,
   "...",
   INDEX(results_spb!$A$1:$Y$100,
         MATCH(1, (results_spb!$A$1:$A$100 = table_all!$B9) * (results_spb!$C$1:$C$100 = table_all!H$1), 0),
         MATCH(table_all!H$2, results_spb!$1:$1, 0)))</f>
        <v>1.337</v>
      </c>
      <c r="I9" s="12"/>
      <c r="J9" s="12" cm="1">
        <f t="array" ref="J9">IF(INDEX(results_spb!$A$1:$Y$100,
          MATCH(1, (results_spb!$A$1:$A$100 = table_all!$B9) * (results_spb!$C$1:$C$100 = table_all!J$1), 0),
          MATCH(table_all!J$2, results_spb!$1:$1, 0)) = 0,
   "...",
   INDEX(results_spb!$A$1:$Y$100,
         MATCH(1, (results_spb!$A$1:$A$100 = table_all!$B9) * (results_spb!$C$1:$C$100 = table_all!J$1), 0),
         MATCH(table_all!J$2, results_spb!$1:$1, 0)))</f>
        <v>1.869</v>
      </c>
      <c r="K9" s="12" cm="1">
        <f t="array" ref="K9">IF(INDEX(results_spb!$A$1:$Y$100,
          MATCH(1, (results_spb!$A$1:$A$100 = table_all!$B9) * (results_spb!$C$1:$C$100 = table_all!K$1), 0),
          MATCH(table_all!K$2, results_spb!$1:$1, 0)) = 0,
   "...",
   INDEX(results_spb!$A$1:$Y$100,
         MATCH(1, (results_spb!$A$1:$A$100 = table_all!$B9) * (results_spb!$C$1:$C$100 = table_all!K$1), 0),
         MATCH(table_all!K$2, results_spb!$1:$1, 0)))</f>
        <v>2.1080000000000001</v>
      </c>
      <c r="L9" s="12"/>
      <c r="M9" s="12" cm="1">
        <f t="array" ref="M9">IF(INDEX(results_spb!$A$1:$Y$100,
          MATCH(1, (results_spb!$A$1:$A$100 = table_all!$B9) * (results_spb!$C$1:$C$100 = table_all!M$1), 0),
          MATCH(table_all!M$2, results_spb!$1:$1, 0)) = 0,
   "...",
   INDEX(results_spb!$A$1:$Y$100,
         MATCH(1, (results_spb!$A$1:$A$100 = table_all!$B9) * (results_spb!$C$1:$C$100 = table_all!M$1), 0),
         MATCH(table_all!M$2, results_spb!$1:$1, 0)))</f>
        <v>1.5569999999999999</v>
      </c>
      <c r="N9" s="12" cm="1">
        <f t="array" ref="N9">IF(INDEX(results_spb!$A$1:$Y$100,
          MATCH(1, (results_spb!$A$1:$A$100 = table_all!$B9) * (results_spb!$C$1:$C$100 = table_all!N$1), 0),
          MATCH(table_all!N$2, results_spb!$1:$1, 0)) = 0,
   "...",
   INDEX(results_spb!$A$1:$Y$100,
         MATCH(1, (results_spb!$A$1:$A$100 = table_all!$B9) * (results_spb!$C$1:$C$100 = table_all!N$1), 0),
         MATCH(table_all!N$2, results_spb!$1:$1, 0)))</f>
        <v>1.819</v>
      </c>
      <c r="O9" s="12"/>
      <c r="P9" s="12" cm="1">
        <f t="array" ref="P9">IF(INDEX(results_spb!$A$1:$Y$100,
          MATCH(1, (results_spb!$A$1:$A$100 = table_all!$B9) * (results_spb!$C$1:$C$100 = table_all!P$1), 0),
          MATCH(table_all!P$2, results_spb!$1:$1, 0)) = 0,
   "...",
   INDEX(results_spb!$A$1:$Y$100,
         MATCH(1, (results_spb!$A$1:$A$100 = table_all!$B9) * (results_spb!$C$1:$C$100 = table_all!P$1), 0),
         MATCH(table_all!P$2, results_spb!$1:$1, 0)))</f>
        <v>1.167</v>
      </c>
      <c r="Q9" s="12" cm="1">
        <f t="array" ref="Q9">IF(INDEX(results_spb!$A$1:$Y$100,
          MATCH(1, (results_spb!$A$1:$A$100 = table_all!$B9) * (results_spb!$C$1:$C$100 = table_all!Q$1), 0),
          MATCH(table_all!Q$2, results_spb!$1:$1, 0)) = 0,
   "...",
   INDEX(results_spb!$A$1:$Y$100,
         MATCH(1, (results_spb!$A$1:$A$100 = table_all!$B9) * (results_spb!$C$1:$C$100 = table_all!Q$1), 0),
         MATCH(table_all!Q$2, results_spb!$1:$1, 0)))</f>
        <v>1.41</v>
      </c>
      <c r="R9" s="12"/>
      <c r="S9" s="12" cm="1">
        <f t="array" ref="S9">IF(INDEX(results_spb!$A$1:$Y$100,
          MATCH(1, (results_spb!$A$1:$A$100 = table_all!$B9) * (results_spb!$C$1:$C$100 = table_all!S$1), 0),
          MATCH(table_all!S$2, results_spb!$1:$1, 0)) = 0,
   "...",
   INDEX(results_spb!$A$1:$Y$100,
         MATCH(1, (results_spb!$A$1:$A$100 = table_all!$B9) * (results_spb!$C$1:$C$100 = table_all!S$1), 0),
         MATCH(table_all!S$2, results_spb!$1:$1, 0)))</f>
        <v>0.89700000000000002</v>
      </c>
      <c r="T9" s="12" cm="1">
        <f t="array" ref="T9">IF(INDEX(results_spb!$A$1:$Y$100,
          MATCH(1, (results_spb!$A$1:$A$100 = table_all!$B9) * (results_spb!$C$1:$C$100 = table_all!T$1), 0),
          MATCH(table_all!T$2, results_spb!$1:$1, 0)) = 0,
   "...",
   INDEX(results_spb!$A$1:$Y$100,
         MATCH(1, (results_spb!$A$1:$A$100 = table_all!$B9) * (results_spb!$C$1:$C$100 = table_all!T$1), 0),
         MATCH(table_all!T$2, results_spb!$1:$1, 0)))</f>
        <v>1.956</v>
      </c>
      <c r="U9" s="12"/>
      <c r="V9" s="12" cm="1">
        <f t="array" ref="V9">IF(INDEX(results_spb!$A$1:$Y$100,
          MATCH(1, (results_spb!$A$1:$A$100 = table_all!$B9) * (results_spb!$C$1:$C$100 = table_all!V$1), 0),
          MATCH(table_all!V$2, results_spb!$1:$1, 0)) = 0,
   "...",
   INDEX(results_spb!$A$1:$Y$100,
         MATCH(1, (results_spb!$A$1:$A$100 = table_all!$B9) * (results_spb!$C$1:$C$100 = table_all!V$1), 0),
         MATCH(table_all!V$2, results_spb!$1:$1, 0)))</f>
        <v>1.7450000000000001</v>
      </c>
      <c r="W9" s="12" cm="1">
        <f t="array" ref="W9">IF(INDEX(results_spb!$A$1:$Y$100,
          MATCH(1, (results_spb!$A$1:$A$100 = table_all!$B9) * (results_spb!$C$1:$C$100 = table_all!W$1), 0),
          MATCH(table_all!W$2, results_spb!$1:$1, 0)) = 0,
   "...",
   INDEX(results_spb!$A$1:$Y$100,
         MATCH(1, (results_spb!$A$1:$A$100 = table_all!$B9) * (results_spb!$C$1:$C$100 = table_all!W$1), 0),
         MATCH(table_all!W$2, results_spb!$1:$1, 0)))</f>
        <v>2.056</v>
      </c>
      <c r="X9" s="12"/>
      <c r="Y9" s="12" t="str" cm="1">
        <f t="array" ref="Y9">IF(INDEX(results_spb!$A$1:$Y$100,
          MATCH(1, (results_spb!$A$1:$A$100 = table_all!$B9) * (results_spb!$C$1:$C$100 = table_all!Y$1), 0),
          MATCH(table_all!Y$2, results_spb!$1:$1, 0)) = 0,
   "...",
   INDEX(results_spb!$A$1:$Y$100,
         MATCH(1, (results_spb!$A$1:$A$100 = table_all!$B9) * (results_spb!$C$1:$C$100 = table_all!Y$1), 0),
         MATCH(table_all!Y$2, results_spb!$1:$1, 0)))</f>
        <v>...</v>
      </c>
      <c r="Z9" s="12" t="str" cm="1">
        <f t="array" ref="Z9">IF(INDEX(results_spb!$A$1:$Y$100,
          MATCH(1, (results_spb!$A$1:$A$100 = table_all!$B9) * (results_spb!$C$1:$C$100 = table_all!Z$1), 0),
          MATCH(table_all!Z$2, results_spb!$1:$1, 0)) = 0,
   "...",
   INDEX(results_spb!$A$1:$Y$100,
         MATCH(1, (results_spb!$A$1:$A$100 = table_all!$B9) * (results_spb!$C$1:$C$100 = table_all!Z$1), 0),
         MATCH(table_all!Z$2, results_spb!$1:$1, 0)))</f>
        <v>...</v>
      </c>
      <c r="AA9" s="12"/>
      <c r="AB9" s="12" t="str" cm="1">
        <f t="array" ref="AB9">IF(INDEX(results_spb!$A$1:$Y$100,
          MATCH(1, (results_spb!$A$1:$A$100 = table_all!$B9) * (results_spb!$C$1:$C$100 = table_all!AB$1), 0),
          MATCH(table_all!AB$2, results_spb!$1:$1, 0)) = 0,
   "...",
   INDEX(results_spb!$A$1:$Y$100,
         MATCH(1, (results_spb!$A$1:$A$100 = table_all!$B9) * (results_spb!$C$1:$C$100 = table_all!AB$1), 0),
         MATCH(table_all!AB$2, results_spb!$1:$1, 0)))</f>
        <v>...</v>
      </c>
      <c r="AC9" s="12" t="str" cm="1">
        <f t="array" ref="AC9">IF(INDEX(results_spb!$A$1:$Y$100,
          MATCH(1, (results_spb!$A$1:$A$100 = table_all!$B9) * (results_spb!$C$1:$C$100 = table_all!AC$1), 0),
          MATCH(table_all!AC$2, results_spb!$1:$1, 0)) = 0,
   "...",
   INDEX(results_spb!$A$1:$Y$100,
         MATCH(1, (results_spb!$A$1:$A$100 = table_all!$B9) * (results_spb!$C$1:$C$100 = table_all!AC$1), 0),
         MATCH(table_all!AC$2, results_spb!$1:$1, 0)))</f>
        <v>...</v>
      </c>
      <c r="AD9" s="12"/>
      <c r="AE9" s="12">
        <f>MAX(G9,J9,M9,P9,S9,V9,Y9,AB9)</f>
        <v>1.869</v>
      </c>
      <c r="AF9" s="12">
        <f>MAX(H9,K9,N9,Q9,T9,W9,Z9,AC9)</f>
        <v>2.1080000000000001</v>
      </c>
      <c r="AG9" s="14"/>
      <c r="AH9" s="3">
        <f t="shared" ref="AH9:AH35" si="0">(AE9-$E9)/4</f>
        <v>3.4899999999999987E-2</v>
      </c>
      <c r="AI9" s="3">
        <f t="shared" ref="AI9:AI35" si="1">(AF9-$E9)/7</f>
        <v>5.4085714285714293E-2</v>
      </c>
      <c r="AJ9" s="14"/>
      <c r="AK9" s="28"/>
      <c r="AL9" s="39" t="s">
        <v>115</v>
      </c>
      <c r="AM9" s="40"/>
      <c r="AN9" s="40"/>
      <c r="AO9" s="40"/>
      <c r="AP9" s="40"/>
      <c r="AQ9" s="41"/>
    </row>
    <row r="10" spans="1:43" ht="15" customHeight="1">
      <c r="A10" s="25" t="s">
        <v>16</v>
      </c>
      <c r="B10" s="22" t="str">
        <f>INDEX(Table1[#All], MATCH($A10, ameco_2024_data!$A:$A, 0), MATCH(B$2, ameco_2024_data!$1:$1, 0))</f>
        <v>Italy</v>
      </c>
      <c r="C10" s="15">
        <f>INDEX(Table1[#All], MATCH($A10, ameco_2024_data!$A:$A, 0), MATCH(C$2, ameco_2024_data!$1:$1, 0))</f>
        <v>138.62440000000001</v>
      </c>
      <c r="D10" s="12">
        <f>INDEX(Table1[#All], MATCH($A10, ameco_2024_data!$A:$A, 0), MATCH(D$2, ameco_2024_data!$1:$1, 0))</f>
        <v>-4.4258338999999998</v>
      </c>
      <c r="E10" s="12">
        <f>INDEX(Table1[#All], MATCH($A10, ameco_2024_data!$A:$A, 0), MATCH(E$2, ameco_2024_data!$1:$1, 0))</f>
        <v>-1.0503</v>
      </c>
      <c r="F10" s="3"/>
      <c r="G10" s="12" cm="1">
        <f t="array" ref="G10">IF(INDEX(results_spb!$A$1:$Y$100,
          MATCH(1, (results_spb!$A$1:$A$100 = table_all!$B10) * (results_spb!$C$1:$C$100 = table_all!G$1), 0),
          MATCH(table_all!G$2, results_spb!$1:$1, 0)) = 0,
   "...",
   INDEX(results_spb!$A$1:$Y$100,
         MATCH(1, (results_spb!$A$1:$A$100 = table_all!$B10) * (results_spb!$C$1:$C$100 = table_all!G$1), 0),
         MATCH(table_all!G$2, results_spb!$1:$1, 0)))</f>
        <v>2.2240000000000002</v>
      </c>
      <c r="H10" s="12" cm="1">
        <f t="array" ref="H10">IF(INDEX(results_spb!$A$1:$Y$100,
          MATCH(1, (results_spb!$A$1:$A$100 = table_all!$B10) * (results_spb!$C$1:$C$100 = table_all!H$1), 0),
          MATCH(table_all!H$2, results_spb!$1:$1, 0)) = 0,
   "...",
   INDEX(results_spb!$A$1:$Y$100,
         MATCH(1, (results_spb!$A$1:$A$100 = table_all!$B10) * (results_spb!$C$1:$C$100 = table_all!H$1), 0),
         MATCH(table_all!H$2, results_spb!$1:$1, 0)))</f>
        <v>2.0089999999999999</v>
      </c>
      <c r="I10" s="12"/>
      <c r="J10" s="12" cm="1">
        <f t="array" ref="J10">IF(INDEX(results_spb!$A$1:$Y$100,
          MATCH(1, (results_spb!$A$1:$A$100 = table_all!$B10) * (results_spb!$C$1:$C$100 = table_all!J$1), 0),
          MATCH(table_all!J$2, results_spb!$1:$1, 0)) = 0,
   "...",
   INDEX(results_spb!$A$1:$Y$100,
         MATCH(1, (results_spb!$A$1:$A$100 = table_all!$B10) * (results_spb!$C$1:$C$100 = table_all!J$1), 0),
         MATCH(table_all!J$2, results_spb!$1:$1, 0)))</f>
        <v>3.286</v>
      </c>
      <c r="K10" s="12" cm="1">
        <f t="array" ref="K10">IF(INDEX(results_spb!$A$1:$Y$100,
          MATCH(1, (results_spb!$A$1:$A$100 = table_all!$B10) * (results_spb!$C$1:$C$100 = table_all!K$1), 0),
          MATCH(table_all!K$2, results_spb!$1:$1, 0)) = 0,
   "...",
   INDEX(results_spb!$A$1:$Y$100,
         MATCH(1, (results_spb!$A$1:$A$100 = table_all!$B10) * (results_spb!$C$1:$C$100 = table_all!K$1), 0),
         MATCH(table_all!K$2, results_spb!$1:$1, 0)))</f>
        <v>2.9969999999999999</v>
      </c>
      <c r="L10" s="12"/>
      <c r="M10" s="12" cm="1">
        <f t="array" ref="M10">IF(INDEX(results_spb!$A$1:$Y$100,
          MATCH(1, (results_spb!$A$1:$A$100 = table_all!$B10) * (results_spb!$C$1:$C$100 = table_all!M$1), 0),
          MATCH(table_all!M$2, results_spb!$1:$1, 0)) = 0,
   "...",
   INDEX(results_spb!$A$1:$Y$100,
         MATCH(1, (results_spb!$A$1:$A$100 = table_all!$B10) * (results_spb!$C$1:$C$100 = table_all!M$1), 0),
         MATCH(table_all!M$2, results_spb!$1:$1, 0)))</f>
        <v>2.7029999999999998</v>
      </c>
      <c r="N10" s="12" cm="1">
        <f t="array" ref="N10">IF(INDEX(results_spb!$A$1:$Y$100,
          MATCH(1, (results_spb!$A$1:$A$100 = table_all!$B10) * (results_spb!$C$1:$C$100 = table_all!N$1), 0),
          MATCH(table_all!N$2, results_spb!$1:$1, 0)) = 0,
   "...",
   INDEX(results_spb!$A$1:$Y$100,
         MATCH(1, (results_spb!$A$1:$A$100 = table_all!$B10) * (results_spb!$C$1:$C$100 = table_all!N$1), 0),
         MATCH(table_all!N$2, results_spb!$1:$1, 0)))</f>
        <v>2.57</v>
      </c>
      <c r="O10" s="12"/>
      <c r="P10" s="12" cm="1">
        <f t="array" ref="P10">IF(INDEX(results_spb!$A$1:$Y$100,
          MATCH(1, (results_spb!$A$1:$A$100 = table_all!$B10) * (results_spb!$C$1:$C$100 = table_all!P$1), 0),
          MATCH(table_all!P$2, results_spb!$1:$1, 0)) = 0,
   "...",
   INDEX(results_spb!$A$1:$Y$100,
         MATCH(1, (results_spb!$A$1:$A$100 = table_all!$B10) * (results_spb!$C$1:$C$100 = table_all!P$1), 0),
         MATCH(table_all!P$2, results_spb!$1:$1, 0)))</f>
        <v>2.5419999999999998</v>
      </c>
      <c r="Q10" s="12" cm="1">
        <f t="array" ref="Q10">IF(INDEX(results_spb!$A$1:$Y$100,
          MATCH(1, (results_spb!$A$1:$A$100 = table_all!$B10) * (results_spb!$C$1:$C$100 = table_all!Q$1), 0),
          MATCH(table_all!Q$2, results_spb!$1:$1, 0)) = 0,
   "...",
   INDEX(results_spb!$A$1:$Y$100,
         MATCH(1, (results_spb!$A$1:$A$100 = table_all!$B10) * (results_spb!$C$1:$C$100 = table_all!Q$1), 0),
         MATCH(table_all!Q$2, results_spb!$1:$1, 0)))</f>
        <v>2.742</v>
      </c>
      <c r="R10" s="12"/>
      <c r="S10" s="12" cm="1">
        <f t="array" ref="S10">IF(INDEX(results_spb!$A$1:$Y$100,
          MATCH(1, (results_spb!$A$1:$A$100 = table_all!$B10) * (results_spb!$C$1:$C$100 = table_all!S$1), 0),
          MATCH(table_all!S$2, results_spb!$1:$1, 0)) = 0,
   "...",
   INDEX(results_spb!$A$1:$Y$100,
         MATCH(1, (results_spb!$A$1:$A$100 = table_all!$B10) * (results_spb!$C$1:$C$100 = table_all!S$1), 0),
         MATCH(table_all!S$2, results_spb!$1:$1, 0)))</f>
        <v>2.4710000000000001</v>
      </c>
      <c r="T10" s="12" cm="1">
        <f t="array" ref="T10">IF(INDEX(results_spb!$A$1:$Y$100,
          MATCH(1, (results_spb!$A$1:$A$100 = table_all!$B10) * (results_spb!$C$1:$C$100 = table_all!T$1), 0),
          MATCH(table_all!T$2, results_spb!$1:$1, 0)) = 0,
   "...",
   INDEX(results_spb!$A$1:$Y$100,
         MATCH(1, (results_spb!$A$1:$A$100 = table_all!$B10) * (results_spb!$C$1:$C$100 = table_all!T$1), 0),
         MATCH(table_all!T$2, results_spb!$1:$1, 0)))</f>
        <v>2.7709999999999999</v>
      </c>
      <c r="U10" s="12"/>
      <c r="V10" s="12" cm="1">
        <f t="array" ref="V10">IF(INDEX(results_spb!$A$1:$Y$100,
          MATCH(1, (results_spb!$A$1:$A$100 = table_all!$B10) * (results_spb!$C$1:$C$100 = table_all!V$1), 0),
          MATCH(table_all!V$2, results_spb!$1:$1, 0)) = 0,
   "...",
   INDEX(results_spb!$A$1:$Y$100,
         MATCH(1, (results_spb!$A$1:$A$100 = table_all!$B10) * (results_spb!$C$1:$C$100 = table_all!V$1), 0),
         MATCH(table_all!V$2, results_spb!$1:$1, 0)))</f>
        <v>3.1680000000000001</v>
      </c>
      <c r="W10" s="12" cm="1">
        <f t="array" ref="W10">IF(INDEX(results_spb!$A$1:$Y$100,
          MATCH(1, (results_spb!$A$1:$A$100 = table_all!$B10) * (results_spb!$C$1:$C$100 = table_all!W$1), 0),
          MATCH(table_all!W$2, results_spb!$1:$1, 0)) = 0,
   "...",
   INDEX(results_spb!$A$1:$Y$100,
         MATCH(1, (results_spb!$A$1:$A$100 = table_all!$B10) * (results_spb!$C$1:$C$100 = table_all!W$1), 0),
         MATCH(table_all!W$2, results_spb!$1:$1, 0)))</f>
        <v>3.1240000000000001</v>
      </c>
      <c r="X10" s="12"/>
      <c r="Y10" s="12" t="str" cm="1">
        <f t="array" ref="Y10">IF(INDEX(results_spb!$A$1:$Y$100,
          MATCH(1, (results_spb!$A$1:$A$100 = table_all!$B10) * (results_spb!$C$1:$C$100 = table_all!Y$1), 0),
          MATCH(table_all!Y$2, results_spb!$1:$1, 0)) = 0,
   "...",
   INDEX(results_spb!$A$1:$Y$100,
         MATCH(1, (results_spb!$A$1:$A$100 = table_all!$B10) * (results_spb!$C$1:$C$100 = table_all!Y$1), 0),
         MATCH(table_all!Y$2, results_spb!$1:$1, 0)))</f>
        <v>...</v>
      </c>
      <c r="Z10" s="12" t="str" cm="1">
        <f t="array" ref="Z10">IF(INDEX(results_spb!$A$1:$Y$100,
          MATCH(1, (results_spb!$A$1:$A$100 = table_all!$B10) * (results_spb!$C$1:$C$100 = table_all!Z$1), 0),
          MATCH(table_all!Z$2, results_spb!$1:$1, 0)) = 0,
   "...",
   INDEX(results_spb!$A$1:$Y$100,
         MATCH(1, (results_spb!$A$1:$A$100 = table_all!$B10) * (results_spb!$C$1:$C$100 = table_all!Z$1), 0),
         MATCH(table_all!Z$2, results_spb!$1:$1, 0)))</f>
        <v>...</v>
      </c>
      <c r="AA10" s="12"/>
      <c r="AB10" s="12" t="str" cm="1">
        <f t="array" ref="AB10">IF(INDEX(results_spb!$A$1:$Y$100,
          MATCH(1, (results_spb!$A$1:$A$100 = table_all!$B10) * (results_spb!$C$1:$C$100 = table_all!AB$1), 0),
          MATCH(table_all!AB$2, results_spb!$1:$1, 0)) = 0,
   "...",
   INDEX(results_spb!$A$1:$Y$100,
         MATCH(1, (results_spb!$A$1:$A$100 = table_all!$B10) * (results_spb!$C$1:$C$100 = table_all!AB$1), 0),
         MATCH(table_all!AB$2, results_spb!$1:$1, 0)))</f>
        <v>...</v>
      </c>
      <c r="AC10" s="12" t="str" cm="1">
        <f t="array" ref="AC10">IF(INDEX(results_spb!$A$1:$Y$100,
          MATCH(1, (results_spb!$A$1:$A$100 = table_all!$B10) * (results_spb!$C$1:$C$100 = table_all!AC$1), 0),
          MATCH(table_all!AC$2, results_spb!$1:$1, 0)) = 0,
   "...",
   INDEX(results_spb!$A$1:$Y$100,
         MATCH(1, (results_spb!$A$1:$A$100 = table_all!$B10) * (results_spb!$C$1:$C$100 = table_all!AC$1), 0),
         MATCH(table_all!AC$2, results_spb!$1:$1, 0)))</f>
        <v>...</v>
      </c>
      <c r="AD10" s="12"/>
      <c r="AE10" s="12">
        <f t="shared" ref="AE10:AF35" si="2">MAX(G10,J10,M10,P10,S10,V10,Y10,AB10)</f>
        <v>3.286</v>
      </c>
      <c r="AF10" s="12">
        <f t="shared" si="2"/>
        <v>3.1240000000000001</v>
      </c>
      <c r="AG10" s="14"/>
      <c r="AH10" s="3">
        <f t="shared" si="0"/>
        <v>1.0840749999999999</v>
      </c>
      <c r="AI10" s="3">
        <f t="shared" si="1"/>
        <v>0.59632857142857154</v>
      </c>
      <c r="AJ10" s="14"/>
      <c r="AK10" s="29"/>
      <c r="AL10" s="39" t="s">
        <v>116</v>
      </c>
      <c r="AM10" s="40"/>
      <c r="AN10" s="40"/>
      <c r="AO10" s="40"/>
      <c r="AP10" s="40"/>
      <c r="AQ10" s="41"/>
    </row>
    <row r="11" spans="1:43" ht="15" customHeight="1">
      <c r="A11" s="25" t="s">
        <v>17</v>
      </c>
      <c r="B11" s="22" t="str">
        <f>INDEX(Table1[#All], MATCH($A11, ameco_2024_data!$A:$A, 0), MATCH(B$2, ameco_2024_data!$1:$1, 0))</f>
        <v>France</v>
      </c>
      <c r="C11" s="15">
        <f>INDEX(Table1[#All], MATCH($A11, ameco_2024_data!$A:$A, 0), MATCH(C$2, ameco_2024_data!$1:$1, 0))</f>
        <v>112.4088</v>
      </c>
      <c r="D11" s="12">
        <f>INDEX(Table1[#All], MATCH($A11, ameco_2024_data!$A:$A, 0), MATCH(D$2, ameco_2024_data!$1:$1, 0))</f>
        <v>-5.3136057000000001</v>
      </c>
      <c r="E11" s="12">
        <f>INDEX(Table1[#All], MATCH($A11, ameco_2024_data!$A:$A, 0), MATCH(E$2, ameco_2024_data!$1:$1, 0))</f>
        <v>-2.9683999999999999</v>
      </c>
      <c r="F11" s="3"/>
      <c r="G11" s="12" cm="1">
        <f t="array" ref="G11">IF(INDEX(results_spb!$A$1:$Y$100,
          MATCH(1, (results_spb!$A$1:$A$100 = table_all!$B11) * (results_spb!$C$1:$C$100 = table_all!G$1), 0),
          MATCH(table_all!G$2, results_spb!$1:$1, 0)) = 0,
   "...",
   INDEX(results_spb!$A$1:$Y$100,
         MATCH(1, (results_spb!$A$1:$A$100 = table_all!$B11) * (results_spb!$C$1:$C$100 = table_all!G$1), 0),
         MATCH(table_all!G$2, results_spb!$1:$1, 0)))</f>
        <v>-9.5000000000000001E-2</v>
      </c>
      <c r="H11" s="12" cm="1">
        <f t="array" ref="H11">IF(INDEX(results_spb!$A$1:$Y$100,
          MATCH(1, (results_spb!$A$1:$A$100 = table_all!$B11) * (results_spb!$C$1:$C$100 = table_all!H$1), 0),
          MATCH(table_all!H$2, results_spb!$1:$1, 0)) = 0,
   "...",
   INDEX(results_spb!$A$1:$Y$100,
         MATCH(1, (results_spb!$A$1:$A$100 = table_all!$B11) * (results_spb!$C$1:$C$100 = table_all!H$1), 0),
         MATCH(table_all!H$2, results_spb!$1:$1, 0)))</f>
        <v>-2.3E-2</v>
      </c>
      <c r="I11" s="3"/>
      <c r="J11" s="12" cm="1">
        <f t="array" ref="J11">IF(INDEX(results_spb!$A$1:$Y$100,
          MATCH(1, (results_spb!$A$1:$A$100 = table_all!$B11) * (results_spb!$C$1:$C$100 = table_all!J$1), 0),
          MATCH(table_all!J$2, results_spb!$1:$1, 0)) = 0,
   "...",
   INDEX(results_spb!$A$1:$Y$100,
         MATCH(1, (results_spb!$A$1:$A$100 = table_all!$B11) * (results_spb!$C$1:$C$100 = table_all!J$1), 0),
         MATCH(table_all!J$2, results_spb!$1:$1, 0)))</f>
        <v>0.77200000000000002</v>
      </c>
      <c r="K11" s="12" cm="1">
        <f t="array" ref="K11">IF(INDEX(results_spb!$A$1:$Y$100,
          MATCH(1, (results_spb!$A$1:$A$100 = table_all!$B11) * (results_spb!$C$1:$C$100 = table_all!K$1), 0),
          MATCH(table_all!K$2, results_spb!$1:$1, 0)) = 0,
   "...",
   INDEX(results_spb!$A$1:$Y$100,
         MATCH(1, (results_spb!$A$1:$A$100 = table_all!$B11) * (results_spb!$C$1:$C$100 = table_all!K$1), 0),
         MATCH(table_all!K$2, results_spb!$1:$1, 0)))</f>
        <v>0.79500000000000004</v>
      </c>
      <c r="L11" s="3"/>
      <c r="M11" s="12" cm="1">
        <f t="array" ref="M11">IF(INDEX(results_spb!$A$1:$Y$100,
          MATCH(1, (results_spb!$A$1:$A$100 = table_all!$B11) * (results_spb!$C$1:$C$100 = table_all!M$1), 0),
          MATCH(table_all!M$2, results_spb!$1:$1, 0)) = 0,
   "...",
   INDEX(results_spb!$A$1:$Y$100,
         MATCH(1, (results_spb!$A$1:$A$100 = table_all!$B11) * (results_spb!$C$1:$C$100 = table_all!M$1), 0),
         MATCH(table_all!M$2, results_spb!$1:$1, 0)))</f>
        <v>0.495</v>
      </c>
      <c r="N11" s="12" cm="1">
        <f t="array" ref="N11">IF(INDEX(results_spb!$A$1:$Y$100,
          MATCH(1, (results_spb!$A$1:$A$100 = table_all!$B11) * (results_spb!$C$1:$C$100 = table_all!N$1), 0),
          MATCH(table_all!N$2, results_spb!$1:$1, 0)) = 0,
   "...",
   INDEX(results_spb!$A$1:$Y$100,
         MATCH(1, (results_spb!$A$1:$A$100 = table_all!$B11) * (results_spb!$C$1:$C$100 = table_all!N$1), 0),
         MATCH(table_all!N$2, results_spb!$1:$1, 0)))</f>
        <v>0.53300000000000003</v>
      </c>
      <c r="O11" s="3"/>
      <c r="P11" s="12" cm="1">
        <f t="array" ref="P11">IF(INDEX(results_spb!$A$1:$Y$100,
          MATCH(1, (results_spb!$A$1:$A$100 = table_all!$B11) * (results_spb!$C$1:$C$100 = table_all!P$1), 0),
          MATCH(table_all!P$2, results_spb!$1:$1, 0)) = 0,
   "...",
   INDEX(results_spb!$A$1:$Y$100,
         MATCH(1, (results_spb!$A$1:$A$100 = table_all!$B11) * (results_spb!$C$1:$C$100 = table_all!P$1), 0),
         MATCH(table_all!P$2, results_spb!$1:$1, 0)))</f>
        <v>0.23599999999999999</v>
      </c>
      <c r="Q11" s="12" cm="1">
        <f t="array" ref="Q11">IF(INDEX(results_spb!$A$1:$Y$100,
          MATCH(1, (results_spb!$A$1:$A$100 = table_all!$B11) * (results_spb!$C$1:$C$100 = table_all!Q$1), 0),
          MATCH(table_all!Q$2, results_spb!$1:$1, 0)) = 0,
   "...",
   INDEX(results_spb!$A$1:$Y$100,
         MATCH(1, (results_spb!$A$1:$A$100 = table_all!$B11) * (results_spb!$C$1:$C$100 = table_all!Q$1), 0),
         MATCH(table_all!Q$2, results_spb!$1:$1, 0)))</f>
        <v>0.38300000000000001</v>
      </c>
      <c r="R11" s="3"/>
      <c r="S11" s="12" cm="1">
        <f t="array" ref="S11">IF(INDEX(results_spb!$A$1:$Y$100,
          MATCH(1, (results_spb!$A$1:$A$100 = table_all!$B11) * (results_spb!$C$1:$C$100 = table_all!S$1), 0),
          MATCH(table_all!S$2, results_spb!$1:$1, 0)) = 0,
   "...",
   INDEX(results_spb!$A$1:$Y$100,
         MATCH(1, (results_spb!$A$1:$A$100 = table_all!$B11) * (results_spb!$C$1:$C$100 = table_all!S$1), 0),
         MATCH(table_all!S$2, results_spb!$1:$1, 0)))</f>
        <v>0.48199999999999998</v>
      </c>
      <c r="T11" s="12" cm="1">
        <f t="array" ref="T11">IF(INDEX(results_spb!$A$1:$Y$100,
          MATCH(1, (results_spb!$A$1:$A$100 = table_all!$B11) * (results_spb!$C$1:$C$100 = table_all!T$1), 0),
          MATCH(table_all!T$2, results_spb!$1:$1, 0)) = 0,
   "...",
   INDEX(results_spb!$A$1:$Y$100,
         MATCH(1, (results_spb!$A$1:$A$100 = table_all!$B11) * (results_spb!$C$1:$C$100 = table_all!T$1), 0),
         MATCH(table_all!T$2, results_spb!$1:$1, 0)))</f>
        <v>0.58699999999999997</v>
      </c>
      <c r="U11" s="3"/>
      <c r="V11" s="12" cm="1">
        <f t="array" ref="V11">IF(INDEX(results_spb!$A$1:$Y$100,
          MATCH(1, (results_spb!$A$1:$A$100 = table_all!$B11) * (results_spb!$C$1:$C$100 = table_all!V$1), 0),
          MATCH(table_all!V$2, results_spb!$1:$1, 0)) = 0,
   "...",
   INDEX(results_spb!$A$1:$Y$100,
         MATCH(1, (results_spb!$A$1:$A$100 = table_all!$B11) * (results_spb!$C$1:$C$100 = table_all!V$1), 0),
         MATCH(table_all!V$2, results_spb!$1:$1, 0)))</f>
        <v>0.67300000000000004</v>
      </c>
      <c r="W11" s="12" cm="1">
        <f t="array" ref="W11">IF(INDEX(results_spb!$A$1:$Y$100,
          MATCH(1, (results_spb!$A$1:$A$100 = table_all!$B11) * (results_spb!$C$1:$C$100 = table_all!W$1), 0),
          MATCH(table_all!W$2, results_spb!$1:$1, 0)) = 0,
   "...",
   INDEX(results_spb!$A$1:$Y$100,
         MATCH(1, (results_spb!$A$1:$A$100 = table_all!$B11) * (results_spb!$C$1:$C$100 = table_all!W$1), 0),
         MATCH(table_all!W$2, results_spb!$1:$1, 0)))</f>
        <v>0.753</v>
      </c>
      <c r="X11" s="12"/>
      <c r="Y11" s="12" t="str" cm="1">
        <f t="array" ref="Y11">IF(INDEX(results_spb!$A$1:$Y$100,
          MATCH(1, (results_spb!$A$1:$A$100 = table_all!$B11) * (results_spb!$C$1:$C$100 = table_all!Y$1), 0),
          MATCH(table_all!Y$2, results_spb!$1:$1, 0)) = 0,
   "...",
   INDEX(results_spb!$A$1:$Y$100,
         MATCH(1, (results_spb!$A$1:$A$100 = table_all!$B11) * (results_spb!$C$1:$C$100 = table_all!Y$1), 0),
         MATCH(table_all!Y$2, results_spb!$1:$1, 0)))</f>
        <v>...</v>
      </c>
      <c r="Z11" s="12" t="str" cm="1">
        <f t="array" ref="Z11">IF(INDEX(results_spb!$A$1:$Y$100,
          MATCH(1, (results_spb!$A$1:$A$100 = table_all!$B11) * (results_spb!$C$1:$C$100 = table_all!Z$1), 0),
          MATCH(table_all!Z$2, results_spb!$1:$1, 0)) = 0,
   "...",
   INDEX(results_spb!$A$1:$Y$100,
         MATCH(1, (results_spb!$A$1:$A$100 = table_all!$B11) * (results_spb!$C$1:$C$100 = table_all!Z$1), 0),
         MATCH(table_all!Z$2, results_spb!$1:$1, 0)))</f>
        <v>...</v>
      </c>
      <c r="AA11" s="12"/>
      <c r="AB11" s="12" t="str" cm="1">
        <f t="array" ref="AB11">IF(INDEX(results_spb!$A$1:$Y$100,
          MATCH(1, (results_spb!$A$1:$A$100 = table_all!$B11) * (results_spb!$C$1:$C$100 = table_all!AB$1), 0),
          MATCH(table_all!AB$2, results_spb!$1:$1, 0)) = 0,
   "...",
   INDEX(results_spb!$A$1:$Y$100,
         MATCH(1, (results_spb!$A$1:$A$100 = table_all!$B11) * (results_spb!$C$1:$C$100 = table_all!AB$1), 0),
         MATCH(table_all!AB$2, results_spb!$1:$1, 0)))</f>
        <v>...</v>
      </c>
      <c r="AC11" s="12" cm="1">
        <f t="array" ref="AC11">IF(INDEX(results_spb!$A$1:$Y$100,
          MATCH(1, (results_spb!$A$1:$A$100 = table_all!$B11) * (results_spb!$C$1:$C$100 = table_all!AC$1), 0),
          MATCH(table_all!AC$2, results_spb!$1:$1, 0)) = 0,
   "...",
   INDEX(results_spb!$A$1:$Y$100,
         MATCH(1, (results_spb!$A$1:$A$100 = table_all!$B11) * (results_spb!$C$1:$C$100 = table_all!AC$1), 0),
         MATCH(table_all!AC$2, results_spb!$1:$1, 0)))</f>
        <v>0.81399999999999995</v>
      </c>
      <c r="AD11" s="12"/>
      <c r="AE11" s="12">
        <f t="shared" si="2"/>
        <v>0.77200000000000002</v>
      </c>
      <c r="AF11" s="12">
        <f t="shared" si="2"/>
        <v>0.81399999999999995</v>
      </c>
      <c r="AG11" s="14"/>
      <c r="AH11" s="3">
        <f t="shared" si="0"/>
        <v>0.93510000000000004</v>
      </c>
      <c r="AI11" s="3">
        <f t="shared" si="1"/>
        <v>0.54034285714285712</v>
      </c>
      <c r="AJ11" s="14"/>
      <c r="AK11" s="30"/>
      <c r="AL11" s="39" t="s">
        <v>117</v>
      </c>
      <c r="AM11" s="40"/>
      <c r="AN11" s="40"/>
      <c r="AO11" s="40"/>
      <c r="AP11" s="40"/>
      <c r="AQ11" s="41"/>
    </row>
    <row r="12" spans="1:43" ht="15" customHeight="1">
      <c r="A12" s="25" t="s">
        <v>18</v>
      </c>
      <c r="B12" s="22" t="str">
        <f>INDEX(Table1[#All], MATCH($A12, ameco_2024_data!$A:$A, 0), MATCH(B$2, ameco_2024_data!$1:$1, 0))</f>
        <v>Spain</v>
      </c>
      <c r="C12" s="15">
        <f>INDEX(Table1[#All], MATCH($A12, ameco_2024_data!$A:$A, 0), MATCH(C$2, ameco_2024_data!$1:$1, 0))</f>
        <v>105.50790000000001</v>
      </c>
      <c r="D12" s="12">
        <f>INDEX(Table1[#All], MATCH($A12, ameco_2024_data!$A:$A, 0), MATCH(D$2, ameco_2024_data!$1:$1, 0))</f>
        <v>-2.986415</v>
      </c>
      <c r="E12" s="12">
        <f>INDEX(Table1[#All], MATCH($A12, ameco_2024_data!$A:$A, 0), MATCH(E$2, ameco_2024_data!$1:$1, 0))</f>
        <v>-0.84899999999999998</v>
      </c>
      <c r="F12" s="3"/>
      <c r="G12" s="12" cm="1">
        <f t="array" ref="G12">IF(INDEX(results_spb!$A$1:$Y$100,
          MATCH(1, (results_spb!$A$1:$A$100 = table_all!$B12) * (results_spb!$C$1:$C$100 = table_all!G$1), 0),
          MATCH(table_all!G$2, results_spb!$1:$1, 0)) = 0,
   "...",
   INDEX(results_spb!$A$1:$Y$100,
         MATCH(1, (results_spb!$A$1:$A$100 = table_all!$B12) * (results_spb!$C$1:$C$100 = table_all!G$1), 0),
         MATCH(table_all!G$2, results_spb!$1:$1, 0)))</f>
        <v>2.0470000000000002</v>
      </c>
      <c r="H12" s="12" cm="1">
        <f t="array" ref="H12">IF(INDEX(results_spb!$A$1:$Y$100,
          MATCH(1, (results_spb!$A$1:$A$100 = table_all!$B12) * (results_spb!$C$1:$C$100 = table_all!H$1), 0),
          MATCH(table_all!H$2, results_spb!$1:$1, 0)) = 0,
   "...",
   INDEX(results_spb!$A$1:$Y$100,
         MATCH(1, (results_spb!$A$1:$A$100 = table_all!$B12) * (results_spb!$C$1:$C$100 = table_all!H$1), 0),
         MATCH(table_all!H$2, results_spb!$1:$1, 0)))</f>
        <v>2.1080000000000001</v>
      </c>
      <c r="I12" s="12"/>
      <c r="J12" s="12" cm="1">
        <f t="array" ref="J12">IF(INDEX(results_spb!$A$1:$Y$100,
          MATCH(1, (results_spb!$A$1:$A$100 = table_all!$B12) * (results_spb!$C$1:$C$100 = table_all!J$1), 0),
          MATCH(table_all!J$2, results_spb!$1:$1, 0)) = 0,
   "...",
   INDEX(results_spb!$A$1:$Y$100,
         MATCH(1, (results_spb!$A$1:$A$100 = table_all!$B12) * (results_spb!$C$1:$C$100 = table_all!J$1), 0),
         MATCH(table_all!J$2, results_spb!$1:$1, 0)))</f>
        <v>2.73</v>
      </c>
      <c r="K12" s="12" cm="1">
        <f t="array" ref="K12">IF(INDEX(results_spb!$A$1:$Y$100,
          MATCH(1, (results_spb!$A$1:$A$100 = table_all!$B12) * (results_spb!$C$1:$C$100 = table_all!K$1), 0),
          MATCH(table_all!K$2, results_spb!$1:$1, 0)) = 0,
   "...",
   INDEX(results_spb!$A$1:$Y$100,
         MATCH(1, (results_spb!$A$1:$A$100 = table_all!$B12) * (results_spb!$C$1:$C$100 = table_all!K$1), 0),
         MATCH(table_all!K$2, results_spb!$1:$1, 0)))</f>
        <v>2.7770000000000001</v>
      </c>
      <c r="L12" s="12"/>
      <c r="M12" s="12" cm="1">
        <f t="array" ref="M12">IF(INDEX(results_spb!$A$1:$Y$100,
          MATCH(1, (results_spb!$A$1:$A$100 = table_all!$B12) * (results_spb!$C$1:$C$100 = table_all!M$1), 0),
          MATCH(table_all!M$2, results_spb!$1:$1, 0)) = 0,
   "...",
   INDEX(results_spb!$A$1:$Y$100,
         MATCH(1, (results_spb!$A$1:$A$100 = table_all!$B12) * (results_spb!$C$1:$C$100 = table_all!M$1), 0),
         MATCH(table_all!M$2, results_spb!$1:$1, 0)))</f>
        <v>2.5409999999999999</v>
      </c>
      <c r="N12" s="12" cm="1">
        <f t="array" ref="N12">IF(INDEX(results_spb!$A$1:$Y$100,
          MATCH(1, (results_spb!$A$1:$A$100 = table_all!$B12) * (results_spb!$C$1:$C$100 = table_all!N$1), 0),
          MATCH(table_all!N$2, results_spb!$1:$1, 0)) = 0,
   "...",
   INDEX(results_spb!$A$1:$Y$100,
         MATCH(1, (results_spb!$A$1:$A$100 = table_all!$B12) * (results_spb!$C$1:$C$100 = table_all!N$1), 0),
         MATCH(table_all!N$2, results_spb!$1:$1, 0)))</f>
        <v>2.5990000000000002</v>
      </c>
      <c r="O12" s="12"/>
      <c r="P12" s="12" cm="1">
        <f t="array" ref="P12">IF(INDEX(results_spb!$A$1:$Y$100,
          MATCH(1, (results_spb!$A$1:$A$100 = table_all!$B12) * (results_spb!$C$1:$C$100 = table_all!P$1), 0),
          MATCH(table_all!P$2, results_spb!$1:$1, 0)) = 0,
   "...",
   INDEX(results_spb!$A$1:$Y$100,
         MATCH(1, (results_spb!$A$1:$A$100 = table_all!$B12) * (results_spb!$C$1:$C$100 = table_all!P$1), 0),
         MATCH(table_all!P$2, results_spb!$1:$1, 0)))</f>
        <v>2.0950000000000002</v>
      </c>
      <c r="Q12" s="12" cm="1">
        <f t="array" ref="Q12">IF(INDEX(results_spb!$A$1:$Y$100,
          MATCH(1, (results_spb!$A$1:$A$100 = table_all!$B12) * (results_spb!$C$1:$C$100 = table_all!Q$1), 0),
          MATCH(table_all!Q$2, results_spb!$1:$1, 0)) = 0,
   "...",
   INDEX(results_spb!$A$1:$Y$100,
         MATCH(1, (results_spb!$A$1:$A$100 = table_all!$B12) * (results_spb!$C$1:$C$100 = table_all!Q$1), 0),
         MATCH(table_all!Q$2, results_spb!$1:$1, 0)))</f>
        <v>2.1469999999999998</v>
      </c>
      <c r="R12" s="12"/>
      <c r="S12" s="12" cm="1">
        <f t="array" ref="S12">IF(INDEX(results_spb!$A$1:$Y$100,
          MATCH(1, (results_spb!$A$1:$A$100 = table_all!$B12) * (results_spb!$C$1:$C$100 = table_all!S$1), 0),
          MATCH(table_all!S$2, results_spb!$1:$1, 0)) = 0,
   "...",
   INDEX(results_spb!$A$1:$Y$100,
         MATCH(1, (results_spb!$A$1:$A$100 = table_all!$B12) * (results_spb!$C$1:$C$100 = table_all!S$1), 0),
         MATCH(table_all!S$2, results_spb!$1:$1, 0)))</f>
        <v>1.075</v>
      </c>
      <c r="T12" s="12" cm="1">
        <f t="array" ref="T12">IF(INDEX(results_spb!$A$1:$Y$100,
          MATCH(1, (results_spb!$A$1:$A$100 = table_all!$B12) * (results_spb!$C$1:$C$100 = table_all!T$1), 0),
          MATCH(table_all!T$2, results_spb!$1:$1, 0)) = 0,
   "...",
   INDEX(results_spb!$A$1:$Y$100,
         MATCH(1, (results_spb!$A$1:$A$100 = table_all!$B12) * (results_spb!$C$1:$C$100 = table_all!T$1), 0),
         MATCH(table_all!T$2, results_spb!$1:$1, 0)))</f>
        <v>1.6679999999999999</v>
      </c>
      <c r="U12" s="12"/>
      <c r="V12" s="12" cm="1">
        <f t="array" ref="V12">IF(INDEX(results_spb!$A$1:$Y$100,
          MATCH(1, (results_spb!$A$1:$A$100 = table_all!$B12) * (results_spb!$C$1:$C$100 = table_all!V$1), 0),
          MATCH(table_all!V$2, results_spb!$1:$1, 0)) = 0,
   "...",
   INDEX(results_spb!$A$1:$Y$100,
         MATCH(1, (results_spb!$A$1:$A$100 = table_all!$B12) * (results_spb!$C$1:$C$100 = table_all!V$1), 0),
         MATCH(table_all!V$2, results_spb!$1:$1, 0)))</f>
        <v>2.2069999999999999</v>
      </c>
      <c r="W12" s="12" cm="1">
        <f t="array" ref="W12">IF(INDEX(results_spb!$A$1:$Y$100,
          MATCH(1, (results_spb!$A$1:$A$100 = table_all!$B12) * (results_spb!$C$1:$C$100 = table_all!W$1), 0),
          MATCH(table_all!W$2, results_spb!$1:$1, 0)) = 0,
   "...",
   INDEX(results_spb!$A$1:$Y$100,
         MATCH(1, (results_spb!$A$1:$A$100 = table_all!$B12) * (results_spb!$C$1:$C$100 = table_all!W$1), 0),
         MATCH(table_all!W$2, results_spb!$1:$1, 0)))</f>
        <v>2.274</v>
      </c>
      <c r="X12" s="12"/>
      <c r="Y12" s="12" t="str" cm="1">
        <f t="array" ref="Y12">IF(INDEX(results_spb!$A$1:$Y$100,
          MATCH(1, (results_spb!$A$1:$A$100 = table_all!$B12) * (results_spb!$C$1:$C$100 = table_all!Y$1), 0),
          MATCH(table_all!Y$2, results_spb!$1:$1, 0)) = 0,
   "...",
   INDEX(results_spb!$A$1:$Y$100,
         MATCH(1, (results_spb!$A$1:$A$100 = table_all!$B12) * (results_spb!$C$1:$C$100 = table_all!Y$1), 0),
         MATCH(table_all!Y$2, results_spb!$1:$1, 0)))</f>
        <v>...</v>
      </c>
      <c r="Z12" s="12" t="str" cm="1">
        <f t="array" ref="Z12">IF(INDEX(results_spb!$A$1:$Y$100,
          MATCH(1, (results_spb!$A$1:$A$100 = table_all!$B12) * (results_spb!$C$1:$C$100 = table_all!Z$1), 0),
          MATCH(table_all!Z$2, results_spb!$1:$1, 0)) = 0,
   "...",
   INDEX(results_spb!$A$1:$Y$100,
         MATCH(1, (results_spb!$A$1:$A$100 = table_all!$B12) * (results_spb!$C$1:$C$100 = table_all!Z$1), 0),
         MATCH(table_all!Z$2, results_spb!$1:$1, 0)))</f>
        <v>...</v>
      </c>
      <c r="AA12" s="12"/>
      <c r="AB12" s="12" t="str" cm="1">
        <f t="array" ref="AB12">IF(INDEX(results_spb!$A$1:$Y$100,
          MATCH(1, (results_spb!$A$1:$A$100 = table_all!$B12) * (results_spb!$C$1:$C$100 = table_all!AB$1), 0),
          MATCH(table_all!AB$2, results_spb!$1:$1, 0)) = 0,
   "...",
   INDEX(results_spb!$A$1:$Y$100,
         MATCH(1, (results_spb!$A$1:$A$100 = table_all!$B12) * (results_spb!$C$1:$C$100 = table_all!AB$1), 0),
         MATCH(table_all!AB$2, results_spb!$1:$1, 0)))</f>
        <v>...</v>
      </c>
      <c r="AC12" s="12" t="str" cm="1">
        <f t="array" ref="AC12">IF(INDEX(results_spb!$A$1:$Y$100,
          MATCH(1, (results_spb!$A$1:$A$100 = table_all!$B12) * (results_spb!$C$1:$C$100 = table_all!AC$1), 0),
          MATCH(table_all!AC$2, results_spb!$1:$1, 0)) = 0,
   "...",
   INDEX(results_spb!$A$1:$Y$100,
         MATCH(1, (results_spb!$A$1:$A$100 = table_all!$B12) * (results_spb!$C$1:$C$100 = table_all!AC$1), 0),
         MATCH(table_all!AC$2, results_spb!$1:$1, 0)))</f>
        <v>...</v>
      </c>
      <c r="AD12" s="12"/>
      <c r="AE12" s="12">
        <f t="shared" si="2"/>
        <v>2.73</v>
      </c>
      <c r="AF12" s="12">
        <f t="shared" si="2"/>
        <v>2.7770000000000001</v>
      </c>
      <c r="AG12" s="14"/>
      <c r="AH12" s="3">
        <f t="shared" si="0"/>
        <v>0.89474999999999993</v>
      </c>
      <c r="AI12" s="3">
        <f t="shared" si="1"/>
        <v>0.51800000000000002</v>
      </c>
      <c r="AJ12" s="14"/>
      <c r="AK12" s="31"/>
      <c r="AL12" s="39" t="s">
        <v>118</v>
      </c>
      <c r="AM12" s="40"/>
      <c r="AN12" s="40"/>
      <c r="AO12" s="40"/>
      <c r="AP12" s="40"/>
      <c r="AQ12" s="41"/>
    </row>
    <row r="13" spans="1:43" ht="15" customHeight="1">
      <c r="A13" s="25" t="s">
        <v>19</v>
      </c>
      <c r="B13" s="22" t="str">
        <f>INDEX(Table1[#All], MATCH($A13, ameco_2024_data!$A:$A, 0), MATCH(B$2, ameco_2024_data!$1:$1, 0))</f>
        <v>Belgium</v>
      </c>
      <c r="C13" s="15">
        <f>INDEX(Table1[#All], MATCH($A13, ameco_2024_data!$A:$A, 0), MATCH(C$2, ameco_2024_data!$1:$1, 0))</f>
        <v>105.0356</v>
      </c>
      <c r="D13" s="12">
        <f>INDEX(Table1[#All], MATCH($A13, ameco_2024_data!$A:$A, 0), MATCH(D$2, ameco_2024_data!$1:$1, 0))</f>
        <v>-4.4116011000000004</v>
      </c>
      <c r="E13" s="12">
        <f>INDEX(Table1[#All], MATCH($A13, ameco_2024_data!$A:$A, 0), MATCH(E$2, ameco_2024_data!$1:$1, 0))</f>
        <v>-1.8693</v>
      </c>
      <c r="F13" s="3"/>
      <c r="G13" s="12" cm="1">
        <f t="array" ref="G13">IF(INDEX(results_spb!$A$1:$Y$100,
          MATCH(1, (results_spb!$A$1:$A$100 = table_all!$B13) * (results_spb!$C$1:$C$100 = table_all!G$1), 0),
          MATCH(table_all!G$2, results_spb!$1:$1, 0)) = 0,
   "...",
   INDEX(results_spb!$A$1:$Y$100,
         MATCH(1, (results_spb!$A$1:$A$100 = table_all!$B13) * (results_spb!$C$1:$C$100 = table_all!G$1), 0),
         MATCH(table_all!G$2, results_spb!$1:$1, 0)))</f>
        <v>0.35299999999999998</v>
      </c>
      <c r="H13" s="12" cm="1">
        <f t="array" ref="H13">IF(INDEX(results_spb!$A$1:$Y$100,
          MATCH(1, (results_spb!$A$1:$A$100 = table_all!$B13) * (results_spb!$C$1:$C$100 = table_all!H$1), 0),
          MATCH(table_all!H$2, results_spb!$1:$1, 0)) = 0,
   "...",
   INDEX(results_spb!$A$1:$Y$100,
         MATCH(1, (results_spb!$A$1:$A$100 = table_all!$B13) * (results_spb!$C$1:$C$100 = table_all!H$1), 0),
         MATCH(table_all!H$2, results_spb!$1:$1, 0)))</f>
        <v>0.39</v>
      </c>
      <c r="I13" s="12"/>
      <c r="J13" s="12" cm="1">
        <f t="array" ref="J13">IF(INDEX(results_spb!$A$1:$Y$100,
          MATCH(1, (results_spb!$A$1:$A$100 = table_all!$B13) * (results_spb!$C$1:$C$100 = table_all!J$1), 0),
          MATCH(table_all!J$2, results_spb!$1:$1, 0)) = 0,
   "...",
   INDEX(results_spb!$A$1:$Y$100,
         MATCH(1, (results_spb!$A$1:$A$100 = table_all!$B13) * (results_spb!$C$1:$C$100 = table_all!J$1), 0),
         MATCH(table_all!J$2, results_spb!$1:$1, 0)))</f>
        <v>1.0920000000000001</v>
      </c>
      <c r="K13" s="12" cm="1">
        <f t="array" ref="K13">IF(INDEX(results_spb!$A$1:$Y$100,
          MATCH(1, (results_spb!$A$1:$A$100 = table_all!$B13) * (results_spb!$C$1:$C$100 = table_all!K$1), 0),
          MATCH(table_all!K$2, results_spb!$1:$1, 0)) = 0,
   "...",
   INDEX(results_spb!$A$1:$Y$100,
         MATCH(1, (results_spb!$A$1:$A$100 = table_all!$B13) * (results_spb!$C$1:$C$100 = table_all!K$1), 0),
         MATCH(table_all!K$2, results_spb!$1:$1, 0)))</f>
        <v>1.135</v>
      </c>
      <c r="L13" s="12"/>
      <c r="M13" s="12" cm="1">
        <f t="array" ref="M13">IF(INDEX(results_spb!$A$1:$Y$100,
          MATCH(1, (results_spb!$A$1:$A$100 = table_all!$B13) * (results_spb!$C$1:$C$100 = table_all!M$1), 0),
          MATCH(table_all!M$2, results_spb!$1:$1, 0)) = 0,
   "...",
   INDEX(results_spb!$A$1:$Y$100,
         MATCH(1, (results_spb!$A$1:$A$100 = table_all!$B13) * (results_spb!$C$1:$C$100 = table_all!M$1), 0),
         MATCH(table_all!M$2, results_spb!$1:$1, 0)))</f>
        <v>0.85499999999999998</v>
      </c>
      <c r="N13" s="12" cm="1">
        <f t="array" ref="N13">IF(INDEX(results_spb!$A$1:$Y$100,
          MATCH(1, (results_spb!$A$1:$A$100 = table_all!$B13) * (results_spb!$C$1:$C$100 = table_all!N$1), 0),
          MATCH(table_all!N$2, results_spb!$1:$1, 0)) = 0,
   "...",
   INDEX(results_spb!$A$1:$Y$100,
         MATCH(1, (results_spb!$A$1:$A$100 = table_all!$B13) * (results_spb!$C$1:$C$100 = table_all!N$1), 0),
         MATCH(table_all!N$2, results_spb!$1:$1, 0)))</f>
        <v>0.89300000000000002</v>
      </c>
      <c r="O13" s="12"/>
      <c r="P13" s="12" cm="1">
        <f t="array" ref="P13">IF(INDEX(results_spb!$A$1:$Y$100,
          MATCH(1, (results_spb!$A$1:$A$100 = table_all!$B13) * (results_spb!$C$1:$C$100 = table_all!P$1), 0),
          MATCH(table_all!P$2, results_spb!$1:$1, 0)) = 0,
   "...",
   INDEX(results_spb!$A$1:$Y$100,
         MATCH(1, (results_spb!$A$1:$A$100 = table_all!$B13) * (results_spb!$C$1:$C$100 = table_all!P$1), 0),
         MATCH(table_all!P$2, results_spb!$1:$1, 0)))</f>
        <v>0.41599999999999998</v>
      </c>
      <c r="Q13" s="12" cm="1">
        <f t="array" ref="Q13">IF(INDEX(results_spb!$A$1:$Y$100,
          MATCH(1, (results_spb!$A$1:$A$100 = table_all!$B13) * (results_spb!$C$1:$C$100 = table_all!Q$1), 0),
          MATCH(table_all!Q$2, results_spb!$1:$1, 0)) = 0,
   "...",
   INDEX(results_spb!$A$1:$Y$100,
         MATCH(1, (results_spb!$A$1:$A$100 = table_all!$B13) * (results_spb!$C$1:$C$100 = table_all!Q$1), 0),
         MATCH(table_all!Q$2, results_spb!$1:$1, 0)))</f>
        <v>0.45100000000000001</v>
      </c>
      <c r="R13" s="12"/>
      <c r="S13" s="12" cm="1">
        <f t="array" ref="S13">IF(INDEX(results_spb!$A$1:$Y$100,
          MATCH(1, (results_spb!$A$1:$A$100 = table_all!$B13) * (results_spb!$C$1:$C$100 = table_all!S$1), 0),
          MATCH(table_all!S$2, results_spb!$1:$1, 0)) = 0,
   "...",
   INDEX(results_spb!$A$1:$Y$100,
         MATCH(1, (results_spb!$A$1:$A$100 = table_all!$B13) * (results_spb!$C$1:$C$100 = table_all!S$1), 0),
         MATCH(table_all!S$2, results_spb!$1:$1, 0)))</f>
        <v>0.432</v>
      </c>
      <c r="T13" s="12" cm="1">
        <f t="array" ref="T13">IF(INDEX(results_spb!$A$1:$Y$100,
          MATCH(1, (results_spb!$A$1:$A$100 = table_all!$B13) * (results_spb!$C$1:$C$100 = table_all!T$1), 0),
          MATCH(table_all!T$2, results_spb!$1:$1, 0)) = 0,
   "...",
   INDEX(results_spb!$A$1:$Y$100,
         MATCH(1, (results_spb!$A$1:$A$100 = table_all!$B13) * (results_spb!$C$1:$C$100 = table_all!T$1), 0),
         MATCH(table_all!T$2, results_spb!$1:$1, 0)))</f>
        <v>0.65700000000000003</v>
      </c>
      <c r="U13" s="12"/>
      <c r="V13" s="12" cm="1">
        <f t="array" ref="V13">IF(INDEX(results_spb!$A$1:$Y$100,
          MATCH(1, (results_spb!$A$1:$A$100 = table_all!$B13) * (results_spb!$C$1:$C$100 = table_all!V$1), 0),
          MATCH(table_all!V$2, results_spb!$1:$1, 0)) = 0,
   "...",
   INDEX(results_spb!$A$1:$Y$100,
         MATCH(1, (results_spb!$A$1:$A$100 = table_all!$B13) * (results_spb!$C$1:$C$100 = table_all!V$1), 0),
         MATCH(table_all!V$2, results_spb!$1:$1, 0)))</f>
        <v>0.81399999999999995</v>
      </c>
      <c r="W13" s="12" cm="1">
        <f t="array" ref="W13">IF(INDEX(results_spb!$A$1:$Y$100,
          MATCH(1, (results_spb!$A$1:$A$100 = table_all!$B13) * (results_spb!$C$1:$C$100 = table_all!W$1), 0),
          MATCH(table_all!W$2, results_spb!$1:$1, 0)) = 0,
   "...",
   INDEX(results_spb!$A$1:$Y$100,
         MATCH(1, (results_spb!$A$1:$A$100 = table_all!$B13) * (results_spb!$C$1:$C$100 = table_all!W$1), 0),
         MATCH(table_all!W$2, results_spb!$1:$1, 0)))</f>
        <v>0.92300000000000004</v>
      </c>
      <c r="X13" s="12"/>
      <c r="Y13" s="12" t="str" cm="1">
        <f t="array" ref="Y13">IF(INDEX(results_spb!$A$1:$Y$100,
          MATCH(1, (results_spb!$A$1:$A$100 = table_all!$B13) * (results_spb!$C$1:$C$100 = table_all!Y$1), 0),
          MATCH(table_all!Y$2, results_spb!$1:$1, 0)) = 0,
   "...",
   INDEX(results_spb!$A$1:$Y$100,
         MATCH(1, (results_spb!$A$1:$A$100 = table_all!$B13) * (results_spb!$C$1:$C$100 = table_all!Y$1), 0),
         MATCH(table_all!Y$2, results_spb!$1:$1, 0)))</f>
        <v>...</v>
      </c>
      <c r="Z13" s="12" t="str" cm="1">
        <f t="array" ref="Z13">IF(INDEX(results_spb!$A$1:$Y$100,
          MATCH(1, (results_spb!$A$1:$A$100 = table_all!$B13) * (results_spb!$C$1:$C$100 = table_all!Z$1), 0),
          MATCH(table_all!Z$2, results_spb!$1:$1, 0)) = 0,
   "...",
   INDEX(results_spb!$A$1:$Y$100,
         MATCH(1, (results_spb!$A$1:$A$100 = table_all!$B13) * (results_spb!$C$1:$C$100 = table_all!Z$1), 0),
         MATCH(table_all!Z$2, results_spb!$1:$1, 0)))</f>
        <v>...</v>
      </c>
      <c r="AA13" s="12"/>
      <c r="AB13" s="12" t="str" cm="1">
        <f t="array" ref="AB13">IF(INDEX(results_spb!$A$1:$Y$100,
          MATCH(1, (results_spb!$A$1:$A$100 = table_all!$B13) * (results_spb!$C$1:$C$100 = table_all!AB$1), 0),
          MATCH(table_all!AB$2, results_spb!$1:$1, 0)) = 0,
   "...",
   INDEX(results_spb!$A$1:$Y$100,
         MATCH(1, (results_spb!$A$1:$A$100 = table_all!$B13) * (results_spb!$C$1:$C$100 = table_all!AB$1), 0),
         MATCH(table_all!AB$2, results_spb!$1:$1, 0)))</f>
        <v>...</v>
      </c>
      <c r="AC13" s="12" t="str" cm="1">
        <f t="array" ref="AC13">IF(INDEX(results_spb!$A$1:$Y$100,
          MATCH(1, (results_spb!$A$1:$A$100 = table_all!$B13) * (results_spb!$C$1:$C$100 = table_all!AC$1), 0),
          MATCH(table_all!AC$2, results_spb!$1:$1, 0)) = 0,
   "...",
   INDEX(results_spb!$A$1:$Y$100,
         MATCH(1, (results_spb!$A$1:$A$100 = table_all!$B13) * (results_spb!$C$1:$C$100 = table_all!AC$1), 0),
         MATCH(table_all!AC$2, results_spb!$1:$1, 0)))</f>
        <v>...</v>
      </c>
      <c r="AD13" s="12"/>
      <c r="AE13" s="12">
        <f t="shared" si="2"/>
        <v>1.0920000000000001</v>
      </c>
      <c r="AF13" s="12">
        <f t="shared" si="2"/>
        <v>1.135</v>
      </c>
      <c r="AG13" s="14"/>
      <c r="AH13" s="3">
        <f t="shared" si="0"/>
        <v>0.74032500000000001</v>
      </c>
      <c r="AI13" s="3">
        <f t="shared" si="1"/>
        <v>0.42918571428571423</v>
      </c>
      <c r="AJ13" s="14"/>
      <c r="AK13" s="32"/>
      <c r="AL13" s="39" t="s">
        <v>120</v>
      </c>
      <c r="AM13" s="40"/>
      <c r="AN13" s="40"/>
      <c r="AO13" s="40"/>
      <c r="AP13" s="40"/>
      <c r="AQ13" s="41"/>
    </row>
    <row r="14" spans="1:43" ht="15" customHeight="1">
      <c r="A14" s="25" t="s">
        <v>20</v>
      </c>
      <c r="B14" s="22" t="str">
        <f>INDEX(Table1[#All], MATCH($A14, ameco_2024_data!$A:$A, 0), MATCH(B$2, ameco_2024_data!$1:$1, 0))</f>
        <v>Portugal</v>
      </c>
      <c r="C14" s="15">
        <f>INDEX(Table1[#All], MATCH($A14, ameco_2024_data!$A:$A, 0), MATCH(C$2, ameco_2024_data!$1:$1, 0))</f>
        <v>95.631399999999999</v>
      </c>
      <c r="D14" s="12">
        <f>INDEX(Table1[#All], MATCH($A14, ameco_2024_data!$A:$A, 0), MATCH(D$2, ameco_2024_data!$1:$1, 0))</f>
        <v>0.43677359999999998</v>
      </c>
      <c r="E14" s="12">
        <f>INDEX(Table1[#All], MATCH($A14, ameco_2024_data!$A:$A, 0), MATCH(E$2, ameco_2024_data!$1:$1, 0))</f>
        <v>2.2021000000000002</v>
      </c>
      <c r="F14" s="3"/>
      <c r="G14" s="12" cm="1">
        <f t="array" ref="G14">IF(INDEX(results_spb!$A$1:$Y$100,
          MATCH(1, (results_spb!$A$1:$A$100 = table_all!$B14) * (results_spb!$C$1:$C$100 = table_all!G$1), 0),
          MATCH(table_all!G$2, results_spb!$1:$1, 0)) = 0,
   "...",
   INDEX(results_spb!$A$1:$Y$100,
         MATCH(1, (results_spb!$A$1:$A$100 = table_all!$B14) * (results_spb!$C$1:$C$100 = table_all!G$1), 0),
         MATCH(table_all!G$2, results_spb!$1:$1, 0)))</f>
        <v>2.0129999999999999</v>
      </c>
      <c r="H14" s="12" cm="1">
        <f t="array" ref="H14">IF(INDEX(results_spb!$A$1:$Y$100,
          MATCH(1, (results_spb!$A$1:$A$100 = table_all!$B14) * (results_spb!$C$1:$C$100 = table_all!H$1), 0),
          MATCH(table_all!H$2, results_spb!$1:$1, 0)) = 0,
   "...",
   INDEX(results_spb!$A$1:$Y$100,
         MATCH(1, (results_spb!$A$1:$A$100 = table_all!$B14) * (results_spb!$C$1:$C$100 = table_all!H$1), 0),
         MATCH(table_all!H$2, results_spb!$1:$1, 0)))</f>
        <v>1.77</v>
      </c>
      <c r="I14" s="12"/>
      <c r="J14" s="12" cm="1">
        <f t="array" ref="J14">IF(INDEX(results_spb!$A$1:$Y$100,
          MATCH(1, (results_spb!$A$1:$A$100 = table_all!$B14) * (results_spb!$C$1:$C$100 = table_all!J$1), 0),
          MATCH(table_all!J$2, results_spb!$1:$1, 0)) = 0,
   "...",
   INDEX(results_spb!$A$1:$Y$100,
         MATCH(1, (results_spb!$A$1:$A$100 = table_all!$B14) * (results_spb!$C$1:$C$100 = table_all!J$1), 0),
         MATCH(table_all!J$2, results_spb!$1:$1, 0)))</f>
        <v>2.5659999999999998</v>
      </c>
      <c r="K14" s="12" cm="1">
        <f t="array" ref="K14">IF(INDEX(results_spb!$A$1:$Y$100,
          MATCH(1, (results_spb!$A$1:$A$100 = table_all!$B14) * (results_spb!$C$1:$C$100 = table_all!K$1), 0),
          MATCH(table_all!K$2, results_spb!$1:$1, 0)) = 0,
   "...",
   INDEX(results_spb!$A$1:$Y$100,
         MATCH(1, (results_spb!$A$1:$A$100 = table_all!$B14) * (results_spb!$C$1:$C$100 = table_all!K$1), 0),
         MATCH(table_all!K$2, results_spb!$1:$1, 0)))</f>
        <v>2.2890000000000001</v>
      </c>
      <c r="L14" s="12"/>
      <c r="M14" s="12" cm="1">
        <f t="array" ref="M14">IF(INDEX(results_spb!$A$1:$Y$100,
          MATCH(1, (results_spb!$A$1:$A$100 = table_all!$B14) * (results_spb!$C$1:$C$100 = table_all!M$1), 0),
          MATCH(table_all!M$2, results_spb!$1:$1, 0)) = 0,
   "...",
   INDEX(results_spb!$A$1:$Y$100,
         MATCH(1, (results_spb!$A$1:$A$100 = table_all!$B14) * (results_spb!$C$1:$C$100 = table_all!M$1), 0),
         MATCH(table_all!M$2, results_spb!$1:$1, 0)))</f>
        <v>2.5070000000000001</v>
      </c>
      <c r="N14" s="12" cm="1">
        <f t="array" ref="N14">IF(INDEX(results_spb!$A$1:$Y$100,
          MATCH(1, (results_spb!$A$1:$A$100 = table_all!$B14) * (results_spb!$C$1:$C$100 = table_all!N$1), 0),
          MATCH(table_all!N$2, results_spb!$1:$1, 0)) = 0,
   "...",
   INDEX(results_spb!$A$1:$Y$100,
         MATCH(1, (results_spb!$A$1:$A$100 = table_all!$B14) * (results_spb!$C$1:$C$100 = table_all!N$1), 0),
         MATCH(table_all!N$2, results_spb!$1:$1, 0)))</f>
        <v>2.2629999999999999</v>
      </c>
      <c r="O14" s="12"/>
      <c r="P14" s="12" cm="1">
        <f t="array" ref="P14">IF(INDEX(results_spb!$A$1:$Y$100,
          MATCH(1, (results_spb!$A$1:$A$100 = table_all!$B14) * (results_spb!$C$1:$C$100 = table_all!P$1), 0),
          MATCH(table_all!P$2, results_spb!$1:$1, 0)) = 0,
   "...",
   INDEX(results_spb!$A$1:$Y$100,
         MATCH(1, (results_spb!$A$1:$A$100 = table_all!$B14) * (results_spb!$C$1:$C$100 = table_all!P$1), 0),
         MATCH(table_all!P$2, results_spb!$1:$1, 0)))</f>
        <v>2.028</v>
      </c>
      <c r="Q14" s="12" cm="1">
        <f t="array" ref="Q14">IF(INDEX(results_spb!$A$1:$Y$100,
          MATCH(1, (results_spb!$A$1:$A$100 = table_all!$B14) * (results_spb!$C$1:$C$100 = table_all!Q$1), 0),
          MATCH(table_all!Q$2, results_spb!$1:$1, 0)) = 0,
   "...",
   INDEX(results_spb!$A$1:$Y$100,
         MATCH(1, (results_spb!$A$1:$A$100 = table_all!$B14) * (results_spb!$C$1:$C$100 = table_all!Q$1), 0),
         MATCH(table_all!Q$2, results_spb!$1:$1, 0)))</f>
        <v>1.79</v>
      </c>
      <c r="R14" s="12"/>
      <c r="S14" s="12" cm="1">
        <f t="array" ref="S14">IF(INDEX(results_spb!$A$1:$Y$100,
          MATCH(1, (results_spb!$A$1:$A$100 = table_all!$B14) * (results_spb!$C$1:$C$100 = table_all!S$1), 0),
          MATCH(table_all!S$2, results_spb!$1:$1, 0)) = 0,
   "...",
   INDEX(results_spb!$A$1:$Y$100,
         MATCH(1, (results_spb!$A$1:$A$100 = table_all!$B14) * (results_spb!$C$1:$C$100 = table_all!S$1), 0),
         MATCH(table_all!S$2, results_spb!$1:$1, 0)))</f>
        <v>1.98</v>
      </c>
      <c r="T14" s="12" cm="1">
        <f t="array" ref="T14">IF(INDEX(results_spb!$A$1:$Y$100,
          MATCH(1, (results_spb!$A$1:$A$100 = table_all!$B14) * (results_spb!$C$1:$C$100 = table_all!T$1), 0),
          MATCH(table_all!T$2, results_spb!$1:$1, 0)) = 0,
   "...",
   INDEX(results_spb!$A$1:$Y$100,
         MATCH(1, (results_spb!$A$1:$A$100 = table_all!$B14) * (results_spb!$C$1:$C$100 = table_all!T$1), 0),
         MATCH(table_all!T$2, results_spb!$1:$1, 0)))</f>
        <v>2.1880000000000002</v>
      </c>
      <c r="U14" s="12"/>
      <c r="V14" s="12" cm="1">
        <f t="array" ref="V14">IF(INDEX(results_spb!$A$1:$Y$100,
          MATCH(1, (results_spb!$A$1:$A$100 = table_all!$B14) * (results_spb!$C$1:$C$100 = table_all!V$1), 0),
          MATCH(table_all!V$2, results_spb!$1:$1, 0)) = 0,
   "...",
   INDEX(results_spb!$A$1:$Y$100,
         MATCH(1, (results_spb!$A$1:$A$100 = table_all!$B14) * (results_spb!$C$1:$C$100 = table_all!V$1), 0),
         MATCH(table_all!V$2, results_spb!$1:$1, 0)))</f>
        <v>1.6819999999999999</v>
      </c>
      <c r="W14" s="12" cm="1">
        <f t="array" ref="W14">IF(INDEX(results_spb!$A$1:$Y$100,
          MATCH(1, (results_spb!$A$1:$A$100 = table_all!$B14) * (results_spb!$C$1:$C$100 = table_all!W$1), 0),
          MATCH(table_all!W$2, results_spb!$1:$1, 0)) = 0,
   "...",
   INDEX(results_spb!$A$1:$Y$100,
         MATCH(1, (results_spb!$A$1:$A$100 = table_all!$B14) * (results_spb!$C$1:$C$100 = table_all!W$1), 0),
         MATCH(table_all!W$2, results_spb!$1:$1, 0)))</f>
        <v>1.4610000000000001</v>
      </c>
      <c r="X14" s="12"/>
      <c r="Y14" s="12" t="str" cm="1">
        <f t="array" ref="Y14">IF(INDEX(results_spb!$A$1:$Y$100,
          MATCH(1, (results_spb!$A$1:$A$100 = table_all!$B14) * (results_spb!$C$1:$C$100 = table_all!Y$1), 0),
          MATCH(table_all!Y$2, results_spb!$1:$1, 0)) = 0,
   "...",
   INDEX(results_spb!$A$1:$Y$100,
         MATCH(1, (results_spb!$A$1:$A$100 = table_all!$B14) * (results_spb!$C$1:$C$100 = table_all!Y$1), 0),
         MATCH(table_all!Y$2, results_spb!$1:$1, 0)))</f>
        <v>...</v>
      </c>
      <c r="Z14" s="12" t="str" cm="1">
        <f t="array" ref="Z14">IF(INDEX(results_spb!$A$1:$Y$100,
          MATCH(1, (results_spb!$A$1:$A$100 = table_all!$B14) * (results_spb!$C$1:$C$100 = table_all!Z$1), 0),
          MATCH(table_all!Z$2, results_spb!$1:$1, 0)) = 0,
   "...",
   INDEX(results_spb!$A$1:$Y$100,
         MATCH(1, (results_spb!$A$1:$A$100 = table_all!$B14) * (results_spb!$C$1:$C$100 = table_all!Z$1), 0),
         MATCH(table_all!Z$2, results_spb!$1:$1, 0)))</f>
        <v>...</v>
      </c>
      <c r="AA14" s="12"/>
      <c r="AB14" s="12" t="str" cm="1">
        <f t="array" ref="AB14">IF(INDEX(results_spb!$A$1:$Y$100,
          MATCH(1, (results_spb!$A$1:$A$100 = table_all!$B14) * (results_spb!$C$1:$C$100 = table_all!AB$1), 0),
          MATCH(table_all!AB$2, results_spb!$1:$1, 0)) = 0,
   "...",
   INDEX(results_spb!$A$1:$Y$100,
         MATCH(1, (results_spb!$A$1:$A$100 = table_all!$B14) * (results_spb!$C$1:$C$100 = table_all!AB$1), 0),
         MATCH(table_all!AB$2, results_spb!$1:$1, 0)))</f>
        <v>...</v>
      </c>
      <c r="AC14" s="12" t="str" cm="1">
        <f t="array" ref="AC14">IF(INDEX(results_spb!$A$1:$Y$100,
          MATCH(1, (results_spb!$A$1:$A$100 = table_all!$B14) * (results_spb!$C$1:$C$100 = table_all!AC$1), 0),
          MATCH(table_all!AC$2, results_spb!$1:$1, 0)) = 0,
   "...",
   INDEX(results_spb!$A$1:$Y$100,
         MATCH(1, (results_spb!$A$1:$A$100 = table_all!$B14) * (results_spb!$C$1:$C$100 = table_all!AC$1), 0),
         MATCH(table_all!AC$2, results_spb!$1:$1, 0)))</f>
        <v>...</v>
      </c>
      <c r="AD14" s="12"/>
      <c r="AE14" s="12">
        <f t="shared" si="2"/>
        <v>2.5659999999999998</v>
      </c>
      <c r="AF14" s="12">
        <f t="shared" si="2"/>
        <v>2.2890000000000001</v>
      </c>
      <c r="AG14" s="14"/>
      <c r="AH14" s="3">
        <f t="shared" si="0"/>
        <v>9.0974999999999917E-2</v>
      </c>
      <c r="AI14" s="3">
        <f t="shared" si="1"/>
        <v>1.2414285714285711E-2</v>
      </c>
      <c r="AJ14" s="14"/>
      <c r="AK14" s="33"/>
      <c r="AL14" s="39" t="s">
        <v>121</v>
      </c>
      <c r="AM14" s="40"/>
      <c r="AN14" s="40"/>
      <c r="AO14" s="40"/>
      <c r="AP14" s="40"/>
      <c r="AQ14" s="41"/>
    </row>
    <row r="15" spans="1:43">
      <c r="A15" s="25" t="s">
        <v>21</v>
      </c>
      <c r="B15" s="22" t="str">
        <f>INDEX(Table1[#All], MATCH($A15, ameco_2024_data!$A:$A, 0), MATCH(B$2, ameco_2024_data!$1:$1, 0))</f>
        <v>Finland</v>
      </c>
      <c r="C15" s="15">
        <f>INDEX(Table1[#All], MATCH($A15, ameco_2024_data!$A:$A, 0), MATCH(C$2, ameco_2024_data!$1:$1, 0))</f>
        <v>80.487399999999994</v>
      </c>
      <c r="D15" s="12">
        <f>INDEX(Table1[#All], MATCH($A15, ameco_2024_data!$A:$A, 0), MATCH(D$2, ameco_2024_data!$1:$1, 0))</f>
        <v>-3.4097268999999999</v>
      </c>
      <c r="E15" s="12">
        <f>INDEX(Table1[#All], MATCH($A15, ameco_2024_data!$A:$A, 0), MATCH(E$2, ameco_2024_data!$1:$1, 0))</f>
        <v>-0.53010000000000002</v>
      </c>
      <c r="F15" s="3"/>
      <c r="G15" s="12" cm="1">
        <f t="array" ref="G15">IF(INDEX(results_spb!$A$1:$Y$100,
          MATCH(1, (results_spb!$A$1:$A$100 = table_all!$B15) * (results_spb!$C$1:$C$100 = table_all!G$1), 0),
          MATCH(table_all!G$2, results_spb!$1:$1, 0)) = 0,
   "...",
   INDEX(results_spb!$A$1:$Y$100,
         MATCH(1, (results_spb!$A$1:$A$100 = table_all!$B15) * (results_spb!$C$1:$C$100 = table_all!G$1), 0),
         MATCH(table_all!G$2, results_spb!$1:$1, 0)))</f>
        <v>0.66400000000000003</v>
      </c>
      <c r="H15" s="12" cm="1">
        <f t="array" ref="H15">IF(INDEX(results_spb!$A$1:$Y$100,
          MATCH(1, (results_spb!$A$1:$A$100 = table_all!$B15) * (results_spb!$C$1:$C$100 = table_all!H$1), 0),
          MATCH(table_all!H$2, results_spb!$1:$1, 0)) = 0,
   "...",
   INDEX(results_spb!$A$1:$Y$100,
         MATCH(1, (results_spb!$A$1:$A$100 = table_all!$B15) * (results_spb!$C$1:$C$100 = table_all!H$1), 0),
         MATCH(table_all!H$2, results_spb!$1:$1, 0)))</f>
        <v>0.34899999999999998</v>
      </c>
      <c r="I15" s="12"/>
      <c r="J15" s="12" cm="1">
        <f t="array" ref="J15">IF(INDEX(results_spb!$A$1:$Y$100,
          MATCH(1, (results_spb!$A$1:$A$100 = table_all!$B15) * (results_spb!$C$1:$C$100 = table_all!J$1), 0),
          MATCH(table_all!J$2, results_spb!$1:$1, 0)) = 0,
   "...",
   INDEX(results_spb!$A$1:$Y$100,
         MATCH(1, (results_spb!$A$1:$A$100 = table_all!$B15) * (results_spb!$C$1:$C$100 = table_all!J$1), 0),
         MATCH(table_all!J$2, results_spb!$1:$1, 0)))</f>
        <v>1.139</v>
      </c>
      <c r="K15" s="12" cm="1">
        <f t="array" ref="K15">IF(INDEX(results_spb!$A$1:$Y$100,
          MATCH(1, (results_spb!$A$1:$A$100 = table_all!$B15) * (results_spb!$C$1:$C$100 = table_all!K$1), 0),
          MATCH(table_all!K$2, results_spb!$1:$1, 0)) = 0,
   "...",
   INDEX(results_spb!$A$1:$Y$100,
         MATCH(1, (results_spb!$A$1:$A$100 = table_all!$B15) * (results_spb!$C$1:$C$100 = table_all!K$1), 0),
         MATCH(table_all!K$2, results_spb!$1:$1, 0)))</f>
        <v>0.81599999999999995</v>
      </c>
      <c r="L15" s="12"/>
      <c r="M15" s="12" cm="1">
        <f t="array" ref="M15">IF(INDEX(results_spb!$A$1:$Y$100,
          MATCH(1, (results_spb!$A$1:$A$100 = table_all!$B15) * (results_spb!$C$1:$C$100 = table_all!M$1), 0),
          MATCH(table_all!M$2, results_spb!$1:$1, 0)) = 0,
   "...",
   INDEX(results_spb!$A$1:$Y$100,
         MATCH(1, (results_spb!$A$1:$A$100 = table_all!$B15) * (results_spb!$C$1:$C$100 = table_all!M$1), 0),
         MATCH(table_all!M$2, results_spb!$1:$1, 0)))</f>
        <v>1.1919999999999999</v>
      </c>
      <c r="N15" s="12" cm="1">
        <f t="array" ref="N15">IF(INDEX(results_spb!$A$1:$Y$100,
          MATCH(1, (results_spb!$A$1:$A$100 = table_all!$B15) * (results_spb!$C$1:$C$100 = table_all!N$1), 0),
          MATCH(table_all!N$2, results_spb!$1:$1, 0)) = 0,
   "...",
   INDEX(results_spb!$A$1:$Y$100,
         MATCH(1, (results_spb!$A$1:$A$100 = table_all!$B15) * (results_spb!$C$1:$C$100 = table_all!N$1), 0),
         MATCH(table_all!N$2, results_spb!$1:$1, 0)))</f>
        <v>0.64300000000000002</v>
      </c>
      <c r="O15" s="12"/>
      <c r="P15" s="12" cm="1">
        <f t="array" ref="P15">IF(INDEX(results_spb!$A$1:$Y$100,
          MATCH(1, (results_spb!$A$1:$A$100 = table_all!$B15) * (results_spb!$C$1:$C$100 = table_all!P$1), 0),
          MATCH(table_all!P$2, results_spb!$1:$1, 0)) = 0,
   "...",
   INDEX(results_spb!$A$1:$Y$100,
         MATCH(1, (results_spb!$A$1:$A$100 = table_all!$B15) * (results_spb!$C$1:$C$100 = table_all!P$1), 0),
         MATCH(table_all!P$2, results_spb!$1:$1, 0)))</f>
        <v>0.79700000000000004</v>
      </c>
      <c r="Q15" s="12" cm="1">
        <f t="array" ref="Q15">IF(INDEX(results_spb!$A$1:$Y$100,
          MATCH(1, (results_spb!$A$1:$A$100 = table_all!$B15) * (results_spb!$C$1:$C$100 = table_all!Q$1), 0),
          MATCH(table_all!Q$2, results_spb!$1:$1, 0)) = 0,
   "...",
   INDEX(results_spb!$A$1:$Y$100,
         MATCH(1, (results_spb!$A$1:$A$100 = table_all!$B15) * (results_spb!$C$1:$C$100 = table_all!Q$1), 0),
         MATCH(table_all!Q$2, results_spb!$1:$1, 0)))</f>
        <v>0.49099999999999999</v>
      </c>
      <c r="R15" s="12"/>
      <c r="S15" s="12" cm="1">
        <f t="array" ref="S15">IF(INDEX(results_spb!$A$1:$Y$100,
          MATCH(1, (results_spb!$A$1:$A$100 = table_all!$B15) * (results_spb!$C$1:$C$100 = table_all!S$1), 0),
          MATCH(table_all!S$2, results_spb!$1:$1, 0)) = 0,
   "...",
   INDEX(results_spb!$A$1:$Y$100,
         MATCH(1, (results_spb!$A$1:$A$100 = table_all!$B15) * (results_spb!$C$1:$C$100 = table_all!S$1), 0),
         MATCH(table_all!S$2, results_spb!$1:$1, 0)))</f>
        <v>1.381</v>
      </c>
      <c r="T15" s="12" cm="1">
        <f t="array" ref="T15">IF(INDEX(results_spb!$A$1:$Y$100,
          MATCH(1, (results_spb!$A$1:$A$100 = table_all!$B15) * (results_spb!$C$1:$C$100 = table_all!T$1), 0),
          MATCH(table_all!T$2, results_spb!$1:$1, 0)) = 0,
   "...",
   INDEX(results_spb!$A$1:$Y$100,
         MATCH(1, (results_spb!$A$1:$A$100 = table_all!$B15) * (results_spb!$C$1:$C$100 = table_all!T$1), 0),
         MATCH(table_all!T$2, results_spb!$1:$1, 0)))</f>
        <v>0.98</v>
      </c>
      <c r="U15" s="12"/>
      <c r="V15" s="12" cm="1">
        <f t="array" ref="V15">IF(INDEX(results_spb!$A$1:$Y$100,
          MATCH(1, (results_spb!$A$1:$A$100 = table_all!$B15) * (results_spb!$C$1:$C$100 = table_all!V$1), 0),
          MATCH(table_all!V$2, results_spb!$1:$1, 0)) = 0,
   "...",
   INDEX(results_spb!$A$1:$Y$100,
         MATCH(1, (results_spb!$A$1:$A$100 = table_all!$B15) * (results_spb!$C$1:$C$100 = table_all!V$1), 0),
         MATCH(table_all!V$2, results_spb!$1:$1, 0)))</f>
        <v>-0.38400000000000001</v>
      </c>
      <c r="W15" s="12" cm="1">
        <f t="array" ref="W15">IF(INDEX(results_spb!$A$1:$Y$100,
          MATCH(1, (results_spb!$A$1:$A$100 = table_all!$B15) * (results_spb!$C$1:$C$100 = table_all!W$1), 0),
          MATCH(table_all!W$2, results_spb!$1:$1, 0)) = 0,
   "...",
   INDEX(results_spb!$A$1:$Y$100,
         MATCH(1, (results_spb!$A$1:$A$100 = table_all!$B15) * (results_spb!$C$1:$C$100 = table_all!W$1), 0),
         MATCH(table_all!W$2, results_spb!$1:$1, 0)))</f>
        <v>-0.61499999999999999</v>
      </c>
      <c r="X15" s="12"/>
      <c r="Y15" s="12" cm="1">
        <f t="array" ref="Y15">IF(INDEX(results_spb!$A$1:$Y$100,
          MATCH(1, (results_spb!$A$1:$A$100 = table_all!$B15) * (results_spb!$C$1:$C$100 = table_all!Y$1), 0),
          MATCH(table_all!Y$2, results_spb!$1:$1, 0)) = 0,
   "...",
   INDEX(results_spb!$A$1:$Y$100,
         MATCH(1, (results_spb!$A$1:$A$100 = table_all!$B15) * (results_spb!$C$1:$C$100 = table_all!Y$1), 0),
         MATCH(table_all!Y$2, results_spb!$1:$1, 0)))</f>
        <v>4.3099999999999996</v>
      </c>
      <c r="Z15" s="12" cm="1">
        <f t="array" ref="Z15">IF(INDEX(results_spb!$A$1:$Y$100,
          MATCH(1, (results_spb!$A$1:$A$100 = table_all!$B15) * (results_spb!$C$1:$C$100 = table_all!Z$1), 0),
          MATCH(table_all!Z$2, results_spb!$1:$1, 0)) = 0,
   "...",
   INDEX(results_spb!$A$1:$Y$100,
         MATCH(1, (results_spb!$A$1:$A$100 = table_all!$B15) * (results_spb!$C$1:$C$100 = table_all!Z$1), 0),
         MATCH(table_all!Z$2, results_spb!$1:$1, 0)))</f>
        <v>3.3210000000000002</v>
      </c>
      <c r="AA15" s="12"/>
      <c r="AB15" s="12" t="str" cm="1">
        <f t="array" ref="AB15">IF(INDEX(results_spb!$A$1:$Y$100,
          MATCH(1, (results_spb!$A$1:$A$100 = table_all!$B15) * (results_spb!$C$1:$C$100 = table_all!AB$1), 0),
          MATCH(table_all!AB$2, results_spb!$1:$1, 0)) = 0,
   "...",
   INDEX(results_spb!$A$1:$Y$100,
         MATCH(1, (results_spb!$A$1:$A$100 = table_all!$B15) * (results_spb!$C$1:$C$100 = table_all!AB$1), 0),
         MATCH(table_all!AB$2, results_spb!$1:$1, 0)))</f>
        <v>...</v>
      </c>
      <c r="AC15" s="12" t="str" cm="1">
        <f t="array" ref="AC15">IF(INDEX(results_spb!$A$1:$Y$100,
          MATCH(1, (results_spb!$A$1:$A$100 = table_all!$B15) * (results_spb!$C$1:$C$100 = table_all!AC$1), 0),
          MATCH(table_all!AC$2, results_spb!$1:$1, 0)) = 0,
   "...",
   INDEX(results_spb!$A$1:$Y$100,
         MATCH(1, (results_spb!$A$1:$A$100 = table_all!$B15) * (results_spb!$C$1:$C$100 = table_all!AC$1), 0),
         MATCH(table_all!AC$2, results_spb!$1:$1, 0)))</f>
        <v>...</v>
      </c>
      <c r="AD15" s="12"/>
      <c r="AE15" s="12">
        <f t="shared" si="2"/>
        <v>4.3099999999999996</v>
      </c>
      <c r="AF15" s="12">
        <f t="shared" si="2"/>
        <v>3.3210000000000002</v>
      </c>
      <c r="AG15" s="14"/>
      <c r="AH15" s="3">
        <f t="shared" si="0"/>
        <v>1.2100249999999999</v>
      </c>
      <c r="AI15" s="3">
        <f t="shared" si="1"/>
        <v>0.5501571428571429</v>
      </c>
      <c r="AJ15" s="14"/>
    </row>
    <row r="16" spans="1:43">
      <c r="A16" s="25" t="s">
        <v>22</v>
      </c>
      <c r="B16" s="22" t="str">
        <f>INDEX(Table1[#All], MATCH($A16, ameco_2024_data!$A:$A, 0), MATCH(B$2, ameco_2024_data!$1:$1, 0))</f>
        <v>Austria</v>
      </c>
      <c r="C16" s="15">
        <f>INDEX(Table1[#All], MATCH($A16, ameco_2024_data!$A:$A, 0), MATCH(C$2, ameco_2024_data!$1:$1, 0))</f>
        <v>77.693899999999999</v>
      </c>
      <c r="D16" s="12">
        <f>INDEX(Table1[#All], MATCH($A16, ameco_2024_data!$A:$A, 0), MATCH(D$2, ameco_2024_data!$1:$1, 0))</f>
        <v>-3.0652172000000002</v>
      </c>
      <c r="E16" s="12">
        <f>INDEX(Table1[#All], MATCH($A16, ameco_2024_data!$A:$A, 0), MATCH(E$2, ameco_2024_data!$1:$1, 0))</f>
        <v>-1.1266</v>
      </c>
      <c r="F16" s="3"/>
      <c r="G16" s="12" cm="1">
        <f t="array" ref="G16">IF(INDEX(results_spb!$A$1:$Y$100,
          MATCH(1, (results_spb!$A$1:$A$100 = table_all!$B16) * (results_spb!$C$1:$C$100 = table_all!G$1), 0),
          MATCH(table_all!G$2, results_spb!$1:$1, 0)) = 0,
   "...",
   INDEX(results_spb!$A$1:$Y$100,
         MATCH(1, (results_spb!$A$1:$A$100 = table_all!$B16) * (results_spb!$C$1:$C$100 = table_all!G$1), 0),
         MATCH(table_all!G$2, results_spb!$1:$1, 0)))</f>
        <v>0.185</v>
      </c>
      <c r="H16" s="12" cm="1">
        <f t="array" ref="H16">IF(INDEX(results_spb!$A$1:$Y$100,
          MATCH(1, (results_spb!$A$1:$A$100 = table_all!$B16) * (results_spb!$C$1:$C$100 = table_all!H$1), 0),
          MATCH(table_all!H$2, results_spb!$1:$1, 0)) = 0,
   "...",
   INDEX(results_spb!$A$1:$Y$100,
         MATCH(1, (results_spb!$A$1:$A$100 = table_all!$B16) * (results_spb!$C$1:$C$100 = table_all!H$1), 0),
         MATCH(table_all!H$2, results_spb!$1:$1, 0)))</f>
        <v>-0.06</v>
      </c>
      <c r="I16" s="12"/>
      <c r="J16" s="12" cm="1">
        <f t="array" ref="J16">IF(INDEX(results_spb!$A$1:$Y$100,
          MATCH(1, (results_spb!$A$1:$A$100 = table_all!$B16) * (results_spb!$C$1:$C$100 = table_all!J$1), 0),
          MATCH(table_all!J$2, results_spb!$1:$1, 0)) = 0,
   "...",
   INDEX(results_spb!$A$1:$Y$100,
         MATCH(1, (results_spb!$A$1:$A$100 = table_all!$B16) * (results_spb!$C$1:$C$100 = table_all!J$1), 0),
         MATCH(table_all!J$2, results_spb!$1:$1, 0)))</f>
        <v>0.78100000000000003</v>
      </c>
      <c r="K16" s="12" cm="1">
        <f t="array" ref="K16">IF(INDEX(results_spb!$A$1:$Y$100,
          MATCH(1, (results_spb!$A$1:$A$100 = table_all!$B16) * (results_spb!$C$1:$C$100 = table_all!K$1), 0),
          MATCH(table_all!K$2, results_spb!$1:$1, 0)) = 0,
   "...",
   INDEX(results_spb!$A$1:$Y$100,
         MATCH(1, (results_spb!$A$1:$A$100 = table_all!$B16) * (results_spb!$C$1:$C$100 = table_all!K$1), 0),
         MATCH(table_all!K$2, results_spb!$1:$1, 0)))</f>
        <v>0.55000000000000004</v>
      </c>
      <c r="L16" s="12"/>
      <c r="M16" s="12" cm="1">
        <f t="array" ref="M16">IF(INDEX(results_spb!$A$1:$Y$100,
          MATCH(1, (results_spb!$A$1:$A$100 = table_all!$B16) * (results_spb!$C$1:$C$100 = table_all!M$1), 0),
          MATCH(table_all!M$2, results_spb!$1:$1, 0)) = 0,
   "...",
   INDEX(results_spb!$A$1:$Y$100,
         MATCH(1, (results_spb!$A$1:$A$100 = table_all!$B16) * (results_spb!$C$1:$C$100 = table_all!M$1), 0),
         MATCH(table_all!M$2, results_spb!$1:$1, 0)))</f>
        <v>0.69099999999999995</v>
      </c>
      <c r="N16" s="12" cm="1">
        <f t="array" ref="N16">IF(INDEX(results_spb!$A$1:$Y$100,
          MATCH(1, (results_spb!$A$1:$A$100 = table_all!$B16) * (results_spb!$C$1:$C$100 = table_all!N$1), 0),
          MATCH(table_all!N$2, results_spb!$1:$1, 0)) = 0,
   "...",
   INDEX(results_spb!$A$1:$Y$100,
         MATCH(1, (results_spb!$A$1:$A$100 = table_all!$B16) * (results_spb!$C$1:$C$100 = table_all!N$1), 0),
         MATCH(table_all!N$2, results_spb!$1:$1, 0)))</f>
        <v>0.44900000000000001</v>
      </c>
      <c r="O16" s="12"/>
      <c r="P16" s="12" cm="1">
        <f t="array" ref="P16">IF(INDEX(results_spb!$A$1:$Y$100,
          MATCH(1, (results_spb!$A$1:$A$100 = table_all!$B16) * (results_spb!$C$1:$C$100 = table_all!P$1), 0),
          MATCH(table_all!P$2, results_spb!$1:$1, 0)) = 0,
   "...",
   INDEX(results_spb!$A$1:$Y$100,
         MATCH(1, (results_spb!$A$1:$A$100 = table_all!$B16) * (results_spb!$C$1:$C$100 = table_all!P$1), 0),
         MATCH(table_all!P$2, results_spb!$1:$1, 0)))</f>
        <v>0.20799999999999999</v>
      </c>
      <c r="Q16" s="12" cm="1">
        <f t="array" ref="Q16">IF(INDEX(results_spb!$A$1:$Y$100,
          MATCH(1, (results_spb!$A$1:$A$100 = table_all!$B16) * (results_spb!$C$1:$C$100 = table_all!Q$1), 0),
          MATCH(table_all!Q$2, results_spb!$1:$1, 0)) = 0,
   "...",
   INDEX(results_spb!$A$1:$Y$100,
         MATCH(1, (results_spb!$A$1:$A$100 = table_all!$B16) * (results_spb!$C$1:$C$100 = table_all!Q$1), 0),
         MATCH(table_all!Q$2, results_spb!$1:$1, 0)))</f>
        <v>-3.6999999999999998E-2</v>
      </c>
      <c r="R16" s="12"/>
      <c r="S16" s="12" cm="1">
        <f t="array" ref="S16">IF(INDEX(results_spb!$A$1:$Y$100,
          MATCH(1, (results_spb!$A$1:$A$100 = table_all!$B16) * (results_spb!$C$1:$C$100 = table_all!S$1), 0),
          MATCH(table_all!S$2, results_spb!$1:$1, 0)) = 0,
   "...",
   INDEX(results_spb!$A$1:$Y$100,
         MATCH(1, (results_spb!$A$1:$A$100 = table_all!$B16) * (results_spb!$C$1:$C$100 = table_all!S$1), 0),
         MATCH(table_all!S$2, results_spb!$1:$1, 0)))</f>
        <v>0.629</v>
      </c>
      <c r="T16" s="12" cm="1">
        <f t="array" ref="T16">IF(INDEX(results_spb!$A$1:$Y$100,
          MATCH(1, (results_spb!$A$1:$A$100 = table_all!$B16) * (results_spb!$C$1:$C$100 = table_all!T$1), 0),
          MATCH(table_all!T$2, results_spb!$1:$1, 0)) = 0,
   "...",
   INDEX(results_spb!$A$1:$Y$100,
         MATCH(1, (results_spb!$A$1:$A$100 = table_all!$B16) * (results_spb!$C$1:$C$100 = table_all!T$1), 0),
         MATCH(table_all!T$2, results_spb!$1:$1, 0)))</f>
        <v>0.71299999999999997</v>
      </c>
      <c r="U16" s="12"/>
      <c r="V16" s="12" cm="1">
        <f t="array" ref="V16">IF(INDEX(results_spb!$A$1:$Y$100,
          MATCH(1, (results_spb!$A$1:$A$100 = table_all!$B16) * (results_spb!$C$1:$C$100 = table_all!V$1), 0),
          MATCH(table_all!V$2, results_spb!$1:$1, 0)) = 0,
   "...",
   INDEX(results_spb!$A$1:$Y$100,
         MATCH(1, (results_spb!$A$1:$A$100 = table_all!$B16) * (results_spb!$C$1:$C$100 = table_all!V$1), 0),
         MATCH(table_all!V$2, results_spb!$1:$1, 0)))</f>
        <v>-8.2000000000000003E-2</v>
      </c>
      <c r="W16" s="12" cm="1">
        <f t="array" ref="W16">IF(INDEX(results_spb!$A$1:$Y$100,
          MATCH(1, (results_spb!$A$1:$A$100 = table_all!$B16) * (results_spb!$C$1:$C$100 = table_all!W$1), 0),
          MATCH(table_all!W$2, results_spb!$1:$1, 0)) = 0,
   "...",
   INDEX(results_spb!$A$1:$Y$100,
         MATCH(1, (results_spb!$A$1:$A$100 = table_all!$B16) * (results_spb!$C$1:$C$100 = table_all!W$1), 0),
         MATCH(table_all!W$2, results_spb!$1:$1, 0)))</f>
        <v>-0.23899999999999999</v>
      </c>
      <c r="X16" s="12"/>
      <c r="Y16" s="12" t="str" cm="1">
        <f t="array" ref="Y16">IF(INDEX(results_spb!$A$1:$Y$100,
          MATCH(1, (results_spb!$A$1:$A$100 = table_all!$B16) * (results_spb!$C$1:$C$100 = table_all!Y$1), 0),
          MATCH(table_all!Y$2, results_spb!$1:$1, 0)) = 0,
   "...",
   INDEX(results_spb!$A$1:$Y$100,
         MATCH(1, (results_spb!$A$1:$A$100 = table_all!$B16) * (results_spb!$C$1:$C$100 = table_all!Y$1), 0),
         MATCH(table_all!Y$2, results_spb!$1:$1, 0)))</f>
        <v>...</v>
      </c>
      <c r="Z16" s="12" t="str" cm="1">
        <f t="array" ref="Z16">IF(INDEX(results_spb!$A$1:$Y$100,
          MATCH(1, (results_spb!$A$1:$A$100 = table_all!$B16) * (results_spb!$C$1:$C$100 = table_all!Z$1), 0),
          MATCH(table_all!Z$2, results_spb!$1:$1, 0)) = 0,
   "...",
   INDEX(results_spb!$A$1:$Y$100,
         MATCH(1, (results_spb!$A$1:$A$100 = table_all!$B16) * (results_spb!$C$1:$C$100 = table_all!Z$1), 0),
         MATCH(table_all!Z$2, results_spb!$1:$1, 0)))</f>
        <v>...</v>
      </c>
      <c r="AA16" s="12"/>
      <c r="AB16" s="12" t="str" cm="1">
        <f t="array" ref="AB16">IF(INDEX(results_spb!$A$1:$Y$100,
          MATCH(1, (results_spb!$A$1:$A$100 = table_all!$B16) * (results_spb!$C$1:$C$100 = table_all!AB$1), 0),
          MATCH(table_all!AB$2, results_spb!$1:$1, 0)) = 0,
   "...",
   INDEX(results_spb!$A$1:$Y$100,
         MATCH(1, (results_spb!$A$1:$A$100 = table_all!$B16) * (results_spb!$C$1:$C$100 = table_all!AB$1), 0),
         MATCH(table_all!AB$2, results_spb!$1:$1, 0)))</f>
        <v>...</v>
      </c>
      <c r="AC16" s="12" t="str" cm="1">
        <f t="array" ref="AC16">IF(INDEX(results_spb!$A$1:$Y$100,
          MATCH(1, (results_spb!$A$1:$A$100 = table_all!$B16) * (results_spb!$C$1:$C$100 = table_all!AC$1), 0),
          MATCH(table_all!AC$2, results_spb!$1:$1, 0)) = 0,
   "...",
   INDEX(results_spb!$A$1:$Y$100,
         MATCH(1, (results_spb!$A$1:$A$100 = table_all!$B16) * (results_spb!$C$1:$C$100 = table_all!AC$1), 0),
         MATCH(table_all!AC$2, results_spb!$1:$1, 0)))</f>
        <v>...</v>
      </c>
      <c r="AD16" s="12"/>
      <c r="AE16" s="12">
        <f t="shared" si="2"/>
        <v>0.78100000000000003</v>
      </c>
      <c r="AF16" s="12">
        <f t="shared" si="2"/>
        <v>0.71299999999999997</v>
      </c>
      <c r="AG16" s="14"/>
      <c r="AH16" s="3">
        <f t="shared" si="0"/>
        <v>0.47689999999999999</v>
      </c>
      <c r="AI16" s="3">
        <f t="shared" si="1"/>
        <v>0.26279999999999998</v>
      </c>
      <c r="AJ16" s="14"/>
    </row>
    <row r="17" spans="1:36">
      <c r="A17" s="25" t="s">
        <v>24</v>
      </c>
      <c r="B17" s="22" t="str">
        <f>INDEX(Table1[#All], MATCH($A17, ameco_2024_data!$A:$A, 0), MATCH(B$2, ameco_2024_data!$1:$1, 0))</f>
        <v>Hungary</v>
      </c>
      <c r="C17" s="15">
        <f>INDEX(Table1[#All], MATCH($A17, ameco_2024_data!$A:$A, 0), MATCH(C$2, ameco_2024_data!$1:$1, 0))</f>
        <v>74.287999999999997</v>
      </c>
      <c r="D17" s="12">
        <f>INDEX(Table1[#All], MATCH($A17, ameco_2024_data!$A:$A, 0), MATCH(D$2, ameco_2024_data!$1:$1, 0))</f>
        <v>-5.4353331000000003</v>
      </c>
      <c r="E17" s="12">
        <f>INDEX(Table1[#All], MATCH($A17, ameco_2024_data!$A:$A, 0), MATCH(E$2, ameco_2024_data!$1:$1, 0))</f>
        <v>3.49E-2</v>
      </c>
      <c r="F17" s="3"/>
      <c r="G17" s="12" cm="1">
        <f t="array" ref="G17">IF(INDEX(results_spb!$A$1:$Y$100,
          MATCH(1, (results_spb!$A$1:$A$100 = table_all!$B17) * (results_spb!$C$1:$C$100 = table_all!G$1), 0),
          MATCH(table_all!G$2, results_spb!$1:$1, 0)) = 0,
   "...",
   INDEX(results_spb!$A$1:$Y$100,
         MATCH(1, (results_spb!$A$1:$A$100 = table_all!$B17) * (results_spb!$C$1:$C$100 = table_all!G$1), 0),
         MATCH(table_all!G$2, results_spb!$1:$1, 0)))</f>
        <v>2.5920000000000001</v>
      </c>
      <c r="H17" s="12" cm="1">
        <f t="array" ref="H17">IF(INDEX(results_spb!$A$1:$Y$100,
          MATCH(1, (results_spb!$A$1:$A$100 = table_all!$B17) * (results_spb!$C$1:$C$100 = table_all!H$1), 0),
          MATCH(table_all!H$2, results_spb!$1:$1, 0)) = 0,
   "...",
   INDEX(results_spb!$A$1:$Y$100,
         MATCH(1, (results_spb!$A$1:$A$100 = table_all!$B17) * (results_spb!$C$1:$C$100 = table_all!H$1), 0),
         MATCH(table_all!H$2, results_spb!$1:$1, 0)))</f>
        <v>2.9790000000000001</v>
      </c>
      <c r="I17" s="12"/>
      <c r="J17" s="12" cm="1">
        <f t="array" ref="J17">IF(INDEX(results_spb!$A$1:$Y$100,
          MATCH(1, (results_spb!$A$1:$A$100 = table_all!$B17) * (results_spb!$C$1:$C$100 = table_all!J$1), 0),
          MATCH(table_all!J$2, results_spb!$1:$1, 0)) = 0,
   "...",
   INDEX(results_spb!$A$1:$Y$100,
         MATCH(1, (results_spb!$A$1:$A$100 = table_all!$B17) * (results_spb!$C$1:$C$100 = table_all!J$1), 0),
         MATCH(table_all!J$2, results_spb!$1:$1, 0)))</f>
        <v>3.0489999999999999</v>
      </c>
      <c r="K17" s="12" cm="1">
        <f t="array" ref="K17">IF(INDEX(results_spb!$A$1:$Y$100,
          MATCH(1, (results_spb!$A$1:$A$100 = table_all!$B17) * (results_spb!$C$1:$C$100 = table_all!K$1), 0),
          MATCH(table_all!K$2, results_spb!$1:$1, 0)) = 0,
   "...",
   INDEX(results_spb!$A$1:$Y$100,
         MATCH(1, (results_spb!$A$1:$A$100 = table_all!$B17) * (results_spb!$C$1:$C$100 = table_all!K$1), 0),
         MATCH(table_all!K$2, results_spb!$1:$1, 0)))</f>
        <v>3.2909999999999999</v>
      </c>
      <c r="L17" s="12"/>
      <c r="M17" s="12" cm="1">
        <f t="array" ref="M17">IF(INDEX(results_spb!$A$1:$Y$100,
          MATCH(1, (results_spb!$A$1:$A$100 = table_all!$B17) * (results_spb!$C$1:$C$100 = table_all!M$1), 0),
          MATCH(table_all!M$2, results_spb!$1:$1, 0)) = 0,
   "...",
   INDEX(results_spb!$A$1:$Y$100,
         MATCH(1, (results_spb!$A$1:$A$100 = table_all!$B17) * (results_spb!$C$1:$C$100 = table_all!M$1), 0),
         MATCH(table_all!M$2, results_spb!$1:$1, 0)))</f>
        <v>3.0470000000000002</v>
      </c>
      <c r="N17" s="12" cm="1">
        <f t="array" ref="N17">IF(INDEX(results_spb!$A$1:$Y$100,
          MATCH(1, (results_spb!$A$1:$A$100 = table_all!$B17) * (results_spb!$C$1:$C$100 = table_all!N$1), 0),
          MATCH(table_all!N$2, results_spb!$1:$1, 0)) = 0,
   "...",
   INDEX(results_spb!$A$1:$Y$100,
         MATCH(1, (results_spb!$A$1:$A$100 = table_all!$B17) * (results_spb!$C$1:$C$100 = table_all!N$1), 0),
         MATCH(table_all!N$2, results_spb!$1:$1, 0)))</f>
        <v>3.2730000000000001</v>
      </c>
      <c r="O17" s="12"/>
      <c r="P17" s="12" cm="1">
        <f t="array" ref="P17">IF(INDEX(results_spb!$A$1:$Y$100,
          MATCH(1, (results_spb!$A$1:$A$100 = table_all!$B17) * (results_spb!$C$1:$C$100 = table_all!P$1), 0),
          MATCH(table_all!P$2, results_spb!$1:$1, 0)) = 0,
   "...",
   INDEX(results_spb!$A$1:$Y$100,
         MATCH(1, (results_spb!$A$1:$A$100 = table_all!$B17) * (results_spb!$C$1:$C$100 = table_all!P$1), 0),
         MATCH(table_all!P$2, results_spb!$1:$1, 0)))</f>
        <v>2.6160000000000001</v>
      </c>
      <c r="Q17" s="12" cm="1">
        <f t="array" ref="Q17">IF(INDEX(results_spb!$A$1:$Y$100,
          MATCH(1, (results_spb!$A$1:$A$100 = table_all!$B17) * (results_spb!$C$1:$C$100 = table_all!Q$1), 0),
          MATCH(table_all!Q$2, results_spb!$1:$1, 0)) = 0,
   "...",
   INDEX(results_spb!$A$1:$Y$100,
         MATCH(1, (results_spb!$A$1:$A$100 = table_all!$B17) * (results_spb!$C$1:$C$100 = table_all!Q$1), 0),
         MATCH(table_all!Q$2, results_spb!$1:$1, 0)))</f>
        <v>3.0089999999999999</v>
      </c>
      <c r="R17" s="12"/>
      <c r="S17" s="12" cm="1">
        <f t="array" ref="S17">IF(INDEX(results_spb!$A$1:$Y$100,
          MATCH(1, (results_spb!$A$1:$A$100 = table_all!$B17) * (results_spb!$C$1:$C$100 = table_all!S$1), 0),
          MATCH(table_all!S$2, results_spb!$1:$1, 0)) = 0,
   "...",
   INDEX(results_spb!$A$1:$Y$100,
         MATCH(1, (results_spb!$A$1:$A$100 = table_all!$B17) * (results_spb!$C$1:$C$100 = table_all!S$1), 0),
         MATCH(table_all!S$2, results_spb!$1:$1, 0)))</f>
        <v>2.8159999999999998</v>
      </c>
      <c r="T17" s="12" cm="1">
        <f t="array" ref="T17">IF(INDEX(results_spb!$A$1:$Y$100,
          MATCH(1, (results_spb!$A$1:$A$100 = table_all!$B17) * (results_spb!$C$1:$C$100 = table_all!T$1), 0),
          MATCH(table_all!T$2, results_spb!$1:$1, 0)) = 0,
   "...",
   INDEX(results_spb!$A$1:$Y$100,
         MATCH(1, (results_spb!$A$1:$A$100 = table_all!$B17) * (results_spb!$C$1:$C$100 = table_all!T$1), 0),
         MATCH(table_all!T$2, results_spb!$1:$1, 0)))</f>
        <v>3.3130000000000002</v>
      </c>
      <c r="U17" s="12"/>
      <c r="V17" s="12" cm="1">
        <f t="array" ref="V17">IF(INDEX(results_spb!$A$1:$Y$100,
          MATCH(1, (results_spb!$A$1:$A$100 = table_all!$B17) * (results_spb!$C$1:$C$100 = table_all!V$1), 0),
          MATCH(table_all!V$2, results_spb!$1:$1, 0)) = 0,
   "...",
   INDEX(results_spb!$A$1:$Y$100,
         MATCH(1, (results_spb!$A$1:$A$100 = table_all!$B17) * (results_spb!$C$1:$C$100 = table_all!V$1), 0),
         MATCH(table_all!V$2, results_spb!$1:$1, 0)))</f>
        <v>2.3159999999999998</v>
      </c>
      <c r="W17" s="12" cm="1">
        <f t="array" ref="W17">IF(INDEX(results_spb!$A$1:$Y$100,
          MATCH(1, (results_spb!$A$1:$A$100 = table_all!$B17) * (results_spb!$C$1:$C$100 = table_all!W$1), 0),
          MATCH(table_all!W$2, results_spb!$1:$1, 0)) = 0,
   "...",
   INDEX(results_spb!$A$1:$Y$100,
         MATCH(1, (results_spb!$A$1:$A$100 = table_all!$B17) * (results_spb!$C$1:$C$100 = table_all!W$1), 0),
         MATCH(table_all!W$2, results_spb!$1:$1, 0)))</f>
        <v>2.762</v>
      </c>
      <c r="X17" s="12"/>
      <c r="Y17" s="12" t="str" cm="1">
        <f t="array" ref="Y17">IF(INDEX(results_spb!$A$1:$Y$100,
          MATCH(1, (results_spb!$A$1:$A$100 = table_all!$B17) * (results_spb!$C$1:$C$100 = table_all!Y$1), 0),
          MATCH(table_all!Y$2, results_spb!$1:$1, 0)) = 0,
   "...",
   INDEX(results_spb!$A$1:$Y$100,
         MATCH(1, (results_spb!$A$1:$A$100 = table_all!$B17) * (results_spb!$C$1:$C$100 = table_all!Y$1), 0),
         MATCH(table_all!Y$2, results_spb!$1:$1, 0)))</f>
        <v>...</v>
      </c>
      <c r="Z17" s="12" t="str" cm="1">
        <f t="array" ref="Z17">IF(INDEX(results_spb!$A$1:$Y$100,
          MATCH(1, (results_spb!$A$1:$A$100 = table_all!$B17) * (results_spb!$C$1:$C$100 = table_all!Z$1), 0),
          MATCH(table_all!Z$2, results_spb!$1:$1, 0)) = 0,
   "...",
   INDEX(results_spb!$A$1:$Y$100,
         MATCH(1, (results_spb!$A$1:$A$100 = table_all!$B17) * (results_spb!$C$1:$C$100 = table_all!Z$1), 0),
         MATCH(table_all!Z$2, results_spb!$1:$1, 0)))</f>
        <v>...</v>
      </c>
      <c r="AA17" s="12"/>
      <c r="AB17" s="12" t="str" cm="1">
        <f t="array" ref="AB17">IF(INDEX(results_spb!$A$1:$Y$100,
          MATCH(1, (results_spb!$A$1:$A$100 = table_all!$B17) * (results_spb!$C$1:$C$100 = table_all!AB$1), 0),
          MATCH(table_all!AB$2, results_spb!$1:$1, 0)) = 0,
   "...",
   INDEX(results_spb!$A$1:$Y$100,
         MATCH(1, (results_spb!$A$1:$A$100 = table_all!$B17) * (results_spb!$C$1:$C$100 = table_all!AB$1), 0),
         MATCH(table_all!AB$2, results_spb!$1:$1, 0)))</f>
        <v>...</v>
      </c>
      <c r="AC17" s="12" t="str" cm="1">
        <f t="array" ref="AC17">IF(INDEX(results_spb!$A$1:$Y$100,
          MATCH(1, (results_spb!$A$1:$A$100 = table_all!$B17) * (results_spb!$C$1:$C$100 = table_all!AC$1), 0),
          MATCH(table_all!AC$2, results_spb!$1:$1, 0)) = 0,
   "...",
   INDEX(results_spb!$A$1:$Y$100,
         MATCH(1, (results_spb!$A$1:$A$100 = table_all!$B17) * (results_spb!$C$1:$C$100 = table_all!AC$1), 0),
         MATCH(table_all!AC$2, results_spb!$1:$1, 0)))</f>
        <v>...</v>
      </c>
      <c r="AD17" s="12"/>
      <c r="AE17" s="12">
        <f t="shared" si="2"/>
        <v>3.0489999999999999</v>
      </c>
      <c r="AF17" s="12">
        <f t="shared" si="2"/>
        <v>3.3130000000000002</v>
      </c>
      <c r="AG17" s="14"/>
      <c r="AH17" s="3">
        <f t="shared" si="0"/>
        <v>0.753525</v>
      </c>
      <c r="AI17" s="3">
        <f t="shared" si="1"/>
        <v>0.46830000000000005</v>
      </c>
      <c r="AJ17" s="14"/>
    </row>
    <row r="18" spans="1:36">
      <c r="A18" s="25" t="s">
        <v>23</v>
      </c>
      <c r="B18" s="22" t="str">
        <f>INDEX(Table1[#All], MATCH($A18, ameco_2024_data!$A:$A, 0), MATCH(B$2, ameco_2024_data!$1:$1, 0))</f>
        <v>Cyprus</v>
      </c>
      <c r="C18" s="15">
        <f>INDEX(Table1[#All], MATCH($A18, ameco_2024_data!$A:$A, 0), MATCH(C$2, ameco_2024_data!$1:$1, 0))</f>
        <v>70.579899999999995</v>
      </c>
      <c r="D18" s="12">
        <f>INDEX(Table1[#All], MATCH($A18, ameco_2024_data!$A:$A, 0), MATCH(D$2, ameco_2024_data!$1:$1, 0))</f>
        <v>2.9141295</v>
      </c>
      <c r="E18" s="12">
        <f>INDEX(Table1[#All], MATCH($A18, ameco_2024_data!$A:$A, 0), MATCH(E$2, ameco_2024_data!$1:$1, 0))</f>
        <v>3.4824000000000002</v>
      </c>
      <c r="F18" s="3"/>
      <c r="G18" s="12" cm="1">
        <f t="array" ref="G18">IF(INDEX(results_spb!$A$1:$Y$100,
          MATCH(1, (results_spb!$A$1:$A$100 = table_all!$B18) * (results_spb!$C$1:$C$100 = table_all!G$1), 0),
          MATCH(table_all!G$2, results_spb!$1:$1, 0)) = 0,
   "...",
   INDEX(results_spb!$A$1:$Y$100,
         MATCH(1, (results_spb!$A$1:$A$100 = table_all!$B18) * (results_spb!$C$1:$C$100 = table_all!G$1), 0),
         MATCH(table_all!G$2, results_spb!$1:$1, 0)))</f>
        <v>-2.1000000000000001E-2</v>
      </c>
      <c r="H18" s="12" cm="1">
        <f t="array" ref="H18">IF(INDEX(results_spb!$A$1:$Y$100,
          MATCH(1, (results_spb!$A$1:$A$100 = table_all!$B18) * (results_spb!$C$1:$C$100 = table_all!H$1), 0),
          MATCH(table_all!H$2, results_spb!$1:$1, 0)) = 0,
   "...",
   INDEX(results_spb!$A$1:$Y$100,
         MATCH(1, (results_spb!$A$1:$A$100 = table_all!$B18) * (results_spb!$C$1:$C$100 = table_all!H$1), 0),
         MATCH(table_all!H$2, results_spb!$1:$1, 0)))</f>
        <v>-0.47299999999999998</v>
      </c>
      <c r="I18" s="12"/>
      <c r="J18" s="12" cm="1">
        <f t="array" ref="J18">IF(INDEX(results_spb!$A$1:$Y$100,
          MATCH(1, (results_spb!$A$1:$A$100 = table_all!$B18) * (results_spb!$C$1:$C$100 = table_all!J$1), 0),
          MATCH(table_all!J$2, results_spb!$1:$1, 0)) = 0,
   "...",
   INDEX(results_spb!$A$1:$Y$100,
         MATCH(1, (results_spb!$A$1:$A$100 = table_all!$B18) * (results_spb!$C$1:$C$100 = table_all!J$1), 0),
         MATCH(table_all!J$2, results_spb!$1:$1, 0)))</f>
        <v>0.32800000000000001</v>
      </c>
      <c r="K18" s="12" cm="1">
        <f t="array" ref="K18">IF(INDEX(results_spb!$A$1:$Y$100,
          MATCH(1, (results_spb!$A$1:$A$100 = table_all!$B18) * (results_spb!$C$1:$C$100 = table_all!K$1), 0),
          MATCH(table_all!K$2, results_spb!$1:$1, 0)) = 0,
   "...",
   INDEX(results_spb!$A$1:$Y$100,
         MATCH(1, (results_spb!$A$1:$A$100 = table_all!$B18) * (results_spb!$C$1:$C$100 = table_all!K$1), 0),
         MATCH(table_all!K$2, results_spb!$1:$1, 0)))</f>
        <v>-0.189</v>
      </c>
      <c r="L18" s="12"/>
      <c r="M18" s="12" cm="1">
        <f t="array" ref="M18">IF(INDEX(results_spb!$A$1:$Y$100,
          MATCH(1, (results_spb!$A$1:$A$100 = table_all!$B18) * (results_spb!$C$1:$C$100 = table_all!M$1), 0),
          MATCH(table_all!M$2, results_spb!$1:$1, 0)) = 0,
   "...",
   INDEX(results_spb!$A$1:$Y$100,
         MATCH(1, (results_spb!$A$1:$A$100 = table_all!$B18) * (results_spb!$C$1:$C$100 = table_all!M$1), 0),
         MATCH(table_all!M$2, results_spb!$1:$1, 0)))</f>
        <v>0.35399999999999998</v>
      </c>
      <c r="N18" s="12" cm="1">
        <f t="array" ref="N18">IF(INDEX(results_spb!$A$1:$Y$100,
          MATCH(1, (results_spb!$A$1:$A$100 = table_all!$B18) * (results_spb!$C$1:$C$100 = table_all!N$1), 0),
          MATCH(table_all!N$2, results_spb!$1:$1, 0)) = 0,
   "...",
   INDEX(results_spb!$A$1:$Y$100,
         MATCH(1, (results_spb!$A$1:$A$100 = table_all!$B18) * (results_spb!$C$1:$C$100 = table_all!N$1), 0),
         MATCH(table_all!N$2, results_spb!$1:$1, 0)))</f>
        <v>-0.158</v>
      </c>
      <c r="O18" s="12"/>
      <c r="P18" s="12" cm="1">
        <f t="array" ref="P18">IF(INDEX(results_spb!$A$1:$Y$100,
          MATCH(1, (results_spb!$A$1:$A$100 = table_all!$B18) * (results_spb!$C$1:$C$100 = table_all!P$1), 0),
          MATCH(table_all!P$2, results_spb!$1:$1, 0)) = 0,
   "...",
   INDEX(results_spb!$A$1:$Y$100,
         MATCH(1, (results_spb!$A$1:$A$100 = table_all!$B18) * (results_spb!$C$1:$C$100 = table_all!P$1), 0),
         MATCH(table_all!P$2, results_spb!$1:$1, 0)))</f>
        <v>0.02</v>
      </c>
      <c r="Q18" s="12" cm="1">
        <f t="array" ref="Q18">IF(INDEX(results_spb!$A$1:$Y$100,
          MATCH(1, (results_spb!$A$1:$A$100 = table_all!$B18) * (results_spb!$C$1:$C$100 = table_all!Q$1), 0),
          MATCH(table_all!Q$2, results_spb!$1:$1, 0)) = 0,
   "...",
   INDEX(results_spb!$A$1:$Y$100,
         MATCH(1, (results_spb!$A$1:$A$100 = table_all!$B18) * (results_spb!$C$1:$C$100 = table_all!Q$1), 0),
         MATCH(table_all!Q$2, results_spb!$1:$1, 0)))</f>
        <v>-0.46800000000000003</v>
      </c>
      <c r="R18" s="12"/>
      <c r="S18" s="12" cm="1">
        <f t="array" ref="S18">IF(INDEX(results_spb!$A$1:$Y$100,
          MATCH(1, (results_spb!$A$1:$A$100 = table_all!$B18) * (results_spb!$C$1:$C$100 = table_all!S$1), 0),
          MATCH(table_all!S$2, results_spb!$1:$1, 0)) = 0,
   "...",
   INDEX(results_spb!$A$1:$Y$100,
         MATCH(1, (results_spb!$A$1:$A$100 = table_all!$B18) * (results_spb!$C$1:$C$100 = table_all!S$1), 0),
         MATCH(table_all!S$2, results_spb!$1:$1, 0)))</f>
        <v>0.247</v>
      </c>
      <c r="T18" s="12" cm="1">
        <f t="array" ref="T18">IF(INDEX(results_spb!$A$1:$Y$100,
          MATCH(1, (results_spb!$A$1:$A$100 = table_all!$B18) * (results_spb!$C$1:$C$100 = table_all!T$1), 0),
          MATCH(table_all!T$2, results_spb!$1:$1, 0)) = 0,
   "...",
   INDEX(results_spb!$A$1:$Y$100,
         MATCH(1, (results_spb!$A$1:$A$100 = table_all!$B18) * (results_spb!$C$1:$C$100 = table_all!T$1), 0),
         MATCH(table_all!T$2, results_spb!$1:$1, 0)))</f>
        <v>-0.41599999999999998</v>
      </c>
      <c r="U18" s="12"/>
      <c r="V18" s="12" cm="1">
        <f t="array" ref="V18">IF(INDEX(results_spb!$A$1:$Y$100,
          MATCH(1, (results_spb!$A$1:$A$100 = table_all!$B18) * (results_spb!$C$1:$C$100 = table_all!V$1), 0),
          MATCH(table_all!V$2, results_spb!$1:$1, 0)) = 0,
   "...",
   INDEX(results_spb!$A$1:$Y$100,
         MATCH(1, (results_spb!$A$1:$A$100 = table_all!$B18) * (results_spb!$C$1:$C$100 = table_all!V$1), 0),
         MATCH(table_all!V$2, results_spb!$1:$1, 0)))</f>
        <v>0.70099999999999996</v>
      </c>
      <c r="W18" s="12" cm="1">
        <f t="array" ref="W18">IF(INDEX(results_spb!$A$1:$Y$100,
          MATCH(1, (results_spb!$A$1:$A$100 = table_all!$B18) * (results_spb!$C$1:$C$100 = table_all!W$1), 0),
          MATCH(table_all!W$2, results_spb!$1:$1, 0)) = 0,
   "...",
   INDEX(results_spb!$A$1:$Y$100,
         MATCH(1, (results_spb!$A$1:$A$100 = table_all!$B18) * (results_spb!$C$1:$C$100 = table_all!W$1), 0),
         MATCH(table_all!W$2, results_spb!$1:$1, 0)))</f>
        <v>0.29199999999999998</v>
      </c>
      <c r="X18" s="12"/>
      <c r="Y18" s="12" t="str" cm="1">
        <f t="array" ref="Y18">IF(INDEX(results_spb!$A$1:$Y$100,
          MATCH(1, (results_spb!$A$1:$A$100 = table_all!$B18) * (results_spb!$C$1:$C$100 = table_all!Y$1), 0),
          MATCH(table_all!Y$2, results_spb!$1:$1, 0)) = 0,
   "...",
   INDEX(results_spb!$A$1:$Y$100,
         MATCH(1, (results_spb!$A$1:$A$100 = table_all!$B18) * (results_spb!$C$1:$C$100 = table_all!Y$1), 0),
         MATCH(table_all!Y$2, results_spb!$1:$1, 0)))</f>
        <v>...</v>
      </c>
      <c r="Z18" s="12" t="str" cm="1">
        <f t="array" ref="Z18">IF(INDEX(results_spb!$A$1:$Y$100,
          MATCH(1, (results_spb!$A$1:$A$100 = table_all!$B18) * (results_spb!$C$1:$C$100 = table_all!Z$1), 0),
          MATCH(table_all!Z$2, results_spb!$1:$1, 0)) = 0,
   "...",
   INDEX(results_spb!$A$1:$Y$100,
         MATCH(1, (results_spb!$A$1:$A$100 = table_all!$B18) * (results_spb!$C$1:$C$100 = table_all!Z$1), 0),
         MATCH(table_all!Z$2, results_spb!$1:$1, 0)))</f>
        <v>...</v>
      </c>
      <c r="AA18" s="12"/>
      <c r="AB18" s="12" t="str" cm="1">
        <f t="array" ref="AB18">IF(INDEX(results_spb!$A$1:$Y$100,
          MATCH(1, (results_spb!$A$1:$A$100 = table_all!$B18) * (results_spb!$C$1:$C$100 = table_all!AB$1), 0),
          MATCH(table_all!AB$2, results_spb!$1:$1, 0)) = 0,
   "...",
   INDEX(results_spb!$A$1:$Y$100,
         MATCH(1, (results_spb!$A$1:$A$100 = table_all!$B18) * (results_spb!$C$1:$C$100 = table_all!AB$1), 0),
         MATCH(table_all!AB$2, results_spb!$1:$1, 0)))</f>
        <v>...</v>
      </c>
      <c r="AC18" s="12" t="str" cm="1">
        <f t="array" ref="AC18">IF(INDEX(results_spb!$A$1:$Y$100,
          MATCH(1, (results_spb!$A$1:$A$100 = table_all!$B18) * (results_spb!$C$1:$C$100 = table_all!AC$1), 0),
          MATCH(table_all!AC$2, results_spb!$1:$1, 0)) = 0,
   "...",
   INDEX(results_spb!$A$1:$Y$100,
         MATCH(1, (results_spb!$A$1:$A$100 = table_all!$B18) * (results_spb!$C$1:$C$100 = table_all!AC$1), 0),
         MATCH(table_all!AC$2, results_spb!$1:$1, 0)))</f>
        <v>...</v>
      </c>
      <c r="AD18" s="12"/>
      <c r="AE18" s="12">
        <f t="shared" si="2"/>
        <v>0.70099999999999996</v>
      </c>
      <c r="AF18" s="12">
        <f t="shared" si="2"/>
        <v>0.29199999999999998</v>
      </c>
      <c r="AG18" s="14"/>
      <c r="AH18" s="3">
        <f t="shared" si="0"/>
        <v>-0.69535000000000002</v>
      </c>
      <c r="AI18" s="3">
        <f t="shared" si="1"/>
        <v>-0.45577142857142861</v>
      </c>
      <c r="AJ18" s="14"/>
    </row>
    <row r="19" spans="1:36">
      <c r="A19" s="25" t="s">
        <v>25</v>
      </c>
      <c r="B19" s="22" t="str">
        <f>INDEX(Table1[#All], MATCH($A19, ameco_2024_data!$A:$A, 0), MATCH(B$2, ameco_2024_data!$1:$1, 0))</f>
        <v>Slovenia</v>
      </c>
      <c r="C19" s="15">
        <f>INDEX(Table1[#All], MATCH($A19, ameco_2024_data!$A:$A, 0), MATCH(C$2, ameco_2024_data!$1:$1, 0))</f>
        <v>68.073499999999996</v>
      </c>
      <c r="D19" s="12">
        <f>INDEX(Table1[#All], MATCH($A19, ameco_2024_data!$A:$A, 0), MATCH(D$2, ameco_2024_data!$1:$1, 0))</f>
        <v>-2.8026968999999999</v>
      </c>
      <c r="E19" s="12">
        <f>INDEX(Table1[#All], MATCH($A19, ameco_2024_data!$A:$A, 0), MATCH(E$2, ameco_2024_data!$1:$1, 0))</f>
        <v>-1.2446999999999999</v>
      </c>
      <c r="F19" s="3"/>
      <c r="G19" s="12" cm="1">
        <f t="array" ref="G19">IF(INDEX(results_spb!$A$1:$Y$100,
          MATCH(1, (results_spb!$A$1:$A$100 = table_all!$B19) * (results_spb!$C$1:$C$100 = table_all!G$1), 0),
          MATCH(table_all!G$2, results_spb!$1:$1, 0)) = 0,
   "...",
   INDEX(results_spb!$A$1:$Y$100,
         MATCH(1, (results_spb!$A$1:$A$100 = table_all!$B19) * (results_spb!$C$1:$C$100 = table_all!G$1), 0),
         MATCH(table_all!G$2, results_spb!$1:$1, 0)))</f>
        <v>0.13500000000000001</v>
      </c>
      <c r="H19" s="12" cm="1">
        <f t="array" ref="H19">IF(INDEX(results_spb!$A$1:$Y$100,
          MATCH(1, (results_spb!$A$1:$A$100 = table_all!$B19) * (results_spb!$C$1:$C$100 = table_all!H$1), 0),
          MATCH(table_all!H$2, results_spb!$1:$1, 0)) = 0,
   "...",
   INDEX(results_spb!$A$1:$Y$100,
         MATCH(1, (results_spb!$A$1:$A$100 = table_all!$B19) * (results_spb!$C$1:$C$100 = table_all!H$1), 0),
         MATCH(table_all!H$2, results_spb!$1:$1, 0)))</f>
        <v>0.192</v>
      </c>
      <c r="I19" s="12"/>
      <c r="J19" s="12" cm="1">
        <f t="array" ref="J19">IF(INDEX(results_spb!$A$1:$Y$100,
          MATCH(1, (results_spb!$A$1:$A$100 = table_all!$B19) * (results_spb!$C$1:$C$100 = table_all!J$1), 0),
          MATCH(table_all!J$2, results_spb!$1:$1, 0)) = 0,
   "...",
   INDEX(results_spb!$A$1:$Y$100,
         MATCH(1, (results_spb!$A$1:$A$100 = table_all!$B19) * (results_spb!$C$1:$C$100 = table_all!J$1), 0),
         MATCH(table_all!J$2, results_spb!$1:$1, 0)))</f>
        <v>0.46</v>
      </c>
      <c r="K19" s="12" cm="1">
        <f t="array" ref="K19">IF(INDEX(results_spb!$A$1:$Y$100,
          MATCH(1, (results_spb!$A$1:$A$100 = table_all!$B19) * (results_spb!$C$1:$C$100 = table_all!K$1), 0),
          MATCH(table_all!K$2, results_spb!$1:$1, 0)) = 0,
   "...",
   INDEX(results_spb!$A$1:$Y$100,
         MATCH(1, (results_spb!$A$1:$A$100 = table_all!$B19) * (results_spb!$C$1:$C$100 = table_all!K$1), 0),
         MATCH(table_all!K$2, results_spb!$1:$1, 0)))</f>
        <v>0.47899999999999998</v>
      </c>
      <c r="L19" s="12"/>
      <c r="M19" s="12" cm="1">
        <f t="array" ref="M19">IF(INDEX(results_spb!$A$1:$Y$100,
          MATCH(1, (results_spb!$A$1:$A$100 = table_all!$B19) * (results_spb!$C$1:$C$100 = table_all!M$1), 0),
          MATCH(table_all!M$2, results_spb!$1:$1, 0)) = 0,
   "...",
   INDEX(results_spb!$A$1:$Y$100,
         MATCH(1, (results_spb!$A$1:$A$100 = table_all!$B19) * (results_spb!$C$1:$C$100 = table_all!M$1), 0),
         MATCH(table_all!M$2, results_spb!$1:$1, 0)))</f>
        <v>0.51500000000000001</v>
      </c>
      <c r="N19" s="12" cm="1">
        <f t="array" ref="N19">IF(INDEX(results_spb!$A$1:$Y$100,
          MATCH(1, (results_spb!$A$1:$A$100 = table_all!$B19) * (results_spb!$C$1:$C$100 = table_all!N$1), 0),
          MATCH(table_all!N$2, results_spb!$1:$1, 0)) = 0,
   "...",
   INDEX(results_spb!$A$1:$Y$100,
         MATCH(1, (results_spb!$A$1:$A$100 = table_all!$B19) * (results_spb!$C$1:$C$100 = table_all!N$1), 0),
         MATCH(table_all!N$2, results_spb!$1:$1, 0)))</f>
        <v>0.51</v>
      </c>
      <c r="O19" s="12"/>
      <c r="P19" s="12" cm="1">
        <f t="array" ref="P19">IF(INDEX(results_spb!$A$1:$Y$100,
          MATCH(1, (results_spb!$A$1:$A$100 = table_all!$B19) * (results_spb!$C$1:$C$100 = table_all!P$1), 0),
          MATCH(table_all!P$2, results_spb!$1:$1, 0)) = 0,
   "...",
   INDEX(results_spb!$A$1:$Y$100,
         MATCH(1, (results_spb!$A$1:$A$100 = table_all!$B19) * (results_spb!$C$1:$C$100 = table_all!P$1), 0),
         MATCH(table_all!P$2, results_spb!$1:$1, 0)))</f>
        <v>0.16200000000000001</v>
      </c>
      <c r="Q19" s="12" cm="1">
        <f t="array" ref="Q19">IF(INDEX(results_spb!$A$1:$Y$100,
          MATCH(1, (results_spb!$A$1:$A$100 = table_all!$B19) * (results_spb!$C$1:$C$100 = table_all!Q$1), 0),
          MATCH(table_all!Q$2, results_spb!$1:$1, 0)) = 0,
   "...",
   INDEX(results_spb!$A$1:$Y$100,
         MATCH(1, (results_spb!$A$1:$A$100 = table_all!$B19) * (results_spb!$C$1:$C$100 = table_all!Q$1), 0),
         MATCH(table_all!Q$2, results_spb!$1:$1, 0)))</f>
        <v>0.216</v>
      </c>
      <c r="R19" s="12"/>
      <c r="S19" s="12" cm="1">
        <f t="array" ref="S19">IF(INDEX(results_spb!$A$1:$Y$100,
          MATCH(1, (results_spb!$A$1:$A$100 = table_all!$B19) * (results_spb!$C$1:$C$100 = table_all!S$1), 0),
          MATCH(table_all!S$2, results_spb!$1:$1, 0)) = 0,
   "...",
   INDEX(results_spb!$A$1:$Y$100,
         MATCH(1, (results_spb!$A$1:$A$100 = table_all!$B19) * (results_spb!$C$1:$C$100 = table_all!S$1), 0),
         MATCH(table_all!S$2, results_spb!$1:$1, 0)))</f>
        <v>0.32100000000000001</v>
      </c>
      <c r="T19" s="12" cm="1">
        <f t="array" ref="T19">IF(INDEX(results_spb!$A$1:$Y$100,
          MATCH(1, (results_spb!$A$1:$A$100 = table_all!$B19) * (results_spb!$C$1:$C$100 = table_all!T$1), 0),
          MATCH(table_all!T$2, results_spb!$1:$1, 0)) = 0,
   "...",
   INDEX(results_spb!$A$1:$Y$100,
         MATCH(1, (results_spb!$A$1:$A$100 = table_all!$B19) * (results_spb!$C$1:$C$100 = table_all!T$1), 0),
         MATCH(table_all!T$2, results_spb!$1:$1, 0)))</f>
        <v>0.35099999999999998</v>
      </c>
      <c r="U19" s="12"/>
      <c r="V19" s="12" cm="1">
        <f t="array" ref="V19">IF(INDEX(results_spb!$A$1:$Y$100,
          MATCH(1, (results_spb!$A$1:$A$100 = table_all!$B19) * (results_spb!$C$1:$C$100 = table_all!V$1), 0),
          MATCH(table_all!V$2, results_spb!$1:$1, 0)) = 0,
   "...",
   INDEX(results_spb!$A$1:$Y$100,
         MATCH(1, (results_spb!$A$1:$A$100 = table_all!$B19) * (results_spb!$C$1:$C$100 = table_all!V$1), 0),
         MATCH(table_all!V$2, results_spb!$1:$1, 0)))</f>
        <v>0.372</v>
      </c>
      <c r="W19" s="12" cm="1">
        <f t="array" ref="W19">IF(INDEX(results_spb!$A$1:$Y$100,
          MATCH(1, (results_spb!$A$1:$A$100 = table_all!$B19) * (results_spb!$C$1:$C$100 = table_all!W$1), 0),
          MATCH(table_all!W$2, results_spb!$1:$1, 0)) = 0,
   "...",
   INDEX(results_spb!$A$1:$Y$100,
         MATCH(1, (results_spb!$A$1:$A$100 = table_all!$B19) * (results_spb!$C$1:$C$100 = table_all!W$1), 0),
         MATCH(table_all!W$2, results_spb!$1:$1, 0)))</f>
        <v>0.43</v>
      </c>
      <c r="X19" s="12"/>
      <c r="Y19" s="12" t="str" cm="1">
        <f t="array" ref="Y19">IF(INDEX(results_spb!$A$1:$Y$100,
          MATCH(1, (results_spb!$A$1:$A$100 = table_all!$B19) * (results_spb!$C$1:$C$100 = table_all!Y$1), 0),
          MATCH(table_all!Y$2, results_spb!$1:$1, 0)) = 0,
   "...",
   INDEX(results_spb!$A$1:$Y$100,
         MATCH(1, (results_spb!$A$1:$A$100 = table_all!$B19) * (results_spb!$C$1:$C$100 = table_all!Y$1), 0),
         MATCH(table_all!Y$2, results_spb!$1:$1, 0)))</f>
        <v>...</v>
      </c>
      <c r="Z19" s="12" t="str" cm="1">
        <f t="array" ref="Z19">IF(INDEX(results_spb!$A$1:$Y$100,
          MATCH(1, (results_spb!$A$1:$A$100 = table_all!$B19) * (results_spb!$C$1:$C$100 = table_all!Z$1), 0),
          MATCH(table_all!Z$2, results_spb!$1:$1, 0)) = 0,
   "...",
   INDEX(results_spb!$A$1:$Y$100,
         MATCH(1, (results_spb!$A$1:$A$100 = table_all!$B19) * (results_spb!$C$1:$C$100 = table_all!Z$1), 0),
         MATCH(table_all!Z$2, results_spb!$1:$1, 0)))</f>
        <v>...</v>
      </c>
      <c r="AA19" s="12"/>
      <c r="AB19" s="12" t="str" cm="1">
        <f t="array" ref="AB19">IF(INDEX(results_spb!$A$1:$Y$100,
          MATCH(1, (results_spb!$A$1:$A$100 = table_all!$B19) * (results_spb!$C$1:$C$100 = table_all!AB$1), 0),
          MATCH(table_all!AB$2, results_spb!$1:$1, 0)) = 0,
   "...",
   INDEX(results_spb!$A$1:$Y$100,
         MATCH(1, (results_spb!$A$1:$A$100 = table_all!$B19) * (results_spb!$C$1:$C$100 = table_all!AB$1), 0),
         MATCH(table_all!AB$2, results_spb!$1:$1, 0)))</f>
        <v>...</v>
      </c>
      <c r="AC19" s="12" t="str" cm="1">
        <f t="array" ref="AC19">IF(INDEX(results_spb!$A$1:$Y$100,
          MATCH(1, (results_spb!$A$1:$A$100 = table_all!$B19) * (results_spb!$C$1:$C$100 = table_all!AC$1), 0),
          MATCH(table_all!AC$2, results_spb!$1:$1, 0)) = 0,
   "...",
   INDEX(results_spb!$A$1:$Y$100,
         MATCH(1, (results_spb!$A$1:$A$100 = table_all!$B19) * (results_spb!$C$1:$C$100 = table_all!AC$1), 0),
         MATCH(table_all!AC$2, results_spb!$1:$1, 0)))</f>
        <v>...</v>
      </c>
      <c r="AD19" s="12"/>
      <c r="AE19" s="12">
        <f t="shared" si="2"/>
        <v>0.51500000000000001</v>
      </c>
      <c r="AF19" s="12">
        <f t="shared" si="2"/>
        <v>0.51</v>
      </c>
      <c r="AG19" s="14"/>
      <c r="AH19" s="3">
        <f t="shared" si="0"/>
        <v>0.43992500000000001</v>
      </c>
      <c r="AI19" s="3">
        <f t="shared" si="1"/>
        <v>0.25067142857142855</v>
      </c>
      <c r="AJ19" s="14"/>
    </row>
    <row r="20" spans="1:36">
      <c r="A20" s="25" t="s">
        <v>26</v>
      </c>
      <c r="B20" s="22" t="str">
        <f>INDEX(Table1[#All], MATCH($A20, ameco_2024_data!$A:$A, 0), MATCH(B$2, ameco_2024_data!$1:$1, 0))</f>
        <v>Germany</v>
      </c>
      <c r="C20" s="15">
        <f>INDEX(Table1[#All], MATCH($A20, ameco_2024_data!$A:$A, 0), MATCH(C$2, ameco_2024_data!$1:$1, 0))</f>
        <v>62.934399999999997</v>
      </c>
      <c r="D20" s="12">
        <f>INDEX(Table1[#All], MATCH($A20, ameco_2024_data!$A:$A, 0), MATCH(D$2, ameco_2024_data!$1:$1, 0))</f>
        <v>-1.5621991</v>
      </c>
      <c r="E20" s="12">
        <f>INDEX(Table1[#All], MATCH($A20, ameco_2024_data!$A:$A, 0), MATCH(E$2, ameco_2024_data!$1:$1, 0))</f>
        <v>-2.1899999999999999E-2</v>
      </c>
      <c r="F20" s="3"/>
      <c r="G20" s="12" cm="1">
        <f t="array" ref="G20">IF(INDEX(results_spb!$A$1:$Y$100,
          MATCH(1, (results_spb!$A$1:$A$100 = table_all!$B20) * (results_spb!$C$1:$C$100 = table_all!G$1), 0),
          MATCH(table_all!G$2, results_spb!$1:$1, 0)) = 0,
   "...",
   INDEX(results_spb!$A$1:$Y$100,
         MATCH(1, (results_spb!$A$1:$A$100 = table_all!$B20) * (results_spb!$C$1:$C$100 = table_all!G$1), 0),
         MATCH(table_all!G$2, results_spb!$1:$1, 0)))</f>
        <v>3.4000000000000002E-2</v>
      </c>
      <c r="H20" s="12" cm="1">
        <f t="array" ref="H20">IF(INDEX(results_spb!$A$1:$Y$100,
          MATCH(1, (results_spb!$A$1:$A$100 = table_all!$B20) * (results_spb!$C$1:$C$100 = table_all!H$1), 0),
          MATCH(table_all!H$2, results_spb!$1:$1, 0)) = 0,
   "...",
   INDEX(results_spb!$A$1:$Y$100,
         MATCH(1, (results_spb!$A$1:$A$100 = table_all!$B20) * (results_spb!$C$1:$C$100 = table_all!H$1), 0),
         MATCH(table_all!H$2, results_spb!$1:$1, 0)))</f>
        <v>-0.19400000000000001</v>
      </c>
      <c r="I20" s="12"/>
      <c r="J20" s="12" cm="1">
        <f t="array" ref="J20">IF(INDEX(results_spb!$A$1:$Y$100,
          MATCH(1, (results_spb!$A$1:$A$100 = table_all!$B20) * (results_spb!$C$1:$C$100 = table_all!J$1), 0),
          MATCH(table_all!J$2, results_spb!$1:$1, 0)) = 0,
   "...",
   INDEX(results_spb!$A$1:$Y$100,
         MATCH(1, (results_spb!$A$1:$A$100 = table_all!$B20) * (results_spb!$C$1:$C$100 = table_all!J$1), 0),
         MATCH(table_all!J$2, results_spb!$1:$1, 0)))</f>
        <v>0.41699999999999998</v>
      </c>
      <c r="K20" s="12" cm="1">
        <f t="array" ref="K20">IF(INDEX(results_spb!$A$1:$Y$100,
          MATCH(1, (results_spb!$A$1:$A$100 = table_all!$B20) * (results_spb!$C$1:$C$100 = table_all!K$1), 0),
          MATCH(table_all!K$2, results_spb!$1:$1, 0)) = 0,
   "...",
   INDEX(results_spb!$A$1:$Y$100,
         MATCH(1, (results_spb!$A$1:$A$100 = table_all!$B20) * (results_spb!$C$1:$C$100 = table_all!K$1), 0),
         MATCH(table_all!K$2, results_spb!$1:$1, 0)))</f>
        <v>0.14899999999999999</v>
      </c>
      <c r="L20" s="12"/>
      <c r="M20" s="12" cm="1">
        <f t="array" ref="M20">IF(INDEX(results_spb!$A$1:$Y$100,
          MATCH(1, (results_spb!$A$1:$A$100 = table_all!$B20) * (results_spb!$C$1:$C$100 = table_all!M$1), 0),
          MATCH(table_all!M$2, results_spb!$1:$1, 0)) = 0,
   "...",
   INDEX(results_spb!$A$1:$Y$100,
         MATCH(1, (results_spb!$A$1:$A$100 = table_all!$B20) * (results_spb!$C$1:$C$100 = table_all!M$1), 0),
         MATCH(table_all!M$2, results_spb!$1:$1, 0)))</f>
        <v>0.40899999999999997</v>
      </c>
      <c r="N20" s="12" cm="1">
        <f t="array" ref="N20">IF(INDEX(results_spb!$A$1:$Y$100,
          MATCH(1, (results_spb!$A$1:$A$100 = table_all!$B20) * (results_spb!$C$1:$C$100 = table_all!N$1), 0),
          MATCH(table_all!N$2, results_spb!$1:$1, 0)) = 0,
   "...",
   INDEX(results_spb!$A$1:$Y$100,
         MATCH(1, (results_spb!$A$1:$A$100 = table_all!$B20) * (results_spb!$C$1:$C$100 = table_all!N$1), 0),
         MATCH(table_all!N$2, results_spb!$1:$1, 0)))</f>
        <v>0.122</v>
      </c>
      <c r="O20" s="12"/>
      <c r="P20" s="12" cm="1">
        <f t="array" ref="P20">IF(INDEX(results_spb!$A$1:$Y$100,
          MATCH(1, (results_spb!$A$1:$A$100 = table_all!$B20) * (results_spb!$C$1:$C$100 = table_all!P$1), 0),
          MATCH(table_all!P$2, results_spb!$1:$1, 0)) = 0,
   "...",
   INDEX(results_spb!$A$1:$Y$100,
         MATCH(1, (results_spb!$A$1:$A$100 = table_all!$B20) * (results_spb!$C$1:$C$100 = table_all!P$1), 0),
         MATCH(table_all!P$2, results_spb!$1:$1, 0)))</f>
        <v>7.1999999999999995E-2</v>
      </c>
      <c r="Q20" s="12" cm="1">
        <f t="array" ref="Q20">IF(INDEX(results_spb!$A$1:$Y$100,
          MATCH(1, (results_spb!$A$1:$A$100 = table_all!$B20) * (results_spb!$C$1:$C$100 = table_all!Q$1), 0),
          MATCH(table_all!Q$2, results_spb!$1:$1, 0)) = 0,
   "...",
   INDEX(results_spb!$A$1:$Y$100,
         MATCH(1, (results_spb!$A$1:$A$100 = table_all!$B20) * (results_spb!$C$1:$C$100 = table_all!Q$1), 0),
         MATCH(table_all!Q$2, results_spb!$1:$1, 0)))</f>
        <v>-0.159</v>
      </c>
      <c r="R20" s="12"/>
      <c r="S20" s="12" cm="1">
        <f t="array" ref="S20">IF(INDEX(results_spb!$A$1:$Y$100,
          MATCH(1, (results_spb!$A$1:$A$100 = table_all!$B20) * (results_spb!$C$1:$C$100 = table_all!S$1), 0),
          MATCH(table_all!S$2, results_spb!$1:$1, 0)) = 0,
   "...",
   INDEX(results_spb!$A$1:$Y$100,
         MATCH(1, (results_spb!$A$1:$A$100 = table_all!$B20) * (results_spb!$C$1:$C$100 = table_all!S$1), 0),
         MATCH(table_all!S$2, results_spb!$1:$1, 0)))</f>
        <v>0.33400000000000002</v>
      </c>
      <c r="T20" s="12" cm="1">
        <f t="array" ref="T20">IF(INDEX(results_spb!$A$1:$Y$100,
          MATCH(1, (results_spb!$A$1:$A$100 = table_all!$B20) * (results_spb!$C$1:$C$100 = table_all!T$1), 0),
          MATCH(table_all!T$2, results_spb!$1:$1, 0)) = 0,
   "...",
   INDEX(results_spb!$A$1:$Y$100,
         MATCH(1, (results_spb!$A$1:$A$100 = table_all!$B20) * (results_spb!$C$1:$C$100 = table_all!T$1), 0),
         MATCH(table_all!T$2, results_spb!$1:$1, 0)))</f>
        <v>0.10100000000000001</v>
      </c>
      <c r="U20" s="12"/>
      <c r="V20" s="12" cm="1">
        <f t="array" ref="V20">IF(INDEX(results_spb!$A$1:$Y$100,
          MATCH(1, (results_spb!$A$1:$A$100 = table_all!$B20) * (results_spb!$C$1:$C$100 = table_all!V$1), 0),
          MATCH(table_all!V$2, results_spb!$1:$1, 0)) = 0,
   "...",
   INDEX(results_spb!$A$1:$Y$100,
         MATCH(1, (results_spb!$A$1:$A$100 = table_all!$B20) * (results_spb!$C$1:$C$100 = table_all!V$1), 0),
         MATCH(table_all!V$2, results_spb!$1:$1, 0)))</f>
        <v>-0.48799999999999999</v>
      </c>
      <c r="W20" s="12" cm="1">
        <f t="array" ref="W20">IF(INDEX(results_spb!$A$1:$Y$100,
          MATCH(1, (results_spb!$A$1:$A$100 = table_all!$B20) * (results_spb!$C$1:$C$100 = table_all!W$1), 0),
          MATCH(table_all!W$2, results_spb!$1:$1, 0)) = 0,
   "...",
   INDEX(results_spb!$A$1:$Y$100,
         MATCH(1, (results_spb!$A$1:$A$100 = table_all!$B20) * (results_spb!$C$1:$C$100 = table_all!W$1), 0),
         MATCH(table_all!W$2, results_spb!$1:$1, 0)))</f>
        <v>-0.7</v>
      </c>
      <c r="X20" s="12"/>
      <c r="Y20" s="12" t="str" cm="1">
        <f t="array" ref="Y20">IF(INDEX(results_spb!$A$1:$Y$100,
          MATCH(1, (results_spb!$A$1:$A$100 = table_all!$B20) * (results_spb!$C$1:$C$100 = table_all!Y$1), 0),
          MATCH(table_all!Y$2, results_spb!$1:$1, 0)) = 0,
   "...",
   INDEX(results_spb!$A$1:$Y$100,
         MATCH(1, (results_spb!$A$1:$A$100 = table_all!$B20) * (results_spb!$C$1:$C$100 = table_all!Y$1), 0),
         MATCH(table_all!Y$2, results_spb!$1:$1, 0)))</f>
        <v>...</v>
      </c>
      <c r="Z20" s="12" t="str" cm="1">
        <f t="array" ref="Z20">IF(INDEX(results_spb!$A$1:$Y$100,
          MATCH(1, (results_spb!$A$1:$A$100 = table_all!$B20) * (results_spb!$C$1:$C$100 = table_all!Z$1), 0),
          MATCH(table_all!Z$2, results_spb!$1:$1, 0)) = 0,
   "...",
   INDEX(results_spb!$A$1:$Y$100,
         MATCH(1, (results_spb!$A$1:$A$100 = table_all!$B20) * (results_spb!$C$1:$C$100 = table_all!Z$1), 0),
         MATCH(table_all!Z$2, results_spb!$1:$1, 0)))</f>
        <v>...</v>
      </c>
      <c r="AA20" s="12"/>
      <c r="AB20" s="12" t="str" cm="1">
        <f t="array" ref="AB20">IF(INDEX(results_spb!$A$1:$Y$100,
          MATCH(1, (results_spb!$A$1:$A$100 = table_all!$B20) * (results_spb!$C$1:$C$100 = table_all!AB$1), 0),
          MATCH(table_all!AB$2, results_spb!$1:$1, 0)) = 0,
   "...",
   INDEX(results_spb!$A$1:$Y$100,
         MATCH(1, (results_spb!$A$1:$A$100 = table_all!$B20) * (results_spb!$C$1:$C$100 = table_all!AB$1), 0),
         MATCH(table_all!AB$2, results_spb!$1:$1, 0)))</f>
        <v>...</v>
      </c>
      <c r="AC20" s="12" t="str" cm="1">
        <f t="array" ref="AC20">IF(INDEX(results_spb!$A$1:$Y$100,
          MATCH(1, (results_spb!$A$1:$A$100 = table_all!$B20) * (results_spb!$C$1:$C$100 = table_all!AC$1), 0),
          MATCH(table_all!AC$2, results_spb!$1:$1, 0)) = 0,
   "...",
   INDEX(results_spb!$A$1:$Y$100,
         MATCH(1, (results_spb!$A$1:$A$100 = table_all!$B20) * (results_spb!$C$1:$C$100 = table_all!AC$1), 0),
         MATCH(table_all!AC$2, results_spb!$1:$1, 0)))</f>
        <v>...</v>
      </c>
      <c r="AD20" s="12"/>
      <c r="AE20" s="12">
        <f t="shared" si="2"/>
        <v>0.41699999999999998</v>
      </c>
      <c r="AF20" s="12">
        <f t="shared" si="2"/>
        <v>0.14899999999999999</v>
      </c>
      <c r="AG20" s="14"/>
      <c r="AH20" s="3">
        <f t="shared" si="0"/>
        <v>0.10972499999999999</v>
      </c>
      <c r="AI20" s="3">
        <f t="shared" si="1"/>
        <v>2.4414285714285715E-2</v>
      </c>
      <c r="AJ20" s="14"/>
    </row>
    <row r="21" spans="1:36">
      <c r="A21" s="25" t="s">
        <v>27</v>
      </c>
      <c r="B21" s="22" t="str">
        <f>INDEX(Table1[#All], MATCH($A21, ameco_2024_data!$A:$A, 0), MATCH(B$2, ameco_2024_data!$1:$1, 0))</f>
        <v>Croatia</v>
      </c>
      <c r="C21" s="15">
        <f>INDEX(Table1[#All], MATCH($A21, ameco_2024_data!$A:$A, 0), MATCH(C$2, ameco_2024_data!$1:$1, 0))</f>
        <v>59.525199999999998</v>
      </c>
      <c r="D21" s="12">
        <f>INDEX(Table1[#All], MATCH($A21, ameco_2024_data!$A:$A, 0), MATCH(D$2, ameco_2024_data!$1:$1, 0))</f>
        <v>-2.6152508000000001</v>
      </c>
      <c r="E21" s="12">
        <f>INDEX(Table1[#All], MATCH($A21, ameco_2024_data!$A:$A, 0), MATCH(E$2, ameco_2024_data!$1:$1, 0))</f>
        <v>-1.9611000000000001</v>
      </c>
      <c r="G21" s="12" cm="1">
        <f t="array" ref="G21">IF(INDEX(results_spb!$A$1:$Y$100,
          MATCH(1, (results_spb!$A$1:$A$100 = table_all!$B21) * (results_spb!$C$1:$C$100 = table_all!G$1), 0),
          MATCH(table_all!G$2, results_spb!$1:$1, 0)) = 0,
   "...",
   INDEX(results_spb!$A$1:$Y$100,
         MATCH(1, (results_spb!$A$1:$A$100 = table_all!$B21) * (results_spb!$C$1:$C$100 = table_all!G$1), 0),
         MATCH(table_all!G$2, results_spb!$1:$1, 0)))</f>
        <v>-0.47599999999999998</v>
      </c>
      <c r="H21" s="12" cm="1">
        <f t="array" ref="H21">IF(INDEX(results_spb!$A$1:$Y$100,
          MATCH(1, (results_spb!$A$1:$A$100 = table_all!$B21) * (results_spb!$C$1:$C$100 = table_all!H$1), 0),
          MATCH(table_all!H$2, results_spb!$1:$1, 0)) = 0,
   "...",
   INDEX(results_spb!$A$1:$Y$100,
         MATCH(1, (results_spb!$A$1:$A$100 = table_all!$B21) * (results_spb!$C$1:$C$100 = table_all!H$1), 0),
         MATCH(table_all!H$2, results_spb!$1:$1, 0)))</f>
        <v>-0.313</v>
      </c>
      <c r="J21" s="12" cm="1">
        <f t="array" ref="J21">IF(INDEX(results_spb!$A$1:$Y$100,
          MATCH(1, (results_spb!$A$1:$A$100 = table_all!$B21) * (results_spb!$C$1:$C$100 = table_all!J$1), 0),
          MATCH(table_all!J$2, results_spb!$1:$1, 0)) = 0,
   "...",
   INDEX(results_spb!$A$1:$Y$100,
         MATCH(1, (results_spb!$A$1:$A$100 = table_all!$B21) * (results_spb!$C$1:$C$100 = table_all!J$1), 0),
         MATCH(table_all!J$2, results_spb!$1:$1, 0)))</f>
        <v>-0.108</v>
      </c>
      <c r="K21" s="12" cm="1">
        <f t="array" ref="K21">IF(INDEX(results_spb!$A$1:$Y$100,
          MATCH(1, (results_spb!$A$1:$A$100 = table_all!$B21) * (results_spb!$C$1:$C$100 = table_all!K$1), 0),
          MATCH(table_all!K$2, results_spb!$1:$1, 0)) = 0,
   "...",
   INDEX(results_spb!$A$1:$Y$100,
         MATCH(1, (results_spb!$A$1:$A$100 = table_all!$B21) * (results_spb!$C$1:$C$100 = table_all!K$1), 0),
         MATCH(table_all!K$2, results_spb!$1:$1, 0)))</f>
        <v>2.1000000000000001E-2</v>
      </c>
      <c r="M21" s="12" cm="1">
        <f t="array" ref="M21">IF(INDEX(results_spb!$A$1:$Y$100,
          MATCH(1, (results_spb!$A$1:$A$100 = table_all!$B21) * (results_spb!$C$1:$C$100 = table_all!M$1), 0),
          MATCH(table_all!M$2, results_spb!$1:$1, 0)) = 0,
   "...",
   INDEX(results_spb!$A$1:$Y$100,
         MATCH(1, (results_spb!$A$1:$A$100 = table_all!$B21) * (results_spb!$C$1:$C$100 = table_all!M$1), 0),
         MATCH(table_all!M$2, results_spb!$1:$1, 0)))</f>
        <v>-0.10100000000000001</v>
      </c>
      <c r="N21" s="12" cm="1">
        <f t="array" ref="N21">IF(INDEX(results_spb!$A$1:$Y$100,
          MATCH(1, (results_spb!$A$1:$A$100 = table_all!$B21) * (results_spb!$C$1:$C$100 = table_all!N$1), 0),
          MATCH(table_all!N$2, results_spb!$1:$1, 0)) = 0,
   "...",
   INDEX(results_spb!$A$1:$Y$100,
         MATCH(1, (results_spb!$A$1:$A$100 = table_all!$B21) * (results_spb!$C$1:$C$100 = table_all!N$1), 0),
         MATCH(table_all!N$2, results_spb!$1:$1, 0)))</f>
        <v>1E-3</v>
      </c>
      <c r="P21" s="12" cm="1">
        <f t="array" ref="P21">IF(INDEX(results_spb!$A$1:$Y$100,
          MATCH(1, (results_spb!$A$1:$A$100 = table_all!$B21) * (results_spb!$C$1:$C$100 = table_all!P$1), 0),
          MATCH(table_all!P$2, results_spb!$1:$1, 0)) = 0,
   "...",
   INDEX(results_spb!$A$1:$Y$100,
         MATCH(1, (results_spb!$A$1:$A$100 = table_all!$B21) * (results_spb!$C$1:$C$100 = table_all!P$1), 0),
         MATCH(table_all!P$2, results_spb!$1:$1, 0)))</f>
        <v>-0.438</v>
      </c>
      <c r="Q21" s="12" cm="1">
        <f t="array" ref="Q21">IF(INDEX(results_spb!$A$1:$Y$100,
          MATCH(1, (results_spb!$A$1:$A$100 = table_all!$B21) * (results_spb!$C$1:$C$100 = table_all!Q$1), 0),
          MATCH(table_all!Q$2, results_spb!$1:$1, 0)) = 0,
   "...",
   INDEX(results_spb!$A$1:$Y$100,
         MATCH(1, (results_spb!$A$1:$A$100 = table_all!$B21) * (results_spb!$C$1:$C$100 = table_all!Q$1), 0),
         MATCH(table_all!Q$2, results_spb!$1:$1, 0)))</f>
        <v>-0.27800000000000002</v>
      </c>
      <c r="S21" s="12" cm="1">
        <f t="array" ref="S21">IF(INDEX(results_spb!$A$1:$Y$100,
          MATCH(1, (results_spb!$A$1:$A$100 = table_all!$B21) * (results_spb!$C$1:$C$100 = table_all!S$1), 0),
          MATCH(table_all!S$2, results_spb!$1:$1, 0)) = 0,
   "...",
   INDEX(results_spb!$A$1:$Y$100,
         MATCH(1, (results_spb!$A$1:$A$100 = table_all!$B21) * (results_spb!$C$1:$C$100 = table_all!S$1), 0),
         MATCH(table_all!S$2, results_spb!$1:$1, 0)))</f>
        <v>0.34599999999999997</v>
      </c>
      <c r="T21" s="12" cm="1">
        <f t="array" ref="T21">IF(INDEX(results_spb!$A$1:$Y$100,
          MATCH(1, (results_spb!$A$1:$A$100 = table_all!$B21) * (results_spb!$C$1:$C$100 = table_all!T$1), 0),
          MATCH(table_all!T$2, results_spb!$1:$1, 0)) = 0,
   "...",
   INDEX(results_spb!$A$1:$Y$100,
         MATCH(1, (results_spb!$A$1:$A$100 = table_all!$B21) * (results_spb!$C$1:$C$100 = table_all!T$1), 0),
         MATCH(table_all!T$2, results_spb!$1:$1, 0)))</f>
        <v>0.54800000000000004</v>
      </c>
      <c r="V21" s="12" cm="1">
        <f t="array" ref="V21">IF(INDEX(results_spb!$A$1:$Y$100,
          MATCH(1, (results_spb!$A$1:$A$100 = table_all!$B21) * (results_spb!$C$1:$C$100 = table_all!V$1), 0),
          MATCH(table_all!V$2, results_spb!$1:$1, 0)) = 0,
   "...",
   INDEX(results_spb!$A$1:$Y$100,
         MATCH(1, (results_spb!$A$1:$A$100 = table_all!$B21) * (results_spb!$C$1:$C$100 = table_all!V$1), 0),
         MATCH(table_all!V$2, results_spb!$1:$1, 0)))</f>
        <v>-1.0189999999999999</v>
      </c>
      <c r="W21" s="12" cm="1">
        <f t="array" ref="W21">IF(INDEX(results_spb!$A$1:$Y$100,
          MATCH(1, (results_spb!$A$1:$A$100 = table_all!$B21) * (results_spb!$C$1:$C$100 = table_all!W$1), 0),
          MATCH(table_all!W$2, results_spb!$1:$1, 0)) = 0,
   "...",
   INDEX(results_spb!$A$1:$Y$100,
         MATCH(1, (results_spb!$A$1:$A$100 = table_all!$B21) * (results_spb!$C$1:$C$100 = table_all!W$1), 0),
         MATCH(table_all!W$2, results_spb!$1:$1, 0)))</f>
        <v>-0.93200000000000005</v>
      </c>
      <c r="Y21" s="12" t="str" cm="1">
        <f t="array" ref="Y21">IF(INDEX(results_spb!$A$1:$Y$100,
          MATCH(1, (results_spb!$A$1:$A$100 = table_all!$B21) * (results_spb!$C$1:$C$100 = table_all!Y$1), 0),
          MATCH(table_all!Y$2, results_spb!$1:$1, 0)) = 0,
   "...",
   INDEX(results_spb!$A$1:$Y$100,
         MATCH(1, (results_spb!$A$1:$A$100 = table_all!$B21) * (results_spb!$C$1:$C$100 = table_all!Y$1), 0),
         MATCH(table_all!Y$2, results_spb!$1:$1, 0)))</f>
        <v>...</v>
      </c>
      <c r="Z21" s="12" t="str" cm="1">
        <f t="array" ref="Z21">IF(INDEX(results_spb!$A$1:$Y$100,
          MATCH(1, (results_spb!$A$1:$A$100 = table_all!$B21) * (results_spb!$C$1:$C$100 = table_all!Z$1), 0),
          MATCH(table_all!Z$2, results_spb!$1:$1, 0)) = 0,
   "...",
   INDEX(results_spb!$A$1:$Y$100,
         MATCH(1, (results_spb!$A$1:$A$100 = table_all!$B21) * (results_spb!$C$1:$C$100 = table_all!Z$1), 0),
         MATCH(table_all!Z$2, results_spb!$1:$1, 0)))</f>
        <v>...</v>
      </c>
      <c r="AA21" s="14"/>
      <c r="AB21" s="12" t="str" cm="1">
        <f t="array" ref="AB21">IF(INDEX(results_spb!$A$1:$Y$100,
          MATCH(1, (results_spb!$A$1:$A$100 = table_all!$B21) * (results_spb!$C$1:$C$100 = table_all!AB$1), 0),
          MATCH(table_all!AB$2, results_spb!$1:$1, 0)) = 0,
   "...",
   INDEX(results_spb!$A$1:$Y$100,
         MATCH(1, (results_spb!$A$1:$A$100 = table_all!$B21) * (results_spb!$C$1:$C$100 = table_all!AB$1), 0),
         MATCH(table_all!AB$2, results_spb!$1:$1, 0)))</f>
        <v>...</v>
      </c>
      <c r="AC21" s="12" t="str" cm="1">
        <f t="array" ref="AC21">IF(INDEX(results_spb!$A$1:$Y$100,
          MATCH(1, (results_spb!$A$1:$A$100 = table_all!$B21) * (results_spb!$C$1:$C$100 = table_all!AC$1), 0),
          MATCH(table_all!AC$2, results_spb!$1:$1, 0)) = 0,
   "...",
   INDEX(results_spb!$A$1:$Y$100,
         MATCH(1, (results_spb!$A$1:$A$100 = table_all!$B21) * (results_spb!$C$1:$C$100 = table_all!AC$1), 0),
         MATCH(table_all!AC$2, results_spb!$1:$1, 0)))</f>
        <v>...</v>
      </c>
      <c r="AD21" s="14"/>
      <c r="AE21" s="12">
        <f t="shared" si="2"/>
        <v>0.34599999999999997</v>
      </c>
      <c r="AF21" s="12">
        <f t="shared" si="2"/>
        <v>0.54800000000000004</v>
      </c>
      <c r="AG21" s="14"/>
      <c r="AH21" s="3">
        <f t="shared" si="0"/>
        <v>0.57677500000000004</v>
      </c>
      <c r="AI21" s="3">
        <f t="shared" si="1"/>
        <v>0.35844285714285717</v>
      </c>
      <c r="AJ21" s="14"/>
    </row>
    <row r="22" spans="1:36">
      <c r="A22" s="25" t="s">
        <v>28</v>
      </c>
      <c r="B22" s="22" t="str">
        <f>INDEX(Table1[#All], MATCH($A22, ameco_2024_data!$A:$A, 0), MATCH(B$2, ameco_2024_data!$1:$1, 0))</f>
        <v>Slovakia</v>
      </c>
      <c r="C22" s="15">
        <f>INDEX(Table1[#All], MATCH($A22, ameco_2024_data!$A:$A, 0), MATCH(C$2, ameco_2024_data!$1:$1, 0))</f>
        <v>58.478900000000003</v>
      </c>
      <c r="D22" s="12">
        <f>INDEX(Table1[#All], MATCH($A22, ameco_2024_data!$A:$A, 0), MATCH(D$2, ameco_2024_data!$1:$1, 0))</f>
        <v>-5.8555194000000004</v>
      </c>
      <c r="E22" s="12">
        <f>INDEX(Table1[#All], MATCH($A22, ameco_2024_data!$A:$A, 0), MATCH(E$2, ameco_2024_data!$1:$1, 0))</f>
        <v>-4.2629000000000001</v>
      </c>
      <c r="G22" s="12" cm="1">
        <f t="array" ref="G22">IF(INDEX(results_spb!$A$1:$Y$100,
          MATCH(1, (results_spb!$A$1:$A$100 = table_all!$B22) * (results_spb!$C$1:$C$100 = table_all!G$1), 0),
          MATCH(table_all!G$2, results_spb!$1:$1, 0)) = 0,
   "...",
   INDEX(results_spb!$A$1:$Y$100,
         MATCH(1, (results_spb!$A$1:$A$100 = table_all!$B22) * (results_spb!$C$1:$C$100 = table_all!G$1), 0),
         MATCH(table_all!G$2, results_spb!$1:$1, 0)))</f>
        <v>0.45800000000000002</v>
      </c>
      <c r="H22" s="12" cm="1">
        <f t="array" ref="H22">IF(INDEX(results_spb!$A$1:$Y$100,
          MATCH(1, (results_spb!$A$1:$A$100 = table_all!$B22) * (results_spb!$C$1:$C$100 = table_all!H$1), 0),
          MATCH(table_all!H$2, results_spb!$1:$1, 0)) = 0,
   "...",
   INDEX(results_spb!$A$1:$Y$100,
         MATCH(1, (results_spb!$A$1:$A$100 = table_all!$B22) * (results_spb!$C$1:$C$100 = table_all!H$1), 0),
         MATCH(table_all!H$2, results_spb!$1:$1, 0)))</f>
        <v>0.83</v>
      </c>
      <c r="J22" s="12" cm="1">
        <f t="array" ref="J22">IF(INDEX(results_spb!$A$1:$Y$100,
          MATCH(1, (results_spb!$A$1:$A$100 = table_all!$B22) * (results_spb!$C$1:$C$100 = table_all!J$1), 0),
          MATCH(table_all!J$2, results_spb!$1:$1, 0)) = 0,
   "...",
   INDEX(results_spb!$A$1:$Y$100,
         MATCH(1, (results_spb!$A$1:$A$100 = table_all!$B22) * (results_spb!$C$1:$C$100 = table_all!J$1), 0),
         MATCH(table_all!J$2, results_spb!$1:$1, 0)))</f>
        <v>0.77800000000000002</v>
      </c>
      <c r="K22" s="12" cm="1">
        <f t="array" ref="K22">IF(INDEX(results_spb!$A$1:$Y$100,
          MATCH(1, (results_spb!$A$1:$A$100 = table_all!$B22) * (results_spb!$C$1:$C$100 = table_all!K$1), 0),
          MATCH(table_all!K$2, results_spb!$1:$1, 0)) = 0,
   "...",
   INDEX(results_spb!$A$1:$Y$100,
         MATCH(1, (results_spb!$A$1:$A$100 = table_all!$B22) * (results_spb!$C$1:$C$100 = table_all!K$1), 0),
         MATCH(table_all!K$2, results_spb!$1:$1, 0)))</f>
        <v>1.1160000000000001</v>
      </c>
      <c r="M22" s="12" cm="1">
        <f t="array" ref="M22">IF(INDEX(results_spb!$A$1:$Y$100,
          MATCH(1, (results_spb!$A$1:$A$100 = table_all!$B22) * (results_spb!$C$1:$C$100 = table_all!M$1), 0),
          MATCH(table_all!M$2, results_spb!$1:$1, 0)) = 0,
   "...",
   INDEX(results_spb!$A$1:$Y$100,
         MATCH(1, (results_spb!$A$1:$A$100 = table_all!$B22) * (results_spb!$C$1:$C$100 = table_all!M$1), 0),
         MATCH(table_all!M$2, results_spb!$1:$1, 0)))</f>
        <v>0.83399999999999996</v>
      </c>
      <c r="N22" s="12" cm="1">
        <f t="array" ref="N22">IF(INDEX(results_spb!$A$1:$Y$100,
          MATCH(1, (results_spb!$A$1:$A$100 = table_all!$B22) * (results_spb!$C$1:$C$100 = table_all!N$1), 0),
          MATCH(table_all!N$2, results_spb!$1:$1, 0)) = 0,
   "...",
   INDEX(results_spb!$A$1:$Y$100,
         MATCH(1, (results_spb!$A$1:$A$100 = table_all!$B22) * (results_spb!$C$1:$C$100 = table_all!N$1), 0),
         MATCH(table_all!N$2, results_spb!$1:$1, 0)))</f>
        <v>1.1439999999999999</v>
      </c>
      <c r="P22" s="12" cm="1">
        <f t="array" ref="P22">IF(INDEX(results_spb!$A$1:$Y$100,
          MATCH(1, (results_spb!$A$1:$A$100 = table_all!$B22) * (results_spb!$C$1:$C$100 = table_all!P$1), 0),
          MATCH(table_all!P$2, results_spb!$1:$1, 0)) = 0,
   "...",
   INDEX(results_spb!$A$1:$Y$100,
         MATCH(1, (results_spb!$A$1:$A$100 = table_all!$B22) * (results_spb!$C$1:$C$100 = table_all!P$1), 0),
         MATCH(table_all!P$2, results_spb!$1:$1, 0)))</f>
        <v>0.48799999999999999</v>
      </c>
      <c r="Q22" s="12" cm="1">
        <f t="array" ref="Q22">IF(INDEX(results_spb!$A$1:$Y$100,
          MATCH(1, (results_spb!$A$1:$A$100 = table_all!$B22) * (results_spb!$C$1:$C$100 = table_all!Q$1), 0),
          MATCH(table_all!Q$2, results_spb!$1:$1, 0)) = 0,
   "...",
   INDEX(results_spb!$A$1:$Y$100,
         MATCH(1, (results_spb!$A$1:$A$100 = table_all!$B22) * (results_spb!$C$1:$C$100 = table_all!Q$1), 0),
         MATCH(table_all!Q$2, results_spb!$1:$1, 0)))</f>
        <v>0.85499999999999998</v>
      </c>
      <c r="S22" s="12" cm="1">
        <f t="array" ref="S22">IF(INDEX(results_spb!$A$1:$Y$100,
          MATCH(1, (results_spb!$A$1:$A$100 = table_all!$B22) * (results_spb!$C$1:$C$100 = table_all!S$1), 0),
          MATCH(table_all!S$2, results_spb!$1:$1, 0)) = 0,
   "...",
   INDEX(results_spb!$A$1:$Y$100,
         MATCH(1, (results_spb!$A$1:$A$100 = table_all!$B22) * (results_spb!$C$1:$C$100 = table_all!S$1), 0),
         MATCH(table_all!S$2, results_spb!$1:$1, 0)))</f>
        <v>0.70299999999999996</v>
      </c>
      <c r="T22" s="12" cm="1">
        <f t="array" ref="T22">IF(INDEX(results_spb!$A$1:$Y$100,
          MATCH(1, (results_spb!$A$1:$A$100 = table_all!$B22) * (results_spb!$C$1:$C$100 = table_all!T$1), 0),
          MATCH(table_all!T$2, results_spb!$1:$1, 0)) = 0,
   "...",
   INDEX(results_spb!$A$1:$Y$100,
         MATCH(1, (results_spb!$A$1:$A$100 = table_all!$B22) * (results_spb!$C$1:$C$100 = table_all!T$1), 0),
         MATCH(table_all!T$2, results_spb!$1:$1, 0)))</f>
        <v>0.90600000000000003</v>
      </c>
      <c r="V22" s="12" cm="1">
        <f t="array" ref="V22">IF(INDEX(results_spb!$A$1:$Y$100,
          MATCH(1, (results_spb!$A$1:$A$100 = table_all!$B22) * (results_spb!$C$1:$C$100 = table_all!V$1), 0),
          MATCH(table_all!V$2, results_spb!$1:$1, 0)) = 0,
   "...",
   INDEX(results_spb!$A$1:$Y$100,
         MATCH(1, (results_spb!$A$1:$A$100 = table_all!$B22) * (results_spb!$C$1:$C$100 = table_all!V$1), 0),
         MATCH(table_all!V$2, results_spb!$1:$1, 0)))</f>
        <v>0.42699999999999999</v>
      </c>
      <c r="W22" s="12" cm="1">
        <f t="array" ref="W22">IF(INDEX(results_spb!$A$1:$Y$100,
          MATCH(1, (results_spb!$A$1:$A$100 = table_all!$B22) * (results_spb!$C$1:$C$100 = table_all!W$1), 0),
          MATCH(table_all!W$2, results_spb!$1:$1, 0)) = 0,
   "...",
   INDEX(results_spb!$A$1:$Y$100,
         MATCH(1, (results_spb!$A$1:$A$100 = table_all!$B22) * (results_spb!$C$1:$C$100 = table_all!W$1), 0),
         MATCH(table_all!W$2, results_spb!$1:$1, 0)))</f>
        <v>0.56499999999999995</v>
      </c>
      <c r="Y22" s="12" t="str" cm="1">
        <f t="array" ref="Y22">IF(INDEX(results_spb!$A$1:$Y$100,
          MATCH(1, (results_spb!$A$1:$A$100 = table_all!$B22) * (results_spb!$C$1:$C$100 = table_all!Y$1), 0),
          MATCH(table_all!Y$2, results_spb!$1:$1, 0)) = 0,
   "...",
   INDEX(results_spb!$A$1:$Y$100,
         MATCH(1, (results_spb!$A$1:$A$100 = table_all!$B22) * (results_spb!$C$1:$C$100 = table_all!Y$1), 0),
         MATCH(table_all!Y$2, results_spb!$1:$1, 0)))</f>
        <v>...</v>
      </c>
      <c r="Z22" s="12" t="str" cm="1">
        <f t="array" ref="Z22">IF(INDEX(results_spb!$A$1:$Y$100,
          MATCH(1, (results_spb!$A$1:$A$100 = table_all!$B22) * (results_spb!$C$1:$C$100 = table_all!Z$1), 0),
          MATCH(table_all!Z$2, results_spb!$1:$1, 0)) = 0,
   "...",
   INDEX(results_spb!$A$1:$Y$100,
         MATCH(1, (results_spb!$A$1:$A$100 = table_all!$B22) * (results_spb!$C$1:$C$100 = table_all!Z$1), 0),
         MATCH(table_all!Z$2, results_spb!$1:$1, 0)))</f>
        <v>...</v>
      </c>
      <c r="AA22" s="14"/>
      <c r="AB22" s="12" t="str" cm="1">
        <f t="array" ref="AB22">IF(INDEX(results_spb!$A$1:$Y$100,
          MATCH(1, (results_spb!$A$1:$A$100 = table_all!$B22) * (results_spb!$C$1:$C$100 = table_all!AB$1), 0),
          MATCH(table_all!AB$2, results_spb!$1:$1, 0)) = 0,
   "...",
   INDEX(results_spb!$A$1:$Y$100,
         MATCH(1, (results_spb!$A$1:$A$100 = table_all!$B22) * (results_spb!$C$1:$C$100 = table_all!AB$1), 0),
         MATCH(table_all!AB$2, results_spb!$1:$1, 0)))</f>
        <v>...</v>
      </c>
      <c r="AC22" s="12" t="str" cm="1">
        <f t="array" ref="AC22">IF(INDEX(results_spb!$A$1:$Y$100,
          MATCH(1, (results_spb!$A$1:$A$100 = table_all!$B22) * (results_spb!$C$1:$C$100 = table_all!AC$1), 0),
          MATCH(table_all!AC$2, results_spb!$1:$1, 0)) = 0,
   "...",
   INDEX(results_spb!$A$1:$Y$100,
         MATCH(1, (results_spb!$A$1:$A$100 = table_all!$B22) * (results_spb!$C$1:$C$100 = table_all!AC$1), 0),
         MATCH(table_all!AC$2, results_spb!$1:$1, 0)))</f>
        <v>...</v>
      </c>
      <c r="AD22" s="14"/>
      <c r="AE22" s="12">
        <f t="shared" si="2"/>
        <v>0.83399999999999996</v>
      </c>
      <c r="AF22" s="12">
        <f t="shared" si="2"/>
        <v>1.1439999999999999</v>
      </c>
      <c r="AG22" s="14"/>
      <c r="AH22" s="3">
        <f t="shared" si="0"/>
        <v>1.2742249999999999</v>
      </c>
      <c r="AI22" s="3">
        <f t="shared" si="1"/>
        <v>0.77241428571428572</v>
      </c>
      <c r="AJ22" s="14"/>
    </row>
    <row r="23" spans="1:36">
      <c r="A23" s="25" t="s">
        <v>30</v>
      </c>
      <c r="B23" s="22" t="str">
        <f>INDEX(Table1[#All], MATCH($A23, ameco_2024_data!$A:$A, 0), MATCH(B$2, ameco_2024_data!$1:$1, 0))</f>
        <v>Poland</v>
      </c>
      <c r="C23" s="15">
        <f>INDEX(Table1[#All], MATCH($A23, ameco_2024_data!$A:$A, 0), MATCH(C$2, ameco_2024_data!$1:$1, 0))</f>
        <v>53.659399999999998</v>
      </c>
      <c r="D23" s="12">
        <f>INDEX(Table1[#All], MATCH($A23, ameco_2024_data!$A:$A, 0), MATCH(D$2, ameco_2024_data!$1:$1, 0))</f>
        <v>-5.3969597</v>
      </c>
      <c r="E23" s="12">
        <f>INDEX(Table1[#All], MATCH($A23, ameco_2024_data!$A:$A, 0), MATCH(E$2, ameco_2024_data!$1:$1, 0))</f>
        <v>-2.6137000000000001</v>
      </c>
      <c r="G23" s="12" cm="1">
        <f t="array" ref="G23">IF(INDEX(results_spb!$A$1:$Y$100,
          MATCH(1, (results_spb!$A$1:$A$100 = table_all!$B23) * (results_spb!$C$1:$C$100 = table_all!G$1), 0),
          MATCH(table_all!G$2, results_spb!$1:$1, 0)) = 0,
   "...",
   INDEX(results_spb!$A$1:$Y$100,
         MATCH(1, (results_spb!$A$1:$A$100 = table_all!$B23) * (results_spb!$C$1:$C$100 = table_all!G$1), 0),
         MATCH(table_all!G$2, results_spb!$1:$1, 0)))</f>
        <v>-3.9E-2</v>
      </c>
      <c r="H23" s="12" cm="1">
        <f t="array" ref="H23">IF(INDEX(results_spb!$A$1:$Y$100,
          MATCH(1, (results_spb!$A$1:$A$100 = table_all!$B23) * (results_spb!$C$1:$C$100 = table_all!H$1), 0),
          MATCH(table_all!H$2, results_spb!$1:$1, 0)) = 0,
   "...",
   INDEX(results_spb!$A$1:$Y$100,
         MATCH(1, (results_spb!$A$1:$A$100 = table_all!$B23) * (results_spb!$C$1:$C$100 = table_all!H$1), 0),
         MATCH(table_all!H$2, results_spb!$1:$1, 0)))</f>
        <v>0.35099999999999998</v>
      </c>
      <c r="J23" s="12" cm="1">
        <f t="array" ref="J23">IF(INDEX(results_spb!$A$1:$Y$100,
          MATCH(1, (results_spb!$A$1:$A$100 = table_all!$B23) * (results_spb!$C$1:$C$100 = table_all!J$1), 0),
          MATCH(table_all!J$2, results_spb!$1:$1, 0)) = 0,
   "...",
   INDEX(results_spb!$A$1:$Y$100,
         MATCH(1, (results_spb!$A$1:$A$100 = table_all!$B23) * (results_spb!$C$1:$C$100 = table_all!J$1), 0),
         MATCH(table_all!J$2, results_spb!$1:$1, 0)))</f>
        <v>0.32600000000000001</v>
      </c>
      <c r="K23" s="12" cm="1">
        <f t="array" ref="K23">IF(INDEX(results_spb!$A$1:$Y$100,
          MATCH(1, (results_spb!$A$1:$A$100 = table_all!$B23) * (results_spb!$C$1:$C$100 = table_all!K$1), 0),
          MATCH(table_all!K$2, results_spb!$1:$1, 0)) = 0,
   "...",
   INDEX(results_spb!$A$1:$Y$100,
         MATCH(1, (results_spb!$A$1:$A$100 = table_all!$B23) * (results_spb!$C$1:$C$100 = table_all!K$1), 0),
         MATCH(table_all!K$2, results_spb!$1:$1, 0)))</f>
        <v>0.67500000000000004</v>
      </c>
      <c r="M23" s="12" cm="1">
        <f t="array" ref="M23">IF(INDEX(results_spb!$A$1:$Y$100,
          MATCH(1, (results_spb!$A$1:$A$100 = table_all!$B23) * (results_spb!$C$1:$C$100 = table_all!M$1), 0),
          MATCH(table_all!M$2, results_spb!$1:$1, 0)) = 0,
   "...",
   INDEX(results_spb!$A$1:$Y$100,
         MATCH(1, (results_spb!$A$1:$A$100 = table_all!$B23) * (results_spb!$C$1:$C$100 = table_all!M$1), 0),
         MATCH(table_all!M$2, results_spb!$1:$1, 0)))</f>
        <v>0.33200000000000002</v>
      </c>
      <c r="N23" s="12" cm="1">
        <f t="array" ref="N23">IF(INDEX(results_spb!$A$1:$Y$100,
          MATCH(1, (results_spb!$A$1:$A$100 = table_all!$B23) * (results_spb!$C$1:$C$100 = table_all!N$1), 0),
          MATCH(table_all!N$2, results_spb!$1:$1, 0)) = 0,
   "...",
   INDEX(results_spb!$A$1:$Y$100,
         MATCH(1, (results_spb!$A$1:$A$100 = table_all!$B23) * (results_spb!$C$1:$C$100 = table_all!N$1), 0),
         MATCH(table_all!N$2, results_spb!$1:$1, 0)))</f>
        <v>0.65800000000000003</v>
      </c>
      <c r="P23" s="12" cm="1">
        <f t="array" ref="P23">IF(INDEX(results_spb!$A$1:$Y$100,
          MATCH(1, (results_spb!$A$1:$A$100 = table_all!$B23) * (results_spb!$C$1:$C$100 = table_all!P$1), 0),
          MATCH(table_all!P$2, results_spb!$1:$1, 0)) = 0,
   "...",
   INDEX(results_spb!$A$1:$Y$100,
         MATCH(1, (results_spb!$A$1:$A$100 = table_all!$B23) * (results_spb!$C$1:$C$100 = table_all!P$1), 0),
         MATCH(table_all!P$2, results_spb!$1:$1, 0)))</f>
        <v>2E-3</v>
      </c>
      <c r="Q23" s="12" cm="1">
        <f t="array" ref="Q23">IF(INDEX(results_spb!$A$1:$Y$100,
          MATCH(1, (results_spb!$A$1:$A$100 = table_all!$B23) * (results_spb!$C$1:$C$100 = table_all!Q$1), 0),
          MATCH(table_all!Q$2, results_spb!$1:$1, 0)) = 0,
   "...",
   INDEX(results_spb!$A$1:$Y$100,
         MATCH(1, (results_spb!$A$1:$A$100 = table_all!$B23) * (results_spb!$C$1:$C$100 = table_all!Q$1), 0),
         MATCH(table_all!Q$2, results_spb!$1:$1, 0)))</f>
        <v>0.38600000000000001</v>
      </c>
      <c r="S23" s="12" cm="1">
        <f t="array" ref="S23">IF(INDEX(results_spb!$A$1:$Y$100,
          MATCH(1, (results_spb!$A$1:$A$100 = table_all!$B23) * (results_spb!$C$1:$C$100 = table_all!S$1), 0),
          MATCH(table_all!S$2, results_spb!$1:$1, 0)) = 0,
   "...",
   INDEX(results_spb!$A$1:$Y$100,
         MATCH(1, (results_spb!$A$1:$A$100 = table_all!$B23) * (results_spb!$C$1:$C$100 = table_all!S$1), 0),
         MATCH(table_all!S$2, results_spb!$1:$1, 0)))</f>
        <v>0.60899999999999999</v>
      </c>
      <c r="T23" s="12" cm="1">
        <f t="array" ref="T23">IF(INDEX(results_spb!$A$1:$Y$100,
          MATCH(1, (results_spb!$A$1:$A$100 = table_all!$B23) * (results_spb!$C$1:$C$100 = table_all!T$1), 0),
          MATCH(table_all!T$2, results_spb!$1:$1, 0)) = 0,
   "...",
   INDEX(results_spb!$A$1:$Y$100,
         MATCH(1, (results_spb!$A$1:$A$100 = table_all!$B23) * (results_spb!$C$1:$C$100 = table_all!T$1), 0),
         MATCH(table_all!T$2, results_spb!$1:$1, 0)))</f>
        <v>0.81699999999999995</v>
      </c>
      <c r="V23" s="12" cm="1">
        <f t="array" ref="V23">IF(INDEX(results_spb!$A$1:$Y$100,
          MATCH(1, (results_spb!$A$1:$A$100 = table_all!$B23) * (results_spb!$C$1:$C$100 = table_all!V$1), 0),
          MATCH(table_all!V$2, results_spb!$1:$1, 0)) = 0,
   "...",
   INDEX(results_spb!$A$1:$Y$100,
         MATCH(1, (results_spb!$A$1:$A$100 = table_all!$B23) * (results_spb!$C$1:$C$100 = table_all!V$1), 0),
         MATCH(table_all!V$2, results_spb!$1:$1, 0)))</f>
        <v>0.49199999999999999</v>
      </c>
      <c r="W23" s="12" cm="1">
        <f t="array" ref="W23">IF(INDEX(results_spb!$A$1:$Y$100,
          MATCH(1, (results_spb!$A$1:$A$100 = table_all!$B23) * (results_spb!$C$1:$C$100 = table_all!W$1), 0),
          MATCH(table_all!W$2, results_spb!$1:$1, 0)) = 0,
   "...",
   INDEX(results_spb!$A$1:$Y$100,
         MATCH(1, (results_spb!$A$1:$A$100 = table_all!$B23) * (results_spb!$C$1:$C$100 = table_all!W$1), 0),
         MATCH(table_all!W$2, results_spb!$1:$1, 0)))</f>
        <v>0.53300000000000003</v>
      </c>
      <c r="Y23" s="12" t="str" cm="1">
        <f t="array" ref="Y23">IF(INDEX(results_spb!$A$1:$Y$100,
          MATCH(1, (results_spb!$A$1:$A$100 = table_all!$B23) * (results_spb!$C$1:$C$100 = table_all!Y$1), 0),
          MATCH(table_all!Y$2, results_spb!$1:$1, 0)) = 0,
   "...",
   INDEX(results_spb!$A$1:$Y$100,
         MATCH(1, (results_spb!$A$1:$A$100 = table_all!$B23) * (results_spb!$C$1:$C$100 = table_all!Y$1), 0),
         MATCH(table_all!Y$2, results_spb!$1:$1, 0)))</f>
        <v>...</v>
      </c>
      <c r="Z23" s="12" t="str" cm="1">
        <f t="array" ref="Z23">IF(INDEX(results_spb!$A$1:$Y$100,
          MATCH(1, (results_spb!$A$1:$A$100 = table_all!$B23) * (results_spb!$C$1:$C$100 = table_all!Z$1), 0),
          MATCH(table_all!Z$2, results_spb!$1:$1, 0)) = 0,
   "...",
   INDEX(results_spb!$A$1:$Y$100,
         MATCH(1, (results_spb!$A$1:$A$100 = table_all!$B23) * (results_spb!$C$1:$C$100 = table_all!Z$1), 0),
         MATCH(table_all!Z$2, results_spb!$1:$1, 0)))</f>
        <v>...</v>
      </c>
      <c r="AA23" s="14"/>
      <c r="AB23" s="12" t="str" cm="1">
        <f t="array" ref="AB23">IF(INDEX(results_spb!$A$1:$Y$100,
          MATCH(1, (results_spb!$A$1:$A$100 = table_all!$B23) * (results_spb!$C$1:$C$100 = table_all!AB$1), 0),
          MATCH(table_all!AB$2, results_spb!$1:$1, 0)) = 0,
   "...",
   INDEX(results_spb!$A$1:$Y$100,
         MATCH(1, (results_spb!$A$1:$A$100 = table_all!$B23) * (results_spb!$C$1:$C$100 = table_all!AB$1), 0),
         MATCH(table_all!AB$2, results_spb!$1:$1, 0)))</f>
        <v>...</v>
      </c>
      <c r="AC23" s="12" cm="1">
        <f t="array" ref="AC23">IF(INDEX(results_spb!$A$1:$Y$100,
          MATCH(1, (results_spb!$A$1:$A$100 = table_all!$B23) * (results_spb!$C$1:$C$100 = table_all!AC$1), 0),
          MATCH(table_all!AC$2, results_spb!$1:$1, 0)) = 0,
   "...",
   INDEX(results_spb!$A$1:$Y$100,
         MATCH(1, (results_spb!$A$1:$A$100 = table_all!$B23) * (results_spb!$C$1:$C$100 = table_all!AC$1), 0),
         MATCH(table_all!AC$2, results_spb!$1:$1, 0)))</f>
        <v>0.89500000000000002</v>
      </c>
      <c r="AD23" s="14"/>
      <c r="AE23" s="12">
        <f t="shared" si="2"/>
        <v>0.60899999999999999</v>
      </c>
      <c r="AF23" s="12">
        <f t="shared" si="2"/>
        <v>0.89500000000000002</v>
      </c>
      <c r="AG23" s="14"/>
      <c r="AH23" s="3">
        <f t="shared" si="0"/>
        <v>0.80567500000000003</v>
      </c>
      <c r="AI23" s="3">
        <f t="shared" si="1"/>
        <v>0.50124285714285721</v>
      </c>
    </row>
    <row r="24" spans="1:36">
      <c r="A24" s="25" t="s">
        <v>29</v>
      </c>
      <c r="B24" s="22" t="str">
        <f>INDEX(Table1[#All], MATCH($A24, ameco_2024_data!$A:$A, 0), MATCH(B$2, ameco_2024_data!$1:$1, 0))</f>
        <v>Malta</v>
      </c>
      <c r="C24" s="15">
        <f>INDEX(Table1[#All], MATCH($A24, ameco_2024_data!$A:$A, 0), MATCH(C$2, ameco_2024_data!$1:$1, 0))</f>
        <v>52.027200000000001</v>
      </c>
      <c r="D24" s="12">
        <f>INDEX(Table1[#All], MATCH($A24, ameco_2024_data!$A:$A, 0), MATCH(D$2, ameco_2024_data!$1:$1, 0))</f>
        <v>-4.3425624999999997</v>
      </c>
      <c r="E24" s="12">
        <f>INDEX(Table1[#All], MATCH($A24, ameco_2024_data!$A:$A, 0), MATCH(E$2, ameco_2024_data!$1:$1, 0))</f>
        <v>-2.8972000000000002</v>
      </c>
      <c r="G24" s="12" cm="1">
        <f t="array" ref="G24">IF(INDEX(results_spb!$A$1:$Y$100,
          MATCH(1, (results_spb!$A$1:$A$100 = table_all!$B24) * (results_spb!$C$1:$C$100 = table_all!G$1), 0),
          MATCH(table_all!G$2, results_spb!$1:$1, 0)) = 0,
   "...",
   INDEX(results_spb!$A$1:$Y$100,
         MATCH(1, (results_spb!$A$1:$A$100 = table_all!$B24) * (results_spb!$C$1:$C$100 = table_all!G$1), 0),
         MATCH(table_all!G$2, results_spb!$1:$1, 0)))</f>
        <v>-2.2669999999999999</v>
      </c>
      <c r="H24" s="12" cm="1">
        <f t="array" ref="H24">IF(INDEX(results_spb!$A$1:$Y$100,
          MATCH(1, (results_spb!$A$1:$A$100 = table_all!$B24) * (results_spb!$C$1:$C$100 = table_all!H$1), 0),
          MATCH(table_all!H$2, results_spb!$1:$1, 0)) = 0,
   "...",
   INDEX(results_spb!$A$1:$Y$100,
         MATCH(1, (results_spb!$A$1:$A$100 = table_all!$B24) * (results_spb!$C$1:$C$100 = table_all!H$1), 0),
         MATCH(table_all!H$2, results_spb!$1:$1, 0)))</f>
        <v>-1.6679999999999999</v>
      </c>
      <c r="J24" s="12" cm="1">
        <f t="array" ref="J24">IF(INDEX(results_spb!$A$1:$Y$100,
          MATCH(1, (results_spb!$A$1:$A$100 = table_all!$B24) * (results_spb!$C$1:$C$100 = table_all!J$1), 0),
          MATCH(table_all!J$2, results_spb!$1:$1, 0)) = 0,
   "...",
   INDEX(results_spb!$A$1:$Y$100,
         MATCH(1, (results_spb!$A$1:$A$100 = table_all!$B24) * (results_spb!$C$1:$C$100 = table_all!J$1), 0),
         MATCH(table_all!J$2, results_spb!$1:$1, 0)))</f>
        <v>-1.9550000000000001</v>
      </c>
      <c r="K24" s="12" cm="1">
        <f t="array" ref="K24">IF(INDEX(results_spb!$A$1:$Y$100,
          MATCH(1, (results_spb!$A$1:$A$100 = table_all!$B24) * (results_spb!$C$1:$C$100 = table_all!K$1), 0),
          MATCH(table_all!K$2, results_spb!$1:$1, 0)) = 0,
   "...",
   INDEX(results_spb!$A$1:$Y$100,
         MATCH(1, (results_spb!$A$1:$A$100 = table_all!$B24) * (results_spb!$C$1:$C$100 = table_all!K$1), 0),
         MATCH(table_all!K$2, results_spb!$1:$1, 0)))</f>
        <v>-1.391</v>
      </c>
      <c r="M24" s="12" cm="1">
        <f t="array" ref="M24">IF(INDEX(results_spb!$A$1:$Y$100,
          MATCH(1, (results_spb!$A$1:$A$100 = table_all!$B24) * (results_spb!$C$1:$C$100 = table_all!M$1), 0),
          MATCH(table_all!M$2, results_spb!$1:$1, 0)) = 0,
   "...",
   INDEX(results_spb!$A$1:$Y$100,
         MATCH(1, (results_spb!$A$1:$A$100 = table_all!$B24) * (results_spb!$C$1:$C$100 = table_all!M$1), 0),
         MATCH(table_all!M$2, results_spb!$1:$1, 0)))</f>
        <v>-1.88</v>
      </c>
      <c r="N24" s="12" cm="1">
        <f t="array" ref="N24">IF(INDEX(results_spb!$A$1:$Y$100,
          MATCH(1, (results_spb!$A$1:$A$100 = table_all!$B24) * (results_spb!$C$1:$C$100 = table_all!N$1), 0),
          MATCH(table_all!N$2, results_spb!$1:$1, 0)) = 0,
   "...",
   INDEX(results_spb!$A$1:$Y$100,
         MATCH(1, (results_spb!$A$1:$A$100 = table_all!$B24) * (results_spb!$C$1:$C$100 = table_all!N$1), 0),
         MATCH(table_all!N$2, results_spb!$1:$1, 0)))</f>
        <v>-1.341</v>
      </c>
      <c r="P24" s="12" cm="1">
        <f t="array" ref="P24">IF(INDEX(results_spb!$A$1:$Y$100,
          MATCH(1, (results_spb!$A$1:$A$100 = table_all!$B24) * (results_spb!$C$1:$C$100 = table_all!P$1), 0),
          MATCH(table_all!P$2, results_spb!$1:$1, 0)) = 0,
   "...",
   INDEX(results_spb!$A$1:$Y$100,
         MATCH(1, (results_spb!$A$1:$A$100 = table_all!$B24) * (results_spb!$C$1:$C$100 = table_all!P$1), 0),
         MATCH(table_all!P$2, results_spb!$1:$1, 0)))</f>
        <v>-2.238</v>
      </c>
      <c r="Q24" s="12" cm="1">
        <f t="array" ref="Q24">IF(INDEX(results_spb!$A$1:$Y$100,
          MATCH(1, (results_spb!$A$1:$A$100 = table_all!$B24) * (results_spb!$C$1:$C$100 = table_all!Q$1), 0),
          MATCH(table_all!Q$2, results_spb!$1:$1, 0)) = 0,
   "...",
   INDEX(results_spb!$A$1:$Y$100,
         MATCH(1, (results_spb!$A$1:$A$100 = table_all!$B24) * (results_spb!$C$1:$C$100 = table_all!Q$1), 0),
         MATCH(table_all!Q$2, results_spb!$1:$1, 0)))</f>
        <v>-1.643</v>
      </c>
      <c r="S24" s="12" cm="1">
        <f t="array" ref="S24">IF(INDEX(results_spb!$A$1:$Y$100,
          MATCH(1, (results_spb!$A$1:$A$100 = table_all!$B24) * (results_spb!$C$1:$C$100 = table_all!S$1), 0),
          MATCH(table_all!S$2, results_spb!$1:$1, 0)) = 0,
   "...",
   INDEX(results_spb!$A$1:$Y$100,
         MATCH(1, (results_spb!$A$1:$A$100 = table_all!$B24) * (results_spb!$C$1:$C$100 = table_all!S$1), 0),
         MATCH(table_all!S$2, results_spb!$1:$1, 0)))</f>
        <v>-1.9079999999999999</v>
      </c>
      <c r="T24" s="12" cm="1">
        <f t="array" ref="T24">IF(INDEX(results_spb!$A$1:$Y$100,
          MATCH(1, (results_spb!$A$1:$A$100 = table_all!$B24) * (results_spb!$C$1:$C$100 = table_all!T$1), 0),
          MATCH(table_all!T$2, results_spb!$1:$1, 0)) = 0,
   "...",
   INDEX(results_spb!$A$1:$Y$100,
         MATCH(1, (results_spb!$A$1:$A$100 = table_all!$B24) * (results_spb!$C$1:$C$100 = table_all!T$1), 0),
         MATCH(table_all!T$2, results_spb!$1:$1, 0)))</f>
        <v>-1.367</v>
      </c>
      <c r="V24" s="12" cm="1">
        <f t="array" ref="V24">IF(INDEX(results_spb!$A$1:$Y$100,
          MATCH(1, (results_spb!$A$1:$A$100 = table_all!$B24) * (results_spb!$C$1:$C$100 = table_all!V$1), 0),
          MATCH(table_all!V$2, results_spb!$1:$1, 0)) = 0,
   "...",
   INDEX(results_spb!$A$1:$Y$100,
         MATCH(1, (results_spb!$A$1:$A$100 = table_all!$B24) * (results_spb!$C$1:$C$100 = table_all!V$1), 0),
         MATCH(table_all!V$2, results_spb!$1:$1, 0)))</f>
        <v>-1.2529999999999999</v>
      </c>
      <c r="W24" s="12" cm="1">
        <f t="array" ref="W24">IF(INDEX(results_spb!$A$1:$Y$100,
          MATCH(1, (results_spb!$A$1:$A$100 = table_all!$B24) * (results_spb!$C$1:$C$100 = table_all!W$1), 0),
          MATCH(table_all!W$2, results_spb!$1:$1, 0)) = 0,
   "...",
   INDEX(results_spb!$A$1:$Y$100,
         MATCH(1, (results_spb!$A$1:$A$100 = table_all!$B24) * (results_spb!$C$1:$C$100 = table_all!W$1), 0),
         MATCH(table_all!W$2, results_spb!$1:$1, 0)))</f>
        <v>-1</v>
      </c>
      <c r="Y24" s="12" t="str" cm="1">
        <f t="array" ref="Y24">IF(INDEX(results_spb!$A$1:$Y$100,
          MATCH(1, (results_spb!$A$1:$A$100 = table_all!$B24) * (results_spb!$C$1:$C$100 = table_all!Y$1), 0),
          MATCH(table_all!Y$2, results_spb!$1:$1, 0)) = 0,
   "...",
   INDEX(results_spb!$A$1:$Y$100,
         MATCH(1, (results_spb!$A$1:$A$100 = table_all!$B24) * (results_spb!$C$1:$C$100 = table_all!Y$1), 0),
         MATCH(table_all!Y$2, results_spb!$1:$1, 0)))</f>
        <v>...</v>
      </c>
      <c r="Z24" s="12" t="str" cm="1">
        <f t="array" ref="Z24">IF(INDEX(results_spb!$A$1:$Y$100,
          MATCH(1, (results_spb!$A$1:$A$100 = table_all!$B24) * (results_spb!$C$1:$C$100 = table_all!Z$1), 0),
          MATCH(table_all!Z$2, results_spb!$1:$1, 0)) = 0,
   "...",
   INDEX(results_spb!$A$1:$Y$100,
         MATCH(1, (results_spb!$A$1:$A$100 = table_all!$B24) * (results_spb!$C$1:$C$100 = table_all!Z$1), 0),
         MATCH(table_all!Z$2, results_spb!$1:$1, 0)))</f>
        <v>...</v>
      </c>
      <c r="AA24" s="14"/>
      <c r="AB24" s="12" cm="1">
        <f t="array" ref="AB24">IF(INDEX(results_spb!$A$1:$Y$100,
          MATCH(1, (results_spb!$A$1:$A$100 = table_all!$B24) * (results_spb!$C$1:$C$100 = table_all!AB$1), 0),
          MATCH(table_all!AB$2, results_spb!$1:$1, 0)) = 0,
   "...",
   INDEX(results_spb!$A$1:$Y$100,
         MATCH(1, (results_spb!$A$1:$A$100 = table_all!$B24) * (results_spb!$C$1:$C$100 = table_all!AB$1), 0),
         MATCH(table_all!AB$2, results_spb!$1:$1, 0)))</f>
        <v>-0.996</v>
      </c>
      <c r="AC24" s="12" t="str" cm="1">
        <f t="array" ref="AC24">IF(INDEX(results_spb!$A$1:$Y$100,
          MATCH(1, (results_spb!$A$1:$A$100 = table_all!$B24) * (results_spb!$C$1:$C$100 = table_all!AC$1), 0),
          MATCH(table_all!AC$2, results_spb!$1:$1, 0)) = 0,
   "...",
   INDEX(results_spb!$A$1:$Y$100,
         MATCH(1, (results_spb!$A$1:$A$100 = table_all!$B24) * (results_spb!$C$1:$C$100 = table_all!AC$1), 0),
         MATCH(table_all!AC$2, results_spb!$1:$1, 0)))</f>
        <v>...</v>
      </c>
      <c r="AD24" s="14"/>
      <c r="AE24" s="12">
        <f t="shared" si="2"/>
        <v>-0.996</v>
      </c>
      <c r="AF24" s="12">
        <f t="shared" si="2"/>
        <v>-1</v>
      </c>
      <c r="AG24" s="14"/>
      <c r="AH24" s="3">
        <f t="shared" si="0"/>
        <v>0.47530000000000006</v>
      </c>
      <c r="AI24" s="3">
        <f t="shared" si="1"/>
        <v>0.27102857142857145</v>
      </c>
    </row>
    <row r="25" spans="1:36">
      <c r="A25" s="25" t="s">
        <v>31</v>
      </c>
      <c r="B25" s="22" t="str">
        <f>INDEX(Table1[#All], MATCH($A25, ameco_2024_data!$A:$A, 0), MATCH(B$2, ameco_2024_data!$1:$1, 0))</f>
        <v>Romania</v>
      </c>
      <c r="C25" s="15">
        <f>INDEX(Table1[#All], MATCH($A25, ameco_2024_data!$A:$A, 0), MATCH(C$2, ameco_2024_data!$1:$1, 0))</f>
        <v>50.9101</v>
      </c>
      <c r="D25" s="12">
        <f>INDEX(Table1[#All], MATCH($A25, ameco_2024_data!$A:$A, 0), MATCH(D$2, ameco_2024_data!$1:$1, 0))</f>
        <v>-6.8675120999999999</v>
      </c>
      <c r="E25" s="12">
        <f>INDEX(Table1[#All], MATCH($A25, ameco_2024_data!$A:$A, 0), MATCH(E$2, ameco_2024_data!$1:$1, 0))</f>
        <v>-4.4069000000000003</v>
      </c>
      <c r="G25" s="12" cm="1">
        <f t="array" ref="G25">IF(INDEX(results_spb!$A$1:$Y$100,
          MATCH(1, (results_spb!$A$1:$A$100 = table_all!$B25) * (results_spb!$C$1:$C$100 = table_all!G$1), 0),
          MATCH(table_all!G$2, results_spb!$1:$1, 0)) = 0,
   "...",
   INDEX(results_spb!$A$1:$Y$100,
         MATCH(1, (results_spb!$A$1:$A$100 = table_all!$B25) * (results_spb!$C$1:$C$100 = table_all!G$1), 0),
         MATCH(table_all!G$2, results_spb!$1:$1, 0)))</f>
        <v>-0.67900000000000005</v>
      </c>
      <c r="H25" s="12" cm="1">
        <f t="array" ref="H25">IF(INDEX(results_spb!$A$1:$Y$100,
          MATCH(1, (results_spb!$A$1:$A$100 = table_all!$B25) * (results_spb!$C$1:$C$100 = table_all!H$1), 0),
          MATCH(table_all!H$2, results_spb!$1:$1, 0)) = 0,
   "...",
   INDEX(results_spb!$A$1:$Y$100,
         MATCH(1, (results_spb!$A$1:$A$100 = table_all!$B25) * (results_spb!$C$1:$C$100 = table_all!H$1), 0),
         MATCH(table_all!H$2, results_spb!$1:$1, 0)))</f>
        <v>6.4000000000000001E-2</v>
      </c>
      <c r="J25" s="12" cm="1">
        <f t="array" ref="J25">IF(INDEX(results_spb!$A$1:$Y$100,
          MATCH(1, (results_spb!$A$1:$A$100 = table_all!$B25) * (results_spb!$C$1:$C$100 = table_all!J$1), 0),
          MATCH(table_all!J$2, results_spb!$1:$1, 0)) = 0,
   "...",
   INDEX(results_spb!$A$1:$Y$100,
         MATCH(1, (results_spb!$A$1:$A$100 = table_all!$B25) * (results_spb!$C$1:$C$100 = table_all!J$1), 0),
         MATCH(table_all!J$2, results_spb!$1:$1, 0)))</f>
        <v>-0.33400000000000002</v>
      </c>
      <c r="K25" s="12" cm="1">
        <f t="array" ref="K25">IF(INDEX(results_spb!$A$1:$Y$100,
          MATCH(1, (results_spb!$A$1:$A$100 = table_all!$B25) * (results_spb!$C$1:$C$100 = table_all!K$1), 0),
          MATCH(table_all!K$2, results_spb!$1:$1, 0)) = 0,
   "...",
   INDEX(results_spb!$A$1:$Y$100,
         MATCH(1, (results_spb!$A$1:$A$100 = table_all!$B25) * (results_spb!$C$1:$C$100 = table_all!K$1), 0),
         MATCH(table_all!K$2, results_spb!$1:$1, 0)))</f>
        <v>0.378</v>
      </c>
      <c r="M25" s="12" cm="1">
        <f t="array" ref="M25">IF(INDEX(results_spb!$A$1:$Y$100,
          MATCH(1, (results_spb!$A$1:$A$100 = table_all!$B25) * (results_spb!$C$1:$C$100 = table_all!M$1), 0),
          MATCH(table_all!M$2, results_spb!$1:$1, 0)) = 0,
   "...",
   INDEX(results_spb!$A$1:$Y$100,
         MATCH(1, (results_spb!$A$1:$A$100 = table_all!$B25) * (results_spb!$C$1:$C$100 = table_all!M$1), 0),
         MATCH(table_all!M$2, results_spb!$1:$1, 0)))</f>
        <v>-0.30199999999999999</v>
      </c>
      <c r="N25" s="12" cm="1">
        <f t="array" ref="N25">IF(INDEX(results_spb!$A$1:$Y$100,
          MATCH(1, (results_spb!$A$1:$A$100 = table_all!$B25) * (results_spb!$C$1:$C$100 = table_all!N$1), 0),
          MATCH(table_all!N$2, results_spb!$1:$1, 0)) = 0,
   "...",
   INDEX(results_spb!$A$1:$Y$100,
         MATCH(1, (results_spb!$A$1:$A$100 = table_all!$B25) * (results_spb!$C$1:$C$100 = table_all!N$1), 0),
         MATCH(table_all!N$2, results_spb!$1:$1, 0)))</f>
        <v>0.378</v>
      </c>
      <c r="P25" s="12" cm="1">
        <f t="array" ref="P25">IF(INDEX(results_spb!$A$1:$Y$100,
          MATCH(1, (results_spb!$A$1:$A$100 = table_all!$B25) * (results_spb!$C$1:$C$100 = table_all!P$1), 0),
          MATCH(table_all!P$2, results_spb!$1:$1, 0)) = 0,
   "...",
   INDEX(results_spb!$A$1:$Y$100,
         MATCH(1, (results_spb!$A$1:$A$100 = table_all!$B25) * (results_spb!$C$1:$C$100 = table_all!P$1), 0),
         MATCH(table_all!P$2, results_spb!$1:$1, 0)))</f>
        <v>-0.64300000000000002</v>
      </c>
      <c r="Q25" s="12" cm="1">
        <f t="array" ref="Q25">IF(INDEX(results_spb!$A$1:$Y$100,
          MATCH(1, (results_spb!$A$1:$A$100 = table_all!$B25) * (results_spb!$C$1:$C$100 = table_all!Q$1), 0),
          MATCH(table_all!Q$2, results_spb!$1:$1, 0)) = 0,
   "...",
   INDEX(results_spb!$A$1:$Y$100,
         MATCH(1, (results_spb!$A$1:$A$100 = table_all!$B25) * (results_spb!$C$1:$C$100 = table_all!Q$1), 0),
         MATCH(table_all!Q$2, results_spb!$1:$1, 0)))</f>
        <v>9.7000000000000003E-2</v>
      </c>
      <c r="S25" s="12" cm="1">
        <f t="array" ref="S25">IF(INDEX(results_spb!$A$1:$Y$100,
          MATCH(1, (results_spb!$A$1:$A$100 = table_all!$B25) * (results_spb!$C$1:$C$100 = table_all!S$1), 0),
          MATCH(table_all!S$2, results_spb!$1:$1, 0)) = 0,
   "...",
   INDEX(results_spb!$A$1:$Y$100,
         MATCH(1, (results_spb!$A$1:$A$100 = table_all!$B25) * (results_spb!$C$1:$C$100 = table_all!S$1), 0),
         MATCH(table_all!S$2, results_spb!$1:$1, 0)))</f>
        <v>5.8999999999999997E-2</v>
      </c>
      <c r="T25" s="12" cm="1">
        <f t="array" ref="T25">IF(INDEX(results_spb!$A$1:$Y$100,
          MATCH(1, (results_spb!$A$1:$A$100 = table_all!$B25) * (results_spb!$C$1:$C$100 = table_all!T$1), 0),
          MATCH(table_all!T$2, results_spb!$1:$1, 0)) = 0,
   "...",
   INDEX(results_spb!$A$1:$Y$100,
         MATCH(1, (results_spb!$A$1:$A$100 = table_all!$B25) * (results_spb!$C$1:$C$100 = table_all!T$1), 0),
         MATCH(table_all!T$2, results_spb!$1:$1, 0)))</f>
        <v>0.83899999999999997</v>
      </c>
      <c r="V25" s="12" cm="1">
        <f t="array" ref="V25">IF(INDEX(results_spb!$A$1:$Y$100,
          MATCH(1, (results_spb!$A$1:$A$100 = table_all!$B25) * (results_spb!$C$1:$C$100 = table_all!V$1), 0),
          MATCH(table_all!V$2, results_spb!$1:$1, 0)) = 0,
   "...",
   INDEX(results_spb!$A$1:$Y$100,
         MATCH(1, (results_spb!$A$1:$A$100 = table_all!$B25) * (results_spb!$C$1:$C$100 = table_all!V$1), 0),
         MATCH(table_all!V$2, results_spb!$1:$1, 0)))</f>
        <v>0.129</v>
      </c>
      <c r="W25" s="12" cm="1">
        <f t="array" ref="W25">IF(INDEX(results_spb!$A$1:$Y$100,
          MATCH(1, (results_spb!$A$1:$A$100 = table_all!$B25) * (results_spb!$C$1:$C$100 = table_all!W$1), 0),
          MATCH(table_all!W$2, results_spb!$1:$1, 0)) = 0,
   "...",
   INDEX(results_spb!$A$1:$Y$100,
         MATCH(1, (results_spb!$A$1:$A$100 = table_all!$B25) * (results_spb!$C$1:$C$100 = table_all!W$1), 0),
         MATCH(table_all!W$2, results_spb!$1:$1, 0)))</f>
        <v>0.36</v>
      </c>
      <c r="Y25" s="12" t="str" cm="1">
        <f t="array" ref="Y25">IF(INDEX(results_spb!$A$1:$Y$100,
          MATCH(1, (results_spb!$A$1:$A$100 = table_all!$B25) * (results_spb!$C$1:$C$100 = table_all!Y$1), 0),
          MATCH(table_all!Y$2, results_spb!$1:$1, 0)) = 0,
   "...",
   INDEX(results_spb!$A$1:$Y$100,
         MATCH(1, (results_spb!$A$1:$A$100 = table_all!$B25) * (results_spb!$C$1:$C$100 = table_all!Y$1), 0),
         MATCH(table_all!Y$2, results_spb!$1:$1, 0)))</f>
        <v>...</v>
      </c>
      <c r="Z25" s="12" t="str" cm="1">
        <f t="array" ref="Z25">IF(INDEX(results_spb!$A$1:$Y$100,
          MATCH(1, (results_spb!$A$1:$A$100 = table_all!$B25) * (results_spb!$C$1:$C$100 = table_all!Z$1), 0),
          MATCH(table_all!Z$2, results_spb!$1:$1, 0)) = 0,
   "...",
   INDEX(results_spb!$A$1:$Y$100,
         MATCH(1, (results_spb!$A$1:$A$100 = table_all!$B25) * (results_spb!$C$1:$C$100 = table_all!Z$1), 0),
         MATCH(table_all!Z$2, results_spb!$1:$1, 0)))</f>
        <v>...</v>
      </c>
      <c r="AA25" s="14"/>
      <c r="AB25" s="12" t="str" cm="1">
        <f t="array" ref="AB25">IF(INDEX(results_spb!$A$1:$Y$100,
          MATCH(1, (results_spb!$A$1:$A$100 = table_all!$B25) * (results_spb!$C$1:$C$100 = table_all!AB$1), 0),
          MATCH(table_all!AB$2, results_spb!$1:$1, 0)) = 0,
   "...",
   INDEX(results_spb!$A$1:$Y$100,
         MATCH(1, (results_spb!$A$1:$A$100 = table_all!$B25) * (results_spb!$C$1:$C$100 = table_all!AB$1), 0),
         MATCH(table_all!AB$2, results_spb!$1:$1, 0)))</f>
        <v>...</v>
      </c>
      <c r="AC25" s="12" t="str" cm="1">
        <f t="array" ref="AC25">IF(INDEX(results_spb!$A$1:$Y$100,
          MATCH(1, (results_spb!$A$1:$A$100 = table_all!$B25) * (results_spb!$C$1:$C$100 = table_all!AC$1), 0),
          MATCH(table_all!AC$2, results_spb!$1:$1, 0)) = 0,
   "...",
   INDEX(results_spb!$A$1:$Y$100,
         MATCH(1, (results_spb!$A$1:$A$100 = table_all!$B25) * (results_spb!$C$1:$C$100 = table_all!AC$1), 0),
         MATCH(table_all!AC$2, results_spb!$1:$1, 0)))</f>
        <v>...</v>
      </c>
      <c r="AD25" s="14"/>
      <c r="AE25" s="12">
        <f t="shared" si="2"/>
        <v>0.129</v>
      </c>
      <c r="AF25" s="12">
        <f t="shared" si="2"/>
        <v>0.83899999999999997</v>
      </c>
      <c r="AG25" s="14"/>
      <c r="AH25" s="3">
        <f t="shared" si="0"/>
        <v>1.133975</v>
      </c>
      <c r="AI25" s="3">
        <f t="shared" si="1"/>
        <v>0.74941428571428581</v>
      </c>
    </row>
    <row r="26" spans="1:36">
      <c r="A26" s="25" t="s">
        <v>40</v>
      </c>
      <c r="B26" s="22" t="str">
        <f>INDEX(Table1[#All], MATCH($A26, ameco_2024_data!$A:$A, 0), MATCH(B$2, ameco_2024_data!$1:$1, 0))</f>
        <v>Netherlands</v>
      </c>
      <c r="C26" s="15">
        <f>INDEX(Table1[#All], MATCH($A26, ameco_2024_data!$A:$A, 0), MATCH(C$2, ameco_2024_data!$1:$1, 0))</f>
        <v>47.061199999999999</v>
      </c>
      <c r="D26" s="12">
        <f>INDEX(Table1[#All], MATCH($A26, ameco_2024_data!$A:$A, 0), MATCH(D$2, ameco_2024_data!$1:$1, 0))</f>
        <v>-1.9866604000000001</v>
      </c>
      <c r="E26" s="12">
        <f>INDEX(Table1[#All], MATCH($A26, ameco_2024_data!$A:$A, 0), MATCH(E$2, ameco_2024_data!$1:$1, 0))</f>
        <v>-0.64170000000000005</v>
      </c>
      <c r="G26" s="12" cm="1">
        <f t="array" ref="G26">IF(INDEX(results_spb!$A$1:$Y$100,
          MATCH(1, (results_spb!$A$1:$A$100 = table_all!$B26) * (results_spb!$C$1:$C$100 = table_all!G$1), 0),
          MATCH(table_all!G$2, results_spb!$1:$1, 0)) = 0,
   "...",
   INDEX(results_spb!$A$1:$Y$100,
         MATCH(1, (results_spb!$A$1:$A$100 = table_all!$B26) * (results_spb!$C$1:$C$100 = table_all!G$1), 0),
         MATCH(table_all!G$2, results_spb!$1:$1, 0)))</f>
        <v>-0.93100000000000005</v>
      </c>
      <c r="H26" s="12" cm="1">
        <f t="array" ref="H26">IF(INDEX(results_spb!$A$1:$Y$100,
          MATCH(1, (results_spb!$A$1:$A$100 = table_all!$B26) * (results_spb!$C$1:$C$100 = table_all!H$1), 0),
          MATCH(table_all!H$2, results_spb!$1:$1, 0)) = 0,
   "...",
   INDEX(results_spb!$A$1:$Y$100,
         MATCH(1, (results_spb!$A$1:$A$100 = table_all!$B26) * (results_spb!$C$1:$C$100 = table_all!H$1), 0),
         MATCH(table_all!H$2, results_spb!$1:$1, 0)))</f>
        <v>-0.93700000000000006</v>
      </c>
      <c r="J26" s="12" cm="1">
        <f t="array" ref="J26">IF(INDEX(results_spb!$A$1:$Y$100,
          MATCH(1, (results_spb!$A$1:$A$100 = table_all!$B26) * (results_spb!$C$1:$C$100 = table_all!J$1), 0),
          MATCH(table_all!J$2, results_spb!$1:$1, 0)) = 0,
   "...",
   INDEX(results_spb!$A$1:$Y$100,
         MATCH(1, (results_spb!$A$1:$A$100 = table_all!$B26) * (results_spb!$C$1:$C$100 = table_all!J$1), 0),
         MATCH(table_all!J$2, results_spb!$1:$1, 0)))</f>
        <v>-0.63600000000000001</v>
      </c>
      <c r="K26" s="12" cm="1">
        <f t="array" ref="K26">IF(INDEX(results_spb!$A$1:$Y$100,
          MATCH(1, (results_spb!$A$1:$A$100 = table_all!$B26) * (results_spb!$C$1:$C$100 = table_all!K$1), 0),
          MATCH(table_all!K$2, results_spb!$1:$1, 0)) = 0,
   "...",
   INDEX(results_spb!$A$1:$Y$100,
         MATCH(1, (results_spb!$A$1:$A$100 = table_all!$B26) * (results_spb!$C$1:$C$100 = table_all!K$1), 0),
         MATCH(table_all!K$2, results_spb!$1:$1, 0)))</f>
        <v>-0.67</v>
      </c>
      <c r="M26" s="12" cm="1">
        <f t="array" ref="M26">IF(INDEX(results_spb!$A$1:$Y$100,
          MATCH(1, (results_spb!$A$1:$A$100 = table_all!$B26) * (results_spb!$C$1:$C$100 = table_all!M$1), 0),
          MATCH(table_all!M$2, results_spb!$1:$1, 0)) = 0,
   "...",
   INDEX(results_spb!$A$1:$Y$100,
         MATCH(1, (results_spb!$A$1:$A$100 = table_all!$B26) * (results_spb!$C$1:$C$100 = table_all!M$1), 0),
         MATCH(table_all!M$2, results_spb!$1:$1, 0)))</f>
        <v>-0.55700000000000005</v>
      </c>
      <c r="N26" s="12" cm="1">
        <f t="array" ref="N26">IF(INDEX(results_spb!$A$1:$Y$100,
          MATCH(1, (results_spb!$A$1:$A$100 = table_all!$B26) * (results_spb!$C$1:$C$100 = table_all!N$1), 0),
          MATCH(table_all!N$2, results_spb!$1:$1, 0)) = 0,
   "...",
   INDEX(results_spb!$A$1:$Y$100,
         MATCH(1, (results_spb!$A$1:$A$100 = table_all!$B26) * (results_spb!$C$1:$C$100 = table_all!N$1), 0),
         MATCH(table_all!N$2, results_spb!$1:$1, 0)))</f>
        <v>-0.623</v>
      </c>
      <c r="P26" s="12" cm="1">
        <f t="array" ref="P26">IF(INDEX(results_spb!$A$1:$Y$100,
          MATCH(1, (results_spb!$A$1:$A$100 = table_all!$B26) * (results_spb!$C$1:$C$100 = table_all!P$1), 0),
          MATCH(table_all!P$2, results_spb!$1:$1, 0)) = 0,
   "...",
   INDEX(results_spb!$A$1:$Y$100,
         MATCH(1, (results_spb!$A$1:$A$100 = table_all!$B26) * (results_spb!$C$1:$C$100 = table_all!P$1), 0),
         MATCH(table_all!P$2, results_spb!$1:$1, 0)))</f>
        <v>-0.90800000000000003</v>
      </c>
      <c r="Q26" s="12" cm="1">
        <f t="array" ref="Q26">IF(INDEX(results_spb!$A$1:$Y$100,
          MATCH(1, (results_spb!$A$1:$A$100 = table_all!$B26) * (results_spb!$C$1:$C$100 = table_all!Q$1), 0),
          MATCH(table_all!Q$2, results_spb!$1:$1, 0)) = 0,
   "...",
   INDEX(results_spb!$A$1:$Y$100,
         MATCH(1, (results_spb!$A$1:$A$100 = table_all!$B26) * (results_spb!$C$1:$C$100 = table_all!Q$1), 0),
         MATCH(table_all!Q$2, results_spb!$1:$1, 0)))</f>
        <v>-0.91600000000000004</v>
      </c>
      <c r="S26" s="12" cm="1">
        <f t="array" ref="S26">IF(INDEX(results_spb!$A$1:$Y$100,
          MATCH(1, (results_spb!$A$1:$A$100 = table_all!$B26) * (results_spb!$C$1:$C$100 = table_all!S$1), 0),
          MATCH(table_all!S$2, results_spb!$1:$1, 0)) = 0,
   "...",
   INDEX(results_spb!$A$1:$Y$100,
         MATCH(1, (results_spb!$A$1:$A$100 = table_all!$B26) * (results_spb!$C$1:$C$100 = table_all!S$1), 0),
         MATCH(table_all!S$2, results_spb!$1:$1, 0)))</f>
        <v>-1.64</v>
      </c>
      <c r="T26" s="12" cm="1">
        <f t="array" ref="T26">IF(INDEX(results_spb!$A$1:$Y$100,
          MATCH(1, (results_spb!$A$1:$A$100 = table_all!$B26) * (results_spb!$C$1:$C$100 = table_all!T$1), 0),
          MATCH(table_all!T$2, results_spb!$1:$1, 0)) = 0,
   "...",
   INDEX(results_spb!$A$1:$Y$100,
         MATCH(1, (results_spb!$A$1:$A$100 = table_all!$B26) * (results_spb!$C$1:$C$100 = table_all!T$1), 0),
         MATCH(table_all!T$2, results_spb!$1:$1, 0)))</f>
        <v>-1.3919999999999999</v>
      </c>
      <c r="V26" s="12" cm="1">
        <f t="array" ref="V26">IF(INDEX(results_spb!$A$1:$Y$100,
          MATCH(1, (results_spb!$A$1:$A$100 = table_all!$B26) * (results_spb!$C$1:$C$100 = table_all!V$1), 0),
          MATCH(table_all!V$2, results_spb!$1:$1, 0)) = 0,
   "...",
   INDEX(results_spb!$A$1:$Y$100,
         MATCH(1, (results_spb!$A$1:$A$100 = table_all!$B26) * (results_spb!$C$1:$C$100 = table_all!V$1), 0),
         MATCH(table_all!V$2, results_spb!$1:$1, 0)))</f>
        <v>-0.28000000000000003</v>
      </c>
      <c r="W26" s="12" cm="1">
        <f t="array" ref="W26">IF(INDEX(results_spb!$A$1:$Y$100,
          MATCH(1, (results_spb!$A$1:$A$100 = table_all!$B26) * (results_spb!$C$1:$C$100 = table_all!W$1), 0),
          MATCH(table_all!W$2, results_spb!$1:$1, 0)) = 0,
   "...",
   INDEX(results_spb!$A$1:$Y$100,
         MATCH(1, (results_spb!$A$1:$A$100 = table_all!$B26) * (results_spb!$C$1:$C$100 = table_all!W$1), 0),
         MATCH(table_all!W$2, results_spb!$1:$1, 0)))</f>
        <v>-0.39200000000000002</v>
      </c>
      <c r="Y26" s="12" t="str" cm="1">
        <f t="array" ref="Y26">IF(INDEX(results_spb!$A$1:$Y$100,
          MATCH(1, (results_spb!$A$1:$A$100 = table_all!$B26) * (results_spb!$C$1:$C$100 = table_all!Y$1), 0),
          MATCH(table_all!Y$2, results_spb!$1:$1, 0)) = 0,
   "...",
   INDEX(results_spb!$A$1:$Y$100,
         MATCH(1, (results_spb!$A$1:$A$100 = table_all!$B26) * (results_spb!$C$1:$C$100 = table_all!Y$1), 0),
         MATCH(table_all!Y$2, results_spb!$1:$1, 0)))</f>
        <v>...</v>
      </c>
      <c r="Z26" s="12" t="str" cm="1">
        <f t="array" ref="Z26">IF(INDEX(results_spb!$A$1:$Y$100,
          MATCH(1, (results_spb!$A$1:$A$100 = table_all!$B26) * (results_spb!$C$1:$C$100 = table_all!Z$1), 0),
          MATCH(table_all!Z$2, results_spb!$1:$1, 0)) = 0,
   "...",
   INDEX(results_spb!$A$1:$Y$100,
         MATCH(1, (results_spb!$A$1:$A$100 = table_all!$B26) * (results_spb!$C$1:$C$100 = table_all!Z$1), 0),
         MATCH(table_all!Z$2, results_spb!$1:$1, 0)))</f>
        <v>...</v>
      </c>
      <c r="AA26" s="14"/>
      <c r="AB26" s="12" t="str" cm="1">
        <f t="array" ref="AB26">IF(INDEX(results_spb!$A$1:$Y$100,
          MATCH(1, (results_spb!$A$1:$A$100 = table_all!$B26) * (results_spb!$C$1:$C$100 = table_all!AB$1), 0),
          MATCH(table_all!AB$2, results_spb!$1:$1, 0)) = 0,
   "...",
   INDEX(results_spb!$A$1:$Y$100,
         MATCH(1, (results_spb!$A$1:$A$100 = table_all!$B26) * (results_spb!$C$1:$C$100 = table_all!AB$1), 0),
         MATCH(table_all!AB$2, results_spb!$1:$1, 0)))</f>
        <v>...</v>
      </c>
      <c r="AC26" s="12" t="str" cm="1">
        <f t="array" ref="AC26">IF(INDEX(results_spb!$A$1:$Y$100,
          MATCH(1, (results_spb!$A$1:$A$100 = table_all!$B26) * (results_spb!$C$1:$C$100 = table_all!AC$1), 0),
          MATCH(table_all!AC$2, results_spb!$1:$1, 0)) = 0,
   "...",
   INDEX(results_spb!$A$1:$Y$100,
         MATCH(1, (results_spb!$A$1:$A$100 = table_all!$B26) * (results_spb!$C$1:$C$100 = table_all!AC$1), 0),
         MATCH(table_all!AC$2, results_spb!$1:$1, 0)))</f>
        <v>...</v>
      </c>
      <c r="AD26" s="14"/>
      <c r="AE26" s="12">
        <f t="shared" si="2"/>
        <v>-0.28000000000000003</v>
      </c>
      <c r="AF26" s="12">
        <f t="shared" si="2"/>
        <v>-0.39200000000000002</v>
      </c>
      <c r="AG26" s="14"/>
      <c r="AH26" s="3">
        <f t="shared" si="0"/>
        <v>9.0425000000000005E-2</v>
      </c>
      <c r="AI26" s="3">
        <f t="shared" si="1"/>
        <v>3.5671428571428576E-2</v>
      </c>
    </row>
    <row r="27" spans="1:36">
      <c r="A27" s="25" t="s">
        <v>35</v>
      </c>
      <c r="B27" s="22" t="str">
        <f>INDEX(Table1[#All], MATCH($A27, ameco_2024_data!$A:$A, 0), MATCH(B$2, ameco_2024_data!$1:$1, 0))</f>
        <v>Czechia</v>
      </c>
      <c r="C27" s="15">
        <f>INDEX(Table1[#All], MATCH($A27, ameco_2024_data!$A:$A, 0), MATCH(C$2, ameco_2024_data!$1:$1, 0))</f>
        <v>45.2331</v>
      </c>
      <c r="D27" s="12">
        <f>INDEX(Table1[#All], MATCH($A27, ameco_2024_data!$A:$A, 0), MATCH(D$2, ameco_2024_data!$1:$1, 0))</f>
        <v>-2.3887532999999999</v>
      </c>
      <c r="E27" s="12">
        <f>INDEX(Table1[#All], MATCH($A27, ameco_2024_data!$A:$A, 0), MATCH(E$2, ameco_2024_data!$1:$1, 0))</f>
        <v>-9.01E-2</v>
      </c>
      <c r="G27" s="12" cm="1">
        <f t="array" ref="G27">IF(INDEX(results_spb!$A$1:$Y$100,
          MATCH(1, (results_spb!$A$1:$A$100 = table_all!$B27) * (results_spb!$C$1:$C$100 = table_all!G$1), 0),
          MATCH(table_all!G$2, results_spb!$1:$1, 0)) = 0,
   "...",
   INDEX(results_spb!$A$1:$Y$100,
         MATCH(1, (results_spb!$A$1:$A$100 = table_all!$B27) * (results_spb!$C$1:$C$100 = table_all!G$1), 0),
         MATCH(table_all!G$2, results_spb!$1:$1, 0)))</f>
        <v>-0.57499999999999996</v>
      </c>
      <c r="H27" s="12" cm="1">
        <f t="array" ref="H27">IF(INDEX(results_spb!$A$1:$Y$100,
          MATCH(1, (results_spb!$A$1:$A$100 = table_all!$B27) * (results_spb!$C$1:$C$100 = table_all!H$1), 0),
          MATCH(table_all!H$2, results_spb!$1:$1, 0)) = 0,
   "...",
   INDEX(results_spb!$A$1:$Y$100,
         MATCH(1, (results_spb!$A$1:$A$100 = table_all!$B27) * (results_spb!$C$1:$C$100 = table_all!H$1), 0),
         MATCH(table_all!H$2, results_spb!$1:$1, 0)))</f>
        <v>-0.36099999999999999</v>
      </c>
      <c r="J27" s="12" cm="1">
        <f t="array" ref="J27">IF(INDEX(results_spb!$A$1:$Y$100,
          MATCH(1, (results_spb!$A$1:$A$100 = table_all!$B27) * (results_spb!$C$1:$C$100 = table_all!J$1), 0),
          MATCH(table_all!J$2, results_spb!$1:$1, 0)) = 0,
   "...",
   INDEX(results_spb!$A$1:$Y$100,
         MATCH(1, (results_spb!$A$1:$A$100 = table_all!$B27) * (results_spb!$C$1:$C$100 = table_all!J$1), 0),
         MATCH(table_all!J$2, results_spb!$1:$1, 0)))</f>
        <v>-0.26600000000000001</v>
      </c>
      <c r="K27" s="12" cm="1">
        <f t="array" ref="K27">IF(INDEX(results_spb!$A$1:$Y$100,
          MATCH(1, (results_spb!$A$1:$A$100 = table_all!$B27) * (results_spb!$C$1:$C$100 = table_all!K$1), 0),
          MATCH(table_all!K$2, results_spb!$1:$1, 0)) = 0,
   "...",
   INDEX(results_spb!$A$1:$Y$100,
         MATCH(1, (results_spb!$A$1:$A$100 = table_all!$B27) * (results_spb!$C$1:$C$100 = table_all!K$1), 0),
         MATCH(table_all!K$2, results_spb!$1:$1, 0)))</f>
        <v>-8.5999999999999993E-2</v>
      </c>
      <c r="M27" s="12" cm="1">
        <f t="array" ref="M27">IF(INDEX(results_spb!$A$1:$Y$100,
          MATCH(1, (results_spb!$A$1:$A$100 = table_all!$B27) * (results_spb!$C$1:$C$100 = table_all!M$1), 0),
          MATCH(table_all!M$2, results_spb!$1:$1, 0)) = 0,
   "...",
   INDEX(results_spb!$A$1:$Y$100,
         MATCH(1, (results_spb!$A$1:$A$100 = table_all!$B27) * (results_spb!$C$1:$C$100 = table_all!M$1), 0),
         MATCH(table_all!M$2, results_spb!$1:$1, 0)))</f>
        <v>-0.20300000000000001</v>
      </c>
      <c r="N27" s="12" cm="1">
        <f t="array" ref="N27">IF(INDEX(results_spb!$A$1:$Y$100,
          MATCH(1, (results_spb!$A$1:$A$100 = table_all!$B27) * (results_spb!$C$1:$C$100 = table_all!N$1), 0),
          MATCH(table_all!N$2, results_spb!$1:$1, 0)) = 0,
   "...",
   INDEX(results_spb!$A$1:$Y$100,
         MATCH(1, (results_spb!$A$1:$A$100 = table_all!$B27) * (results_spb!$C$1:$C$100 = table_all!N$1), 0),
         MATCH(table_all!N$2, results_spb!$1:$1, 0)))</f>
        <v>-5.1999999999999998E-2</v>
      </c>
      <c r="P27" s="12" cm="1">
        <f t="array" ref="P27">IF(INDEX(results_spb!$A$1:$Y$100,
          MATCH(1, (results_spb!$A$1:$A$100 = table_all!$B27) * (results_spb!$C$1:$C$100 = table_all!P$1), 0),
          MATCH(table_all!P$2, results_spb!$1:$1, 0)) = 0,
   "...",
   INDEX(results_spb!$A$1:$Y$100,
         MATCH(1, (results_spb!$A$1:$A$100 = table_all!$B27) * (results_spb!$C$1:$C$100 = table_all!P$1), 0),
         MATCH(table_all!P$2, results_spb!$1:$1, 0)))</f>
        <v>-0.54800000000000004</v>
      </c>
      <c r="Q27" s="12" cm="1">
        <f t="array" ref="Q27">IF(INDEX(results_spb!$A$1:$Y$100,
          MATCH(1, (results_spb!$A$1:$A$100 = table_all!$B27) * (results_spb!$C$1:$C$100 = table_all!Q$1), 0),
          MATCH(table_all!Q$2, results_spb!$1:$1, 0)) = 0,
   "...",
   INDEX(results_spb!$A$1:$Y$100,
         MATCH(1, (results_spb!$A$1:$A$100 = table_all!$B27) * (results_spb!$C$1:$C$100 = table_all!Q$1), 0),
         MATCH(table_all!Q$2, results_spb!$1:$1, 0)))</f>
        <v>-0.33600000000000002</v>
      </c>
      <c r="S27" s="12" cm="1">
        <f t="array" ref="S27">IF(INDEX(results_spb!$A$1:$Y$100,
          MATCH(1, (results_spb!$A$1:$A$100 = table_all!$B27) * (results_spb!$C$1:$C$100 = table_all!S$1), 0),
          MATCH(table_all!S$2, results_spb!$1:$1, 0)) = 0,
   "...",
   INDEX(results_spb!$A$1:$Y$100,
         MATCH(1, (results_spb!$A$1:$A$100 = table_all!$B27) * (results_spb!$C$1:$C$100 = table_all!S$1), 0),
         MATCH(table_all!S$2, results_spb!$1:$1, 0)))</f>
        <v>-1.115</v>
      </c>
      <c r="T27" s="12" cm="1">
        <f t="array" ref="T27">IF(INDEX(results_spb!$A$1:$Y$100,
          MATCH(1, (results_spb!$A$1:$A$100 = table_all!$B27) * (results_spb!$C$1:$C$100 = table_all!T$1), 0),
          MATCH(table_all!T$2, results_spb!$1:$1, 0)) = 0,
   "...",
   INDEX(results_spb!$A$1:$Y$100,
         MATCH(1, (results_spb!$A$1:$A$100 = table_all!$B27) * (results_spb!$C$1:$C$100 = table_all!T$1), 0),
         MATCH(table_all!T$2, results_spb!$1:$1, 0)))</f>
        <v>-0.84</v>
      </c>
      <c r="V27" s="12" cm="1">
        <f t="array" ref="V27">IF(INDEX(results_spb!$A$1:$Y$100,
          MATCH(1, (results_spb!$A$1:$A$100 = table_all!$B27) * (results_spb!$C$1:$C$100 = table_all!V$1), 0),
          MATCH(table_all!V$2, results_spb!$1:$1, 0)) = 0,
   "...",
   INDEX(results_spb!$A$1:$Y$100,
         MATCH(1, (results_spb!$A$1:$A$100 = table_all!$B27) * (results_spb!$C$1:$C$100 = table_all!V$1), 0),
         MATCH(table_all!V$2, results_spb!$1:$1, 0)))</f>
        <v>0.33100000000000002</v>
      </c>
      <c r="W27" s="12" cm="1">
        <f t="array" ref="W27">IF(INDEX(results_spb!$A$1:$Y$100,
          MATCH(1, (results_spb!$A$1:$A$100 = table_all!$B27) * (results_spb!$C$1:$C$100 = table_all!W$1), 0),
          MATCH(table_all!W$2, results_spb!$1:$1, 0)) = 0,
   "...",
   INDEX(results_spb!$A$1:$Y$100,
         MATCH(1, (results_spb!$A$1:$A$100 = table_all!$B27) * (results_spb!$C$1:$C$100 = table_all!W$1), 0),
         MATCH(table_all!W$2, results_spb!$1:$1, 0)))</f>
        <v>0.61699999999999999</v>
      </c>
      <c r="Y27" s="12" t="str" cm="1">
        <f t="array" ref="Y27">IF(INDEX(results_spb!$A$1:$Y$100,
          MATCH(1, (results_spb!$A$1:$A$100 = table_all!$B27) * (results_spb!$C$1:$C$100 = table_all!Y$1), 0),
          MATCH(table_all!Y$2, results_spb!$1:$1, 0)) = 0,
   "...",
   INDEX(results_spb!$A$1:$Y$100,
         MATCH(1, (results_spb!$A$1:$A$100 = table_all!$B27) * (results_spb!$C$1:$C$100 = table_all!Y$1), 0),
         MATCH(table_all!Y$2, results_spb!$1:$1, 0)))</f>
        <v>...</v>
      </c>
      <c r="Z27" s="12" t="str" cm="1">
        <f t="array" ref="Z27">IF(INDEX(results_spb!$A$1:$Y$100,
          MATCH(1, (results_spb!$A$1:$A$100 = table_all!$B27) * (results_spb!$C$1:$C$100 = table_all!Z$1), 0),
          MATCH(table_all!Z$2, results_spb!$1:$1, 0)) = 0,
   "...",
   INDEX(results_spb!$A$1:$Y$100,
         MATCH(1, (results_spb!$A$1:$A$100 = table_all!$B27) * (results_spb!$C$1:$C$100 = table_all!Z$1), 0),
         MATCH(table_all!Z$2, results_spb!$1:$1, 0)))</f>
        <v>...</v>
      </c>
      <c r="AA27" s="14"/>
      <c r="AB27" s="12" t="str" cm="1">
        <f t="array" ref="AB27">IF(INDEX(results_spb!$A$1:$Y$100,
          MATCH(1, (results_spb!$A$1:$A$100 = table_all!$B27) * (results_spb!$C$1:$C$100 = table_all!AB$1), 0),
          MATCH(table_all!AB$2, results_spb!$1:$1, 0)) = 0,
   "...",
   INDEX(results_spb!$A$1:$Y$100,
         MATCH(1, (results_spb!$A$1:$A$100 = table_all!$B27) * (results_spb!$C$1:$C$100 = table_all!AB$1), 0),
         MATCH(table_all!AB$2, results_spb!$1:$1, 0)))</f>
        <v>...</v>
      </c>
      <c r="AC27" s="12" t="str" cm="1">
        <f t="array" ref="AC27">IF(INDEX(results_spb!$A$1:$Y$100,
          MATCH(1, (results_spb!$A$1:$A$100 = table_all!$B27) * (results_spb!$C$1:$C$100 = table_all!AC$1), 0),
          MATCH(table_all!AC$2, results_spb!$1:$1, 0)) = 0,
   "...",
   INDEX(results_spb!$A$1:$Y$100,
         MATCH(1, (results_spb!$A$1:$A$100 = table_all!$B27) * (results_spb!$C$1:$C$100 = table_all!AC$1), 0),
         MATCH(table_all!AC$2, results_spb!$1:$1, 0)))</f>
        <v>...</v>
      </c>
      <c r="AD27" s="14"/>
      <c r="AE27" s="12">
        <f t="shared" si="2"/>
        <v>0.33100000000000002</v>
      </c>
      <c r="AF27" s="12">
        <f t="shared" si="2"/>
        <v>0.61699999999999999</v>
      </c>
      <c r="AG27" s="14"/>
      <c r="AH27" s="3">
        <f t="shared" si="0"/>
        <v>0.10527500000000001</v>
      </c>
      <c r="AI27" s="3">
        <f t="shared" si="1"/>
        <v>0.10101428571428571</v>
      </c>
    </row>
    <row r="28" spans="1:36">
      <c r="A28" s="25" t="s">
        <v>39</v>
      </c>
      <c r="B28" s="22" t="str">
        <f>INDEX(Table1[#All], MATCH($A28, ameco_2024_data!$A:$A, 0), MATCH(B$2, ameco_2024_data!$1:$1, 0))</f>
        <v>Latvia</v>
      </c>
      <c r="C28" s="15">
        <f>INDEX(Table1[#All], MATCH($A28, ameco_2024_data!$A:$A, 0), MATCH(C$2, ameco_2024_data!$1:$1, 0))</f>
        <v>44.530799999999999</v>
      </c>
      <c r="D28" s="12">
        <f>INDEX(Table1[#All], MATCH($A28, ameco_2024_data!$A:$A, 0), MATCH(D$2, ameco_2024_data!$1:$1, 0))</f>
        <v>-2.8062051000000001</v>
      </c>
      <c r="E28" s="12">
        <f>INDEX(Table1[#All], MATCH($A28, ameco_2024_data!$A:$A, 0), MATCH(E$2, ameco_2024_data!$1:$1, 0))</f>
        <v>-1.3625</v>
      </c>
      <c r="G28" s="12" cm="1">
        <f t="array" ref="G28">IF(INDEX(results_spb!$A$1:$Y$100,
          MATCH(1, (results_spb!$A$1:$A$100 = table_all!$B28) * (results_spb!$C$1:$C$100 = table_all!G$1), 0),
          MATCH(table_all!G$2, results_spb!$1:$1, 0)) = 0,
   "...",
   INDEX(results_spb!$A$1:$Y$100,
         MATCH(1, (results_spb!$A$1:$A$100 = table_all!$B28) * (results_spb!$C$1:$C$100 = table_all!G$1), 0),
         MATCH(table_all!G$2, results_spb!$1:$1, 0)))</f>
        <v>-1.3260000000000001</v>
      </c>
      <c r="H28" s="12" cm="1">
        <f t="array" ref="H28">IF(INDEX(results_spb!$A$1:$Y$100,
          MATCH(1, (results_spb!$A$1:$A$100 = table_all!$B28) * (results_spb!$C$1:$C$100 = table_all!H$1), 0),
          MATCH(table_all!H$2, results_spb!$1:$1, 0)) = 0,
   "...",
   INDEX(results_spb!$A$1:$Y$100,
         MATCH(1, (results_spb!$A$1:$A$100 = table_all!$B28) * (results_spb!$C$1:$C$100 = table_all!H$1), 0),
         MATCH(table_all!H$2, results_spb!$1:$1, 0)))</f>
        <v>-1.085</v>
      </c>
      <c r="J28" s="12" cm="1">
        <f t="array" ref="J28">IF(INDEX(results_spb!$A$1:$Y$100,
          MATCH(1, (results_spb!$A$1:$A$100 = table_all!$B28) * (results_spb!$C$1:$C$100 = table_all!J$1), 0),
          MATCH(table_all!J$2, results_spb!$1:$1, 0)) = 0,
   "...",
   INDEX(results_spb!$A$1:$Y$100,
         MATCH(1, (results_spb!$A$1:$A$100 = table_all!$B28) * (results_spb!$C$1:$C$100 = table_all!J$1), 0),
         MATCH(table_all!J$2, results_spb!$1:$1, 0)))</f>
        <v>-0.998</v>
      </c>
      <c r="K28" s="12" cm="1">
        <f t="array" ref="K28">IF(INDEX(results_spb!$A$1:$Y$100,
          MATCH(1, (results_spb!$A$1:$A$100 = table_all!$B28) * (results_spb!$C$1:$C$100 = table_all!K$1), 0),
          MATCH(table_all!K$2, results_spb!$1:$1, 0)) = 0,
   "...",
   INDEX(results_spb!$A$1:$Y$100,
         MATCH(1, (results_spb!$A$1:$A$100 = table_all!$B28) * (results_spb!$C$1:$C$100 = table_all!K$1), 0),
         MATCH(table_all!K$2, results_spb!$1:$1, 0)))</f>
        <v>-0.78800000000000003</v>
      </c>
      <c r="M28" s="12" cm="1">
        <f t="array" ref="M28">IF(INDEX(results_spb!$A$1:$Y$100,
          MATCH(1, (results_spb!$A$1:$A$100 = table_all!$B28) * (results_spb!$C$1:$C$100 = table_all!M$1), 0),
          MATCH(table_all!M$2, results_spb!$1:$1, 0)) = 0,
   "...",
   INDEX(results_spb!$A$1:$Y$100,
         MATCH(1, (results_spb!$A$1:$A$100 = table_all!$B28) * (results_spb!$C$1:$C$100 = table_all!M$1), 0),
         MATCH(table_all!M$2, results_spb!$1:$1, 0)))</f>
        <v>-0.95199999999999996</v>
      </c>
      <c r="N28" s="12" cm="1">
        <f t="array" ref="N28">IF(INDEX(results_spb!$A$1:$Y$100,
          MATCH(1, (results_spb!$A$1:$A$100 = table_all!$B28) * (results_spb!$C$1:$C$100 = table_all!N$1), 0),
          MATCH(table_all!N$2, results_spb!$1:$1, 0)) = 0,
   "...",
   INDEX(results_spb!$A$1:$Y$100,
         MATCH(1, (results_spb!$A$1:$A$100 = table_all!$B28) * (results_spb!$C$1:$C$100 = table_all!N$1), 0),
         MATCH(table_all!N$2, results_spb!$1:$1, 0)))</f>
        <v>-0.77200000000000002</v>
      </c>
      <c r="P28" s="12" cm="1">
        <f t="array" ref="P28">IF(INDEX(results_spb!$A$1:$Y$100,
          MATCH(1, (results_spb!$A$1:$A$100 = table_all!$B28) * (results_spb!$C$1:$C$100 = table_all!P$1), 0),
          MATCH(table_all!P$2, results_spb!$1:$1, 0)) = 0,
   "...",
   INDEX(results_spb!$A$1:$Y$100,
         MATCH(1, (results_spb!$A$1:$A$100 = table_all!$B28) * (results_spb!$C$1:$C$100 = table_all!P$1), 0),
         MATCH(table_all!P$2, results_spb!$1:$1, 0)))</f>
        <v>-1.2929999999999999</v>
      </c>
      <c r="Q28" s="12" cm="1">
        <f t="array" ref="Q28">IF(INDEX(results_spb!$A$1:$Y$100,
          MATCH(1, (results_spb!$A$1:$A$100 = table_all!$B28) * (results_spb!$C$1:$C$100 = table_all!Q$1), 0),
          MATCH(table_all!Q$2, results_spb!$1:$1, 0)) = 0,
   "...",
   INDEX(results_spb!$A$1:$Y$100,
         MATCH(1, (results_spb!$A$1:$A$100 = table_all!$B28) * (results_spb!$C$1:$C$100 = table_all!Q$1), 0),
         MATCH(table_all!Q$2, results_spb!$1:$1, 0)))</f>
        <v>-1.0549999999999999</v>
      </c>
      <c r="S28" s="12" cm="1">
        <f t="array" ref="S28">IF(INDEX(results_spb!$A$1:$Y$100,
          MATCH(1, (results_spb!$A$1:$A$100 = table_all!$B28) * (results_spb!$C$1:$C$100 = table_all!S$1), 0),
          MATCH(table_all!S$2, results_spb!$1:$1, 0)) = 0,
   "...",
   INDEX(results_spb!$A$1:$Y$100,
         MATCH(1, (results_spb!$A$1:$A$100 = table_all!$B28) * (results_spb!$C$1:$C$100 = table_all!S$1), 0),
         MATCH(table_all!S$2, results_spb!$1:$1, 0)))</f>
        <v>-1.0609999999999999</v>
      </c>
      <c r="T28" s="12" cm="1">
        <f t="array" ref="T28">IF(INDEX(results_spb!$A$1:$Y$100,
          MATCH(1, (results_spb!$A$1:$A$100 = table_all!$B28) * (results_spb!$C$1:$C$100 = table_all!T$1), 0),
          MATCH(table_all!T$2, results_spb!$1:$1, 0)) = 0,
   "...",
   INDEX(results_spb!$A$1:$Y$100,
         MATCH(1, (results_spb!$A$1:$A$100 = table_all!$B28) * (results_spb!$C$1:$C$100 = table_all!T$1), 0),
         MATCH(table_all!T$2, results_spb!$1:$1, 0)))</f>
        <v>-0.69399999999999995</v>
      </c>
      <c r="V28" s="12" cm="1">
        <f t="array" ref="V28">IF(INDEX(results_spb!$A$1:$Y$100,
          MATCH(1, (results_spb!$A$1:$A$100 = table_all!$B28) * (results_spb!$C$1:$C$100 = table_all!V$1), 0),
          MATCH(table_all!V$2, results_spb!$1:$1, 0)) = 0,
   "...",
   INDEX(results_spb!$A$1:$Y$100,
         MATCH(1, (results_spb!$A$1:$A$100 = table_all!$B28) * (results_spb!$C$1:$C$100 = table_all!V$1), 0),
         MATCH(table_all!V$2, results_spb!$1:$1, 0)))</f>
        <v>-1.165</v>
      </c>
      <c r="W28" s="12" cm="1">
        <f t="array" ref="W28">IF(INDEX(results_spb!$A$1:$Y$100,
          MATCH(1, (results_spb!$A$1:$A$100 = table_all!$B28) * (results_spb!$C$1:$C$100 = table_all!W$1), 0),
          MATCH(table_all!W$2, results_spb!$1:$1, 0)) = 0,
   "...",
   INDEX(results_spb!$A$1:$Y$100,
         MATCH(1, (results_spb!$A$1:$A$100 = table_all!$B28) * (results_spb!$C$1:$C$100 = table_all!W$1), 0),
         MATCH(table_all!W$2, results_spb!$1:$1, 0)))</f>
        <v>-1.159</v>
      </c>
      <c r="Y28" s="12" t="str" cm="1">
        <f t="array" ref="Y28">IF(INDEX(results_spb!$A$1:$Y$100,
          MATCH(1, (results_spb!$A$1:$A$100 = table_all!$B28) * (results_spb!$C$1:$C$100 = table_all!Y$1), 0),
          MATCH(table_all!Y$2, results_spb!$1:$1, 0)) = 0,
   "...",
   INDEX(results_spb!$A$1:$Y$100,
         MATCH(1, (results_spb!$A$1:$A$100 = table_all!$B28) * (results_spb!$C$1:$C$100 = table_all!Y$1), 0),
         MATCH(table_all!Y$2, results_spb!$1:$1, 0)))</f>
        <v>...</v>
      </c>
      <c r="Z28" s="12" t="str" cm="1">
        <f t="array" ref="Z28">IF(INDEX(results_spb!$A$1:$Y$100,
          MATCH(1, (results_spb!$A$1:$A$100 = table_all!$B28) * (results_spb!$C$1:$C$100 = table_all!Z$1), 0),
          MATCH(table_all!Z$2, results_spb!$1:$1, 0)) = 0,
   "...",
   INDEX(results_spb!$A$1:$Y$100,
         MATCH(1, (results_spb!$A$1:$A$100 = table_all!$B28) * (results_spb!$C$1:$C$100 = table_all!Z$1), 0),
         MATCH(table_all!Z$2, results_spb!$1:$1, 0)))</f>
        <v>...</v>
      </c>
      <c r="AA28" s="14"/>
      <c r="AB28" s="12" t="str" cm="1">
        <f t="array" ref="AB28">IF(INDEX(results_spb!$A$1:$Y$100,
          MATCH(1, (results_spb!$A$1:$A$100 = table_all!$B28) * (results_spb!$C$1:$C$100 = table_all!AB$1), 0),
          MATCH(table_all!AB$2, results_spb!$1:$1, 0)) = 0,
   "...",
   INDEX(results_spb!$A$1:$Y$100,
         MATCH(1, (results_spb!$A$1:$A$100 = table_all!$B28) * (results_spb!$C$1:$C$100 = table_all!AB$1), 0),
         MATCH(table_all!AB$2, results_spb!$1:$1, 0)))</f>
        <v>...</v>
      </c>
      <c r="AC28" s="12" t="str" cm="1">
        <f t="array" ref="AC28">IF(INDEX(results_spb!$A$1:$Y$100,
          MATCH(1, (results_spb!$A$1:$A$100 = table_all!$B28) * (results_spb!$C$1:$C$100 = table_all!AC$1), 0),
          MATCH(table_all!AC$2, results_spb!$1:$1, 0)) = 0,
   "...",
   INDEX(results_spb!$A$1:$Y$100,
         MATCH(1, (results_spb!$A$1:$A$100 = table_all!$B28) * (results_spb!$C$1:$C$100 = table_all!AC$1), 0),
         MATCH(table_all!AC$2, results_spb!$1:$1, 0)))</f>
        <v>...</v>
      </c>
      <c r="AD28" s="14"/>
      <c r="AE28" s="12">
        <f t="shared" si="2"/>
        <v>-0.95199999999999996</v>
      </c>
      <c r="AF28" s="12">
        <f t="shared" si="2"/>
        <v>-0.69399999999999995</v>
      </c>
      <c r="AG28" s="14"/>
      <c r="AH28" s="3">
        <f t="shared" si="0"/>
        <v>0.10262500000000002</v>
      </c>
      <c r="AI28" s="3">
        <f t="shared" si="1"/>
        <v>9.5500000000000015E-2</v>
      </c>
    </row>
    <row r="29" spans="1:36">
      <c r="A29" s="25" t="s">
        <v>37</v>
      </c>
      <c r="B29" s="22" t="str">
        <f>INDEX(Table1[#All], MATCH($A29, ameco_2024_data!$A:$A, 0), MATCH(B$2, ameco_2024_data!$1:$1, 0))</f>
        <v>Ireland</v>
      </c>
      <c r="C29" s="15">
        <f>INDEX(Table1[#All], MATCH($A29, ameco_2024_data!$A:$A, 0), MATCH(C$2, ameco_2024_data!$1:$1, 0))</f>
        <v>42.488799999999998</v>
      </c>
      <c r="D29" s="12">
        <f>INDEX(Table1[#All], MATCH($A29, ameco_2024_data!$A:$A, 0), MATCH(D$2, ameco_2024_data!$1:$1, 0))</f>
        <v>1.256939</v>
      </c>
      <c r="E29" s="12">
        <f>INDEX(Table1[#All], MATCH($A29, ameco_2024_data!$A:$A, 0), MATCH(E$2, ameco_2024_data!$1:$1, 0))</f>
        <v>2.5287999999999999</v>
      </c>
      <c r="G29" s="12" cm="1">
        <f t="array" ref="G29">IF(INDEX(results_spb!$A$1:$Y$100,
          MATCH(1, (results_spb!$A$1:$A$100 = table_all!$B29) * (results_spb!$C$1:$C$100 = table_all!G$1), 0),
          MATCH(table_all!G$2, results_spb!$1:$1, 0)) = 0,
   "...",
   INDEX(results_spb!$A$1:$Y$100,
         MATCH(1, (results_spb!$A$1:$A$100 = table_all!$B29) * (results_spb!$C$1:$C$100 = table_all!G$1), 0),
         MATCH(table_all!G$2, results_spb!$1:$1, 0)))</f>
        <v>-2.37</v>
      </c>
      <c r="H29" s="12" cm="1">
        <f t="array" ref="H29">IF(INDEX(results_spb!$A$1:$Y$100,
          MATCH(1, (results_spb!$A$1:$A$100 = table_all!$B29) * (results_spb!$C$1:$C$100 = table_all!H$1), 0),
          MATCH(table_all!H$2, results_spb!$1:$1, 0)) = 0,
   "...",
   INDEX(results_spb!$A$1:$Y$100,
         MATCH(1, (results_spb!$A$1:$A$100 = table_all!$B29) * (results_spb!$C$1:$C$100 = table_all!H$1), 0),
         MATCH(table_all!H$2, results_spb!$1:$1, 0)))</f>
        <v>-2.363</v>
      </c>
      <c r="J29" s="12" cm="1">
        <f t="array" ref="J29">IF(INDEX(results_spb!$A$1:$Y$100,
          MATCH(1, (results_spb!$A$1:$A$100 = table_all!$B29) * (results_spb!$C$1:$C$100 = table_all!J$1), 0),
          MATCH(table_all!J$2, results_spb!$1:$1, 0)) = 0,
   "...",
   INDEX(results_spb!$A$1:$Y$100,
         MATCH(1, (results_spb!$A$1:$A$100 = table_all!$B29) * (results_spb!$C$1:$C$100 = table_all!J$1), 0),
         MATCH(table_all!J$2, results_spb!$1:$1, 0)))</f>
        <v>-2.0790000000000002</v>
      </c>
      <c r="K29" s="12" cm="1">
        <f t="array" ref="K29">IF(INDEX(results_spb!$A$1:$Y$100,
          MATCH(1, (results_spb!$A$1:$A$100 = table_all!$B29) * (results_spb!$C$1:$C$100 = table_all!K$1), 0),
          MATCH(table_all!K$2, results_spb!$1:$1, 0)) = 0,
   "...",
   INDEX(results_spb!$A$1:$Y$100,
         MATCH(1, (results_spb!$A$1:$A$100 = table_all!$B29) * (results_spb!$C$1:$C$100 = table_all!K$1), 0),
         MATCH(table_all!K$2, results_spb!$1:$1, 0)))</f>
        <v>-2.109</v>
      </c>
      <c r="M29" s="12" cm="1">
        <f t="array" ref="M29">IF(INDEX(results_spb!$A$1:$Y$100,
          MATCH(1, (results_spb!$A$1:$A$100 = table_all!$B29) * (results_spb!$C$1:$C$100 = table_all!M$1), 0),
          MATCH(table_all!M$2, results_spb!$1:$1, 0)) = 0,
   "...",
   INDEX(results_spb!$A$1:$Y$100,
         MATCH(1, (results_spb!$A$1:$A$100 = table_all!$B29) * (results_spb!$C$1:$C$100 = table_all!M$1), 0),
         MATCH(table_all!M$2, results_spb!$1:$1, 0)))</f>
        <v>-1.9890000000000001</v>
      </c>
      <c r="N29" s="12" cm="1">
        <f t="array" ref="N29">IF(INDEX(results_spb!$A$1:$Y$100,
          MATCH(1, (results_spb!$A$1:$A$100 = table_all!$B29) * (results_spb!$C$1:$C$100 = table_all!N$1), 0),
          MATCH(table_all!N$2, results_spb!$1:$1, 0)) = 0,
   "...",
   INDEX(results_spb!$A$1:$Y$100,
         MATCH(1, (results_spb!$A$1:$A$100 = table_all!$B29) * (results_spb!$C$1:$C$100 = table_all!N$1), 0),
         MATCH(table_all!N$2, results_spb!$1:$1, 0)))</f>
        <v>-2.0419999999999998</v>
      </c>
      <c r="P29" s="12" cm="1">
        <f t="array" ref="P29">IF(INDEX(results_spb!$A$1:$Y$100,
          MATCH(1, (results_spb!$A$1:$A$100 = table_all!$B29) * (results_spb!$C$1:$C$100 = table_all!P$1), 0),
          MATCH(table_all!P$2, results_spb!$1:$1, 0)) = 0,
   "...",
   INDEX(results_spb!$A$1:$Y$100,
         MATCH(1, (results_spb!$A$1:$A$100 = table_all!$B29) * (results_spb!$C$1:$C$100 = table_all!P$1), 0),
         MATCH(table_all!P$2, results_spb!$1:$1, 0)))</f>
        <v>-2.3460000000000001</v>
      </c>
      <c r="Q29" s="12" cm="1">
        <f t="array" ref="Q29">IF(INDEX(results_spb!$A$1:$Y$100,
          MATCH(1, (results_spb!$A$1:$A$100 = table_all!$B29) * (results_spb!$C$1:$C$100 = table_all!Q$1), 0),
          MATCH(table_all!Q$2, results_spb!$1:$1, 0)) = 0,
   "...",
   INDEX(results_spb!$A$1:$Y$100,
         MATCH(1, (results_spb!$A$1:$A$100 = table_all!$B29) * (results_spb!$C$1:$C$100 = table_all!Q$1), 0),
         MATCH(table_all!Q$2, results_spb!$1:$1, 0)))</f>
        <v>-2.34</v>
      </c>
      <c r="S29" s="12" cm="1">
        <f t="array" ref="S29">IF(INDEX(results_spb!$A$1:$Y$100,
          MATCH(1, (results_spb!$A$1:$A$100 = table_all!$B29) * (results_spb!$C$1:$C$100 = table_all!S$1), 0),
          MATCH(table_all!S$2, results_spb!$1:$1, 0)) = 0,
   "...",
   INDEX(results_spb!$A$1:$Y$100,
         MATCH(1, (results_spb!$A$1:$A$100 = table_all!$B29) * (results_spb!$C$1:$C$100 = table_all!S$1), 0),
         MATCH(table_all!S$2, results_spb!$1:$1, 0)))</f>
        <v>-3.4129999999999998</v>
      </c>
      <c r="T29" s="12" cm="1">
        <f t="array" ref="T29">IF(INDEX(results_spb!$A$1:$Y$100,
          MATCH(1, (results_spb!$A$1:$A$100 = table_all!$B29) * (results_spb!$C$1:$C$100 = table_all!T$1), 0),
          MATCH(table_all!T$2, results_spb!$1:$1, 0)) = 0,
   "...",
   INDEX(results_spb!$A$1:$Y$100,
         MATCH(1, (results_spb!$A$1:$A$100 = table_all!$B29) * (results_spb!$C$1:$C$100 = table_all!T$1), 0),
         MATCH(table_all!T$2, results_spb!$1:$1, 0)))</f>
        <v>-3.3330000000000002</v>
      </c>
      <c r="V29" s="12" cm="1">
        <f t="array" ref="V29">IF(INDEX(results_spb!$A$1:$Y$100,
          MATCH(1, (results_spb!$A$1:$A$100 = table_all!$B29) * (results_spb!$C$1:$C$100 = table_all!V$1), 0),
          MATCH(table_all!V$2, results_spb!$1:$1, 0)) = 0,
   "...",
   INDEX(results_spb!$A$1:$Y$100,
         MATCH(1, (results_spb!$A$1:$A$100 = table_all!$B29) * (results_spb!$C$1:$C$100 = table_all!V$1), 0),
         MATCH(table_all!V$2, results_spb!$1:$1, 0)))</f>
        <v>-0.626</v>
      </c>
      <c r="W29" s="12" cm="1">
        <f t="array" ref="W29">IF(INDEX(results_spb!$A$1:$Y$100,
          MATCH(1, (results_spb!$A$1:$A$100 = table_all!$B29) * (results_spb!$C$1:$C$100 = table_all!W$1), 0),
          MATCH(table_all!W$2, results_spb!$1:$1, 0)) = 0,
   "...",
   INDEX(results_spb!$A$1:$Y$100,
         MATCH(1, (results_spb!$A$1:$A$100 = table_all!$B29) * (results_spb!$C$1:$C$100 = table_all!W$1), 0),
         MATCH(table_all!W$2, results_spb!$1:$1, 0)))</f>
        <v>-0.59699999999999998</v>
      </c>
      <c r="Y29" s="12" t="str" cm="1">
        <f t="array" ref="Y29">IF(INDEX(results_spb!$A$1:$Y$100,
          MATCH(1, (results_spb!$A$1:$A$100 = table_all!$B29) * (results_spb!$C$1:$C$100 = table_all!Y$1), 0),
          MATCH(table_all!Y$2, results_spb!$1:$1, 0)) = 0,
   "...",
   INDEX(results_spb!$A$1:$Y$100,
         MATCH(1, (results_spb!$A$1:$A$100 = table_all!$B29) * (results_spb!$C$1:$C$100 = table_all!Y$1), 0),
         MATCH(table_all!Y$2, results_spb!$1:$1, 0)))</f>
        <v>...</v>
      </c>
      <c r="Z29" s="12" t="str" cm="1">
        <f t="array" ref="Z29">IF(INDEX(results_spb!$A$1:$Y$100,
          MATCH(1, (results_spb!$A$1:$A$100 = table_all!$B29) * (results_spb!$C$1:$C$100 = table_all!Z$1), 0),
          MATCH(table_all!Z$2, results_spb!$1:$1, 0)) = 0,
   "...",
   INDEX(results_spb!$A$1:$Y$100,
         MATCH(1, (results_spb!$A$1:$A$100 = table_all!$B29) * (results_spb!$C$1:$C$100 = table_all!Z$1), 0),
         MATCH(table_all!Z$2, results_spb!$1:$1, 0)))</f>
        <v>...</v>
      </c>
      <c r="AA29" s="14"/>
      <c r="AB29" s="12" t="str" cm="1">
        <f t="array" ref="AB29">IF(INDEX(results_spb!$A$1:$Y$100,
          MATCH(1, (results_spb!$A$1:$A$100 = table_all!$B29) * (results_spb!$C$1:$C$100 = table_all!AB$1), 0),
          MATCH(table_all!AB$2, results_spb!$1:$1, 0)) = 0,
   "...",
   INDEX(results_spb!$A$1:$Y$100,
         MATCH(1, (results_spb!$A$1:$A$100 = table_all!$B29) * (results_spb!$C$1:$C$100 = table_all!AB$1), 0),
         MATCH(table_all!AB$2, results_spb!$1:$1, 0)))</f>
        <v>...</v>
      </c>
      <c r="AC29" s="12" t="str" cm="1">
        <f t="array" ref="AC29">IF(INDEX(results_spb!$A$1:$Y$100,
          MATCH(1, (results_spb!$A$1:$A$100 = table_all!$B29) * (results_spb!$C$1:$C$100 = table_all!AC$1), 0),
          MATCH(table_all!AC$2, results_spb!$1:$1, 0)) = 0,
   "...",
   INDEX(results_spb!$A$1:$Y$100,
         MATCH(1, (results_spb!$A$1:$A$100 = table_all!$B29) * (results_spb!$C$1:$C$100 = table_all!AC$1), 0),
         MATCH(table_all!AC$2, results_spb!$1:$1, 0)))</f>
        <v>...</v>
      </c>
      <c r="AD29" s="14"/>
      <c r="AE29" s="12">
        <f t="shared" si="2"/>
        <v>-0.626</v>
      </c>
      <c r="AF29" s="12">
        <f t="shared" si="2"/>
        <v>-0.59699999999999998</v>
      </c>
      <c r="AG29" s="14"/>
      <c r="AH29" s="3">
        <f t="shared" si="0"/>
        <v>-0.78869999999999996</v>
      </c>
      <c r="AI29" s="3">
        <f t="shared" si="1"/>
        <v>-0.44654285714285713</v>
      </c>
    </row>
    <row r="30" spans="1:36">
      <c r="A30" s="25" t="s">
        <v>38</v>
      </c>
      <c r="B30" s="22" t="str">
        <f>INDEX(Table1[#All], MATCH($A30, ameco_2024_data!$A:$A, 0), MATCH(B$2, ameco_2024_data!$1:$1, 0))</f>
        <v>Lithuania</v>
      </c>
      <c r="C30" s="15">
        <f>INDEX(Table1[#All], MATCH($A30, ameco_2024_data!$A:$A, 0), MATCH(C$2, ameco_2024_data!$1:$1, 0))</f>
        <v>38.924900000000001</v>
      </c>
      <c r="D30" s="12">
        <f>INDEX(Table1[#All], MATCH($A30, ameco_2024_data!$A:$A, 0), MATCH(D$2, ameco_2024_data!$1:$1, 0))</f>
        <v>-1.8301745</v>
      </c>
      <c r="E30" s="12">
        <f>INDEX(Table1[#All], MATCH($A30, ameco_2024_data!$A:$A, 0), MATCH(E$2, ameco_2024_data!$1:$1, 0))</f>
        <v>-4.02E-2</v>
      </c>
      <c r="G30" s="12" cm="1">
        <f t="array" ref="G30">IF(INDEX(results_spb!$A$1:$Y$100,
          MATCH(1, (results_spb!$A$1:$A$100 = table_all!$B30) * (results_spb!$C$1:$C$100 = table_all!G$1), 0),
          MATCH(table_all!G$2, results_spb!$1:$1, 0)) = 0,
   "...",
   INDEX(results_spb!$A$1:$Y$100,
         MATCH(1, (results_spb!$A$1:$A$100 = table_all!$B30) * (results_spb!$C$1:$C$100 = table_all!G$1), 0),
         MATCH(table_all!G$2, results_spb!$1:$1, 0)))</f>
        <v>-1.1419999999999999</v>
      </c>
      <c r="H30" s="12" cm="1">
        <f t="array" ref="H30">IF(INDEX(results_spb!$A$1:$Y$100,
          MATCH(1, (results_spb!$A$1:$A$100 = table_all!$B30) * (results_spb!$C$1:$C$100 = table_all!H$1), 0),
          MATCH(table_all!H$2, results_spb!$1:$1, 0)) = 0,
   "...",
   INDEX(results_spb!$A$1:$Y$100,
         MATCH(1, (results_spb!$A$1:$A$100 = table_all!$B30) * (results_spb!$C$1:$C$100 = table_all!H$1), 0),
         MATCH(table_all!H$2, results_spb!$1:$1, 0)))</f>
        <v>-1.0900000000000001</v>
      </c>
      <c r="J30" s="12" cm="1">
        <f t="array" ref="J30">IF(INDEX(results_spb!$A$1:$Y$100,
          MATCH(1, (results_spb!$A$1:$A$100 = table_all!$B30) * (results_spb!$C$1:$C$100 = table_all!J$1), 0),
          MATCH(table_all!J$2, results_spb!$1:$1, 0)) = 0,
   "...",
   INDEX(results_spb!$A$1:$Y$100,
         MATCH(1, (results_spb!$A$1:$A$100 = table_all!$B30) * (results_spb!$C$1:$C$100 = table_all!J$1), 0),
         MATCH(table_all!J$2, results_spb!$1:$1, 0)))</f>
        <v>-0.84099999999999997</v>
      </c>
      <c r="K30" s="12" cm="1">
        <f t="array" ref="K30">IF(INDEX(results_spb!$A$1:$Y$100,
          MATCH(1, (results_spb!$A$1:$A$100 = table_all!$B30) * (results_spb!$C$1:$C$100 = table_all!K$1), 0),
          MATCH(table_all!K$2, results_spb!$1:$1, 0)) = 0,
   "...",
   INDEX(results_spb!$A$1:$Y$100,
         MATCH(1, (results_spb!$A$1:$A$100 = table_all!$B30) * (results_spb!$C$1:$C$100 = table_all!K$1), 0),
         MATCH(table_all!K$2, results_spb!$1:$1, 0)))</f>
        <v>-0.82099999999999995</v>
      </c>
      <c r="M30" s="12" cm="1">
        <f t="array" ref="M30">IF(INDEX(results_spb!$A$1:$Y$100,
          MATCH(1, (results_spb!$A$1:$A$100 = table_all!$B30) * (results_spb!$C$1:$C$100 = table_all!M$1), 0),
          MATCH(table_all!M$2, results_spb!$1:$1, 0)) = 0,
   "...",
   INDEX(results_spb!$A$1:$Y$100,
         MATCH(1, (results_spb!$A$1:$A$100 = table_all!$B30) * (results_spb!$C$1:$C$100 = table_all!M$1), 0),
         MATCH(table_all!M$2, results_spb!$1:$1, 0)))</f>
        <v>-0.76500000000000001</v>
      </c>
      <c r="N30" s="12" cm="1">
        <f t="array" ref="N30">IF(INDEX(results_spb!$A$1:$Y$100,
          MATCH(1, (results_spb!$A$1:$A$100 = table_all!$B30) * (results_spb!$C$1:$C$100 = table_all!N$1), 0),
          MATCH(table_all!N$2, results_spb!$1:$1, 0)) = 0,
   "...",
   INDEX(results_spb!$A$1:$Y$100,
         MATCH(1, (results_spb!$A$1:$A$100 = table_all!$B30) * (results_spb!$C$1:$C$100 = table_all!N$1), 0),
         MATCH(table_all!N$2, results_spb!$1:$1, 0)))</f>
        <v>-0.77300000000000002</v>
      </c>
      <c r="P30" s="12" cm="1">
        <f t="array" ref="P30">IF(INDEX(results_spb!$A$1:$Y$100,
          MATCH(1, (results_spb!$A$1:$A$100 = table_all!$B30) * (results_spb!$C$1:$C$100 = table_all!P$1), 0),
          MATCH(table_all!P$2, results_spb!$1:$1, 0)) = 0,
   "...",
   INDEX(results_spb!$A$1:$Y$100,
         MATCH(1, (results_spb!$A$1:$A$100 = table_all!$B30) * (results_spb!$C$1:$C$100 = table_all!P$1), 0),
         MATCH(table_all!P$2, results_spb!$1:$1, 0)))</f>
        <v>-1.1140000000000001</v>
      </c>
      <c r="Q30" s="12" cm="1">
        <f t="array" ref="Q30">IF(INDEX(results_spb!$A$1:$Y$100,
          MATCH(1, (results_spb!$A$1:$A$100 = table_all!$B30) * (results_spb!$C$1:$C$100 = table_all!Q$1), 0),
          MATCH(table_all!Q$2, results_spb!$1:$1, 0)) = 0,
   "...",
   INDEX(results_spb!$A$1:$Y$100,
         MATCH(1, (results_spb!$A$1:$A$100 = table_all!$B30) * (results_spb!$C$1:$C$100 = table_all!Q$1), 0),
         MATCH(table_all!Q$2, results_spb!$1:$1, 0)))</f>
        <v>-1.0640000000000001</v>
      </c>
      <c r="S30" s="12" cm="1">
        <f t="array" ref="S30">IF(INDEX(results_spb!$A$1:$Y$100,
          MATCH(1, (results_spb!$A$1:$A$100 = table_all!$B30) * (results_spb!$C$1:$C$100 = table_all!S$1), 0),
          MATCH(table_all!S$2, results_spb!$1:$1, 0)) = 0,
   "...",
   INDEX(results_spb!$A$1:$Y$100,
         MATCH(1, (results_spb!$A$1:$A$100 = table_all!$B30) * (results_spb!$C$1:$C$100 = table_all!S$1), 0),
         MATCH(table_all!S$2, results_spb!$1:$1, 0)))</f>
        <v>-1.996</v>
      </c>
      <c r="T30" s="12" cm="1">
        <f t="array" ref="T30">IF(INDEX(results_spb!$A$1:$Y$100,
          MATCH(1, (results_spb!$A$1:$A$100 = table_all!$B30) * (results_spb!$C$1:$C$100 = table_all!T$1), 0),
          MATCH(table_all!T$2, results_spb!$1:$1, 0)) = 0,
   "...",
   INDEX(results_spb!$A$1:$Y$100,
         MATCH(1, (results_spb!$A$1:$A$100 = table_all!$B30) * (results_spb!$C$1:$C$100 = table_all!T$1), 0),
         MATCH(table_all!T$2, results_spb!$1:$1, 0)))</f>
        <v>-1.7350000000000001</v>
      </c>
      <c r="V30" s="12" cm="1">
        <f t="array" ref="V30">IF(INDEX(results_spb!$A$1:$Y$100,
          MATCH(1, (results_spb!$A$1:$A$100 = table_all!$B30) * (results_spb!$C$1:$C$100 = table_all!V$1), 0),
          MATCH(table_all!V$2, results_spb!$1:$1, 0)) = 0,
   "...",
   INDEX(results_spb!$A$1:$Y$100,
         MATCH(1, (results_spb!$A$1:$A$100 = table_all!$B30) * (results_spb!$C$1:$C$100 = table_all!V$1), 0),
         MATCH(table_all!V$2, results_spb!$1:$1, 0)))</f>
        <v>1.4999999999999999E-2</v>
      </c>
      <c r="W30" s="12" cm="1">
        <f t="array" ref="W30">IF(INDEX(results_spb!$A$1:$Y$100,
          MATCH(1, (results_spb!$A$1:$A$100 = table_all!$B30) * (results_spb!$C$1:$C$100 = table_all!W$1), 0),
          MATCH(table_all!W$2, results_spb!$1:$1, 0)) = 0,
   "...",
   INDEX(results_spb!$A$1:$Y$100,
         MATCH(1, (results_spb!$A$1:$A$100 = table_all!$B30) * (results_spb!$C$1:$C$100 = table_all!W$1), 0),
         MATCH(table_all!W$2, results_spb!$1:$1, 0)))</f>
        <v>-0.155</v>
      </c>
      <c r="Y30" s="12" t="str" cm="1">
        <f t="array" ref="Y30">IF(INDEX(results_spb!$A$1:$Y$100,
          MATCH(1, (results_spb!$A$1:$A$100 = table_all!$B30) * (results_spb!$C$1:$C$100 = table_all!Y$1), 0),
          MATCH(table_all!Y$2, results_spb!$1:$1, 0)) = 0,
   "...",
   INDEX(results_spb!$A$1:$Y$100,
         MATCH(1, (results_spb!$A$1:$A$100 = table_all!$B30) * (results_spb!$C$1:$C$100 = table_all!Y$1), 0),
         MATCH(table_all!Y$2, results_spb!$1:$1, 0)))</f>
        <v>...</v>
      </c>
      <c r="Z30" s="12" t="str" cm="1">
        <f t="array" ref="Z30">IF(INDEX(results_spb!$A$1:$Y$100,
          MATCH(1, (results_spb!$A$1:$A$100 = table_all!$B30) * (results_spb!$C$1:$C$100 = table_all!Z$1), 0),
          MATCH(table_all!Z$2, results_spb!$1:$1, 0)) = 0,
   "...",
   INDEX(results_spb!$A$1:$Y$100,
         MATCH(1, (results_spb!$A$1:$A$100 = table_all!$B30) * (results_spb!$C$1:$C$100 = table_all!Z$1), 0),
         MATCH(table_all!Z$2, results_spb!$1:$1, 0)))</f>
        <v>...</v>
      </c>
      <c r="AA30" s="14"/>
      <c r="AB30" s="12" t="str" cm="1">
        <f t="array" ref="AB30">IF(INDEX(results_spb!$A$1:$Y$100,
          MATCH(1, (results_spb!$A$1:$A$100 = table_all!$B30) * (results_spb!$C$1:$C$100 = table_all!AB$1), 0),
          MATCH(table_all!AB$2, results_spb!$1:$1, 0)) = 0,
   "...",
   INDEX(results_spb!$A$1:$Y$100,
         MATCH(1, (results_spb!$A$1:$A$100 = table_all!$B30) * (results_spb!$C$1:$C$100 = table_all!AB$1), 0),
         MATCH(table_all!AB$2, results_spb!$1:$1, 0)))</f>
        <v>...</v>
      </c>
      <c r="AC30" s="12" t="str" cm="1">
        <f t="array" ref="AC30">IF(INDEX(results_spb!$A$1:$Y$100,
          MATCH(1, (results_spb!$A$1:$A$100 = table_all!$B30) * (results_spb!$C$1:$C$100 = table_all!AC$1), 0),
          MATCH(table_all!AC$2, results_spb!$1:$1, 0)) = 0,
   "...",
   INDEX(results_spb!$A$1:$Y$100,
         MATCH(1, (results_spb!$A$1:$A$100 = table_all!$B30) * (results_spb!$C$1:$C$100 = table_all!AC$1), 0),
         MATCH(table_all!AC$2, results_spb!$1:$1, 0)))</f>
        <v>...</v>
      </c>
      <c r="AD30" s="14"/>
      <c r="AE30" s="12">
        <f t="shared" si="2"/>
        <v>1.4999999999999999E-2</v>
      </c>
      <c r="AF30" s="12">
        <f t="shared" si="2"/>
        <v>-0.155</v>
      </c>
      <c r="AG30" s="14"/>
      <c r="AH30" s="3">
        <f t="shared" si="0"/>
        <v>1.38E-2</v>
      </c>
      <c r="AI30" s="3">
        <f t="shared" si="1"/>
        <v>-1.6400000000000001E-2</v>
      </c>
    </row>
    <row r="31" spans="1:36">
      <c r="A31" s="25" t="s">
        <v>41</v>
      </c>
      <c r="B31" s="22" t="str">
        <f>INDEX(Table1[#All], MATCH($A31, ameco_2024_data!$A:$A, 0), MATCH(B$2, ameco_2024_data!$1:$1, 0))</f>
        <v>Sweden</v>
      </c>
      <c r="C31" s="15">
        <f>INDEX(Table1[#All], MATCH($A31, ameco_2024_data!$A:$A, 0), MATCH(C$2, ameco_2024_data!$1:$1, 0))</f>
        <v>31.952200000000001</v>
      </c>
      <c r="D31" s="12">
        <f>INDEX(Table1[#All], MATCH($A31, ameco_2024_data!$A:$A, 0), MATCH(D$2, ameco_2024_data!$1:$1, 0))</f>
        <v>-1.4251468</v>
      </c>
      <c r="E31" s="12">
        <f>INDEX(Table1[#All], MATCH($A31, ameco_2024_data!$A:$A, 0), MATCH(E$2, ameco_2024_data!$1:$1, 0))</f>
        <v>0.69279999999999997</v>
      </c>
      <c r="G31" s="12" cm="1">
        <f t="array" ref="G31">IF(INDEX(results_spb!$A$1:$Y$100,
          MATCH(1, (results_spb!$A$1:$A$100 = table_all!$B31) * (results_spb!$C$1:$C$100 = table_all!G$1), 0),
          MATCH(table_all!G$2, results_spb!$1:$1, 0)) = 0,
   "...",
   INDEX(results_spb!$A$1:$Y$100,
         MATCH(1, (results_spb!$A$1:$A$100 = table_all!$B31) * (results_spb!$C$1:$C$100 = table_all!G$1), 0),
         MATCH(table_all!G$2, results_spb!$1:$1, 0)))</f>
        <v>-2.6869999999999998</v>
      </c>
      <c r="H31" s="12" cm="1">
        <f t="array" ref="H31">IF(INDEX(results_spb!$A$1:$Y$100,
          MATCH(1, (results_spb!$A$1:$A$100 = table_all!$B31) * (results_spb!$C$1:$C$100 = table_all!H$1), 0),
          MATCH(table_all!H$2, results_spb!$1:$1, 0)) = 0,
   "...",
   INDEX(results_spb!$A$1:$Y$100,
         MATCH(1, (results_spb!$A$1:$A$100 = table_all!$B31) * (results_spb!$C$1:$C$100 = table_all!H$1), 0),
         MATCH(table_all!H$2, results_spb!$1:$1, 0)))</f>
        <v>-2.7949999999999999</v>
      </c>
      <c r="J31" s="12" cm="1">
        <f t="array" ref="J31">IF(INDEX(results_spb!$A$1:$Y$100,
          MATCH(1, (results_spb!$A$1:$A$100 = table_all!$B31) * (results_spb!$C$1:$C$100 = table_all!J$1), 0),
          MATCH(table_all!J$2, results_spb!$1:$1, 0)) = 0,
   "...",
   INDEX(results_spb!$A$1:$Y$100,
         MATCH(1, (results_spb!$A$1:$A$100 = table_all!$B31) * (results_spb!$C$1:$C$100 = table_all!J$1), 0),
         MATCH(table_all!J$2, results_spb!$1:$1, 0)))</f>
        <v>-2.3889999999999998</v>
      </c>
      <c r="K31" s="12" cm="1">
        <f t="array" ref="K31">IF(INDEX(results_spb!$A$1:$Y$100,
          MATCH(1, (results_spb!$A$1:$A$100 = table_all!$B31) * (results_spb!$C$1:$C$100 = table_all!K$1), 0),
          MATCH(table_all!K$2, results_spb!$1:$1, 0)) = 0,
   "...",
   INDEX(results_spb!$A$1:$Y$100,
         MATCH(1, (results_spb!$A$1:$A$100 = table_all!$B31) * (results_spb!$C$1:$C$100 = table_all!K$1), 0),
         MATCH(table_all!K$2, results_spb!$1:$1, 0)))</f>
        <v>-2.5190000000000001</v>
      </c>
      <c r="M31" s="12" cm="1">
        <f t="array" ref="M31">IF(INDEX(results_spb!$A$1:$Y$100,
          MATCH(1, (results_spb!$A$1:$A$100 = table_all!$B31) * (results_spb!$C$1:$C$100 = table_all!M$1), 0),
          MATCH(table_all!M$2, results_spb!$1:$1, 0)) = 0,
   "...",
   INDEX(results_spb!$A$1:$Y$100,
         MATCH(1, (results_spb!$A$1:$A$100 = table_all!$B31) * (results_spb!$C$1:$C$100 = table_all!M$1), 0),
         MATCH(table_all!M$2, results_spb!$1:$1, 0)))</f>
        <v>-2.3170000000000002</v>
      </c>
      <c r="N31" s="12" cm="1">
        <f t="array" ref="N31">IF(INDEX(results_spb!$A$1:$Y$100,
          MATCH(1, (results_spb!$A$1:$A$100 = table_all!$B31) * (results_spb!$C$1:$C$100 = table_all!N$1), 0),
          MATCH(table_all!N$2, results_spb!$1:$1, 0)) = 0,
   "...",
   INDEX(results_spb!$A$1:$Y$100,
         MATCH(1, (results_spb!$A$1:$A$100 = table_all!$B31) * (results_spb!$C$1:$C$100 = table_all!N$1), 0),
         MATCH(table_all!N$2, results_spb!$1:$1, 0)))</f>
        <v>-2.4769999999999999</v>
      </c>
      <c r="P31" s="12" cm="1">
        <f t="array" ref="P31">IF(INDEX(results_spb!$A$1:$Y$100,
          MATCH(1, (results_spb!$A$1:$A$100 = table_all!$B31) * (results_spb!$C$1:$C$100 = table_all!P$1), 0),
          MATCH(table_all!P$2, results_spb!$1:$1, 0)) = 0,
   "...",
   INDEX(results_spb!$A$1:$Y$100,
         MATCH(1, (results_spb!$A$1:$A$100 = table_all!$B31) * (results_spb!$C$1:$C$100 = table_all!P$1), 0),
         MATCH(table_all!P$2, results_spb!$1:$1, 0)))</f>
        <v>-2.6669999999999998</v>
      </c>
      <c r="Q31" s="12" cm="1">
        <f t="array" ref="Q31">IF(INDEX(results_spb!$A$1:$Y$100,
          MATCH(1, (results_spb!$A$1:$A$100 = table_all!$B31) * (results_spb!$C$1:$C$100 = table_all!Q$1), 0),
          MATCH(table_all!Q$2, results_spb!$1:$1, 0)) = 0,
   "...",
   INDEX(results_spb!$A$1:$Y$100,
         MATCH(1, (results_spb!$A$1:$A$100 = table_all!$B31) * (results_spb!$C$1:$C$100 = table_all!Q$1), 0),
         MATCH(table_all!Q$2, results_spb!$1:$1, 0)))</f>
        <v>-2.7730000000000001</v>
      </c>
      <c r="S31" s="12" cm="1">
        <f t="array" ref="S31">IF(INDEX(results_spb!$A$1:$Y$100,
          MATCH(1, (results_spb!$A$1:$A$100 = table_all!$B31) * (results_spb!$C$1:$C$100 = table_all!S$1), 0),
          MATCH(table_all!S$2, results_spb!$1:$1, 0)) = 0,
   "...",
   INDEX(results_spb!$A$1:$Y$100,
         MATCH(1, (results_spb!$A$1:$A$100 = table_all!$B31) * (results_spb!$C$1:$C$100 = table_all!S$1), 0),
         MATCH(table_all!S$2, results_spb!$1:$1, 0)))</f>
        <v>-3.52</v>
      </c>
      <c r="T31" s="12" cm="1">
        <f t="array" ref="T31">IF(INDEX(results_spb!$A$1:$Y$100,
          MATCH(1, (results_spb!$A$1:$A$100 = table_all!$B31) * (results_spb!$C$1:$C$100 = table_all!T$1), 0),
          MATCH(table_all!T$2, results_spb!$1:$1, 0)) = 0,
   "...",
   INDEX(results_spb!$A$1:$Y$100,
         MATCH(1, (results_spb!$A$1:$A$100 = table_all!$B31) * (results_spb!$C$1:$C$100 = table_all!T$1), 0),
         MATCH(table_all!T$2, results_spb!$1:$1, 0)))</f>
        <v>-3.4159999999999999</v>
      </c>
      <c r="V31" s="12" cm="1">
        <f t="array" ref="V31">IF(INDEX(results_spb!$A$1:$Y$100,
          MATCH(1, (results_spb!$A$1:$A$100 = table_all!$B31) * (results_spb!$C$1:$C$100 = table_all!V$1), 0),
          MATCH(table_all!V$2, results_spb!$1:$1, 0)) = 0,
   "...",
   INDEX(results_spb!$A$1:$Y$100,
         MATCH(1, (results_spb!$A$1:$A$100 = table_all!$B31) * (results_spb!$C$1:$C$100 = table_all!V$1), 0),
         MATCH(table_all!V$2, results_spb!$1:$1, 0)))</f>
        <v>-1.0760000000000001</v>
      </c>
      <c r="W31" s="12" cm="1">
        <f t="array" ref="W31">IF(INDEX(results_spb!$A$1:$Y$100,
          MATCH(1, (results_spb!$A$1:$A$100 = table_all!$B31) * (results_spb!$C$1:$C$100 = table_all!W$1), 0),
          MATCH(table_all!W$2, results_spb!$1:$1, 0)) = 0,
   "...",
   INDEX(results_spb!$A$1:$Y$100,
         MATCH(1, (results_spb!$A$1:$A$100 = table_all!$B31) * (results_spb!$C$1:$C$100 = table_all!W$1), 0),
         MATCH(table_all!W$2, results_spb!$1:$1, 0)))</f>
        <v>-1.661</v>
      </c>
      <c r="Y31" s="12" t="str" cm="1">
        <f t="array" ref="Y31">IF(INDEX(results_spb!$A$1:$Y$100,
          MATCH(1, (results_spb!$A$1:$A$100 = table_all!$B31) * (results_spb!$C$1:$C$100 = table_all!Y$1), 0),
          MATCH(table_all!Y$2, results_spb!$1:$1, 0)) = 0,
   "...",
   INDEX(results_spb!$A$1:$Y$100,
         MATCH(1, (results_spb!$A$1:$A$100 = table_all!$B31) * (results_spb!$C$1:$C$100 = table_all!Y$1), 0),
         MATCH(table_all!Y$2, results_spb!$1:$1, 0)))</f>
        <v>...</v>
      </c>
      <c r="Z31" s="12" t="str" cm="1">
        <f t="array" ref="Z31">IF(INDEX(results_spb!$A$1:$Y$100,
          MATCH(1, (results_spb!$A$1:$A$100 = table_all!$B31) * (results_spb!$C$1:$C$100 = table_all!Z$1), 0),
          MATCH(table_all!Z$2, results_spb!$1:$1, 0)) = 0,
   "...",
   INDEX(results_spb!$A$1:$Y$100,
         MATCH(1, (results_spb!$A$1:$A$100 = table_all!$B31) * (results_spb!$C$1:$C$100 = table_all!Z$1), 0),
         MATCH(table_all!Z$2, results_spb!$1:$1, 0)))</f>
        <v>...</v>
      </c>
      <c r="AA31" s="14"/>
      <c r="AB31" s="12" t="str" cm="1">
        <f t="array" ref="AB31">IF(INDEX(results_spb!$A$1:$Y$100,
          MATCH(1, (results_spb!$A$1:$A$100 = table_all!$B31) * (results_spb!$C$1:$C$100 = table_all!AB$1), 0),
          MATCH(table_all!AB$2, results_spb!$1:$1, 0)) = 0,
   "...",
   INDEX(results_spb!$A$1:$Y$100,
         MATCH(1, (results_spb!$A$1:$A$100 = table_all!$B31) * (results_spb!$C$1:$C$100 = table_all!AB$1), 0),
         MATCH(table_all!AB$2, results_spb!$1:$1, 0)))</f>
        <v>...</v>
      </c>
      <c r="AC31" s="12" t="str" cm="1">
        <f t="array" ref="AC31">IF(INDEX(results_spb!$A$1:$Y$100,
          MATCH(1, (results_spb!$A$1:$A$100 = table_all!$B31) * (results_spb!$C$1:$C$100 = table_all!AC$1), 0),
          MATCH(table_all!AC$2, results_spb!$1:$1, 0)) = 0,
   "...",
   INDEX(results_spb!$A$1:$Y$100,
         MATCH(1, (results_spb!$A$1:$A$100 = table_all!$B31) * (results_spb!$C$1:$C$100 = table_all!AC$1), 0),
         MATCH(table_all!AC$2, results_spb!$1:$1, 0)))</f>
        <v>...</v>
      </c>
      <c r="AD31" s="14"/>
      <c r="AE31" s="12">
        <f t="shared" si="2"/>
        <v>-1.0760000000000001</v>
      </c>
      <c r="AF31" s="12">
        <f t="shared" si="2"/>
        <v>-1.661</v>
      </c>
      <c r="AG31" s="14"/>
      <c r="AH31" s="3">
        <f t="shared" si="0"/>
        <v>-0.44220000000000004</v>
      </c>
      <c r="AI31" s="3">
        <f t="shared" si="1"/>
        <v>-0.33625714285714287</v>
      </c>
    </row>
    <row r="32" spans="1:36">
      <c r="A32" s="25" t="s">
        <v>71</v>
      </c>
      <c r="B32" s="22" t="str">
        <f>INDEX(Table1[#All], MATCH($A32, ameco_2024_data!$A:$A, 0), MATCH(B$2, ameco_2024_data!$1:$1, 0))</f>
        <v>Luxembourg</v>
      </c>
      <c r="C32" s="15">
        <f>INDEX(Table1[#All], MATCH($A32, ameco_2024_data!$A:$A, 0), MATCH(C$2, ameco_2024_data!$1:$1, 0))</f>
        <v>27.071300000000001</v>
      </c>
      <c r="D32" s="12">
        <f>INDEX(Table1[#All], MATCH($A32, ameco_2024_data!$A:$A, 0), MATCH(D$2, ameco_2024_data!$1:$1, 0))</f>
        <v>-1.6989411000000001</v>
      </c>
      <c r="E32" s="12">
        <f>INDEX(Table1[#All], MATCH($A32, ameco_2024_data!$A:$A, 0), MATCH(E$2, ameco_2024_data!$1:$1, 0))</f>
        <v>9.7699999999999995E-2</v>
      </c>
      <c r="G32" s="12" cm="1">
        <f t="array" ref="G32">IF(INDEX(results_spb!$A$1:$Y$100,
          MATCH(1, (results_spb!$A$1:$A$100 = table_all!$B32) * (results_spb!$C$1:$C$100 = table_all!G$1), 0),
          MATCH(table_all!G$2, results_spb!$1:$1, 0)) = 0,
   "...",
   INDEX(results_spb!$A$1:$Y$100,
         MATCH(1, (results_spb!$A$1:$A$100 = table_all!$B32) * (results_spb!$C$1:$C$100 = table_all!G$1), 0),
         MATCH(table_all!G$2, results_spb!$1:$1, 0)))</f>
        <v>-3.4380000000000002</v>
      </c>
      <c r="H32" s="12" cm="1">
        <f t="array" ref="H32">IF(INDEX(results_spb!$A$1:$Y$100,
          MATCH(1, (results_spb!$A$1:$A$100 = table_all!$B32) * (results_spb!$C$1:$C$100 = table_all!H$1), 0),
          MATCH(table_all!H$2, results_spb!$1:$1, 0)) = 0,
   "...",
   INDEX(results_spb!$A$1:$Y$100,
         MATCH(1, (results_spb!$A$1:$A$100 = table_all!$B32) * (results_spb!$C$1:$C$100 = table_all!H$1), 0),
         MATCH(table_all!H$2, results_spb!$1:$1, 0)))</f>
        <v>-3.3580000000000001</v>
      </c>
      <c r="J32" s="12" cm="1">
        <f t="array" ref="J32">IF(INDEX(results_spb!$A$1:$Y$100,
          MATCH(1, (results_spb!$A$1:$A$100 = table_all!$B32) * (results_spb!$C$1:$C$100 = table_all!J$1), 0),
          MATCH(table_all!J$2, results_spb!$1:$1, 0)) = 0,
   "...",
   INDEX(results_spb!$A$1:$Y$100,
         MATCH(1, (results_spb!$A$1:$A$100 = table_all!$B32) * (results_spb!$C$1:$C$100 = table_all!J$1), 0),
         MATCH(table_all!J$2, results_spb!$1:$1, 0)))</f>
        <v>-3.2069999999999999</v>
      </c>
      <c r="K32" s="12" cm="1">
        <f t="array" ref="K32">IF(INDEX(results_spb!$A$1:$Y$100,
          MATCH(1, (results_spb!$A$1:$A$100 = table_all!$B32) * (results_spb!$C$1:$C$100 = table_all!K$1), 0),
          MATCH(table_all!K$2, results_spb!$1:$1, 0)) = 0,
   "...",
   INDEX(results_spb!$A$1:$Y$100,
         MATCH(1, (results_spb!$A$1:$A$100 = table_all!$B32) * (results_spb!$C$1:$C$100 = table_all!K$1), 0),
         MATCH(table_all!K$2, results_spb!$1:$1, 0)))</f>
        <v>-3.1549999999999998</v>
      </c>
      <c r="M32" s="12" cm="1">
        <f t="array" ref="M32">IF(INDEX(results_spb!$A$1:$Y$100,
          MATCH(1, (results_spb!$A$1:$A$100 = table_all!$B32) * (results_spb!$C$1:$C$100 = table_all!M$1), 0),
          MATCH(table_all!M$2, results_spb!$1:$1, 0)) = 0,
   "...",
   INDEX(results_spb!$A$1:$Y$100,
         MATCH(1, (results_spb!$A$1:$A$100 = table_all!$B32) * (results_spb!$C$1:$C$100 = table_all!M$1), 0),
         MATCH(table_all!M$2, results_spb!$1:$1, 0)))</f>
        <v>-3.0579999999999998</v>
      </c>
      <c r="N32" s="12" cm="1">
        <f t="array" ref="N32">IF(INDEX(results_spb!$A$1:$Y$100,
          MATCH(1, (results_spb!$A$1:$A$100 = table_all!$B32) * (results_spb!$C$1:$C$100 = table_all!N$1), 0),
          MATCH(table_all!N$2, results_spb!$1:$1, 0)) = 0,
   "...",
   INDEX(results_spb!$A$1:$Y$100,
         MATCH(1, (results_spb!$A$1:$A$100 = table_all!$B32) * (results_spb!$C$1:$C$100 = table_all!N$1), 0),
         MATCH(table_all!N$2, results_spb!$1:$1, 0)))</f>
        <v>-3.0369999999999999</v>
      </c>
      <c r="P32" s="12" cm="1">
        <f t="array" ref="P32">IF(INDEX(results_spb!$A$1:$Y$100,
          MATCH(1, (results_spb!$A$1:$A$100 = table_all!$B32) * (results_spb!$C$1:$C$100 = table_all!P$1), 0),
          MATCH(table_all!P$2, results_spb!$1:$1, 0)) = 0,
   "...",
   INDEX(results_spb!$A$1:$Y$100,
         MATCH(1, (results_spb!$A$1:$A$100 = table_all!$B32) * (results_spb!$C$1:$C$100 = table_all!P$1), 0),
         MATCH(table_all!P$2, results_spb!$1:$1, 0)))</f>
        <v>-3.4220000000000002</v>
      </c>
      <c r="Q32" s="12" cm="1">
        <f t="array" ref="Q32">IF(INDEX(results_spb!$A$1:$Y$100,
          MATCH(1, (results_spb!$A$1:$A$100 = table_all!$B32) * (results_spb!$C$1:$C$100 = table_all!Q$1), 0),
          MATCH(table_all!Q$2, results_spb!$1:$1, 0)) = 0,
   "...",
   INDEX(results_spb!$A$1:$Y$100,
         MATCH(1, (results_spb!$A$1:$A$100 = table_all!$B32) * (results_spb!$C$1:$C$100 = table_all!Q$1), 0),
         MATCH(table_all!Q$2, results_spb!$1:$1, 0)))</f>
        <v>-3.3450000000000002</v>
      </c>
      <c r="S32" s="12" cm="1">
        <f t="array" ref="S32">IF(INDEX(results_spb!$A$1:$Y$100,
          MATCH(1, (results_spb!$A$1:$A$100 = table_all!$B32) * (results_spb!$C$1:$C$100 = table_all!S$1), 0),
          MATCH(table_all!S$2, results_spb!$1:$1, 0)) = 0,
   "...",
   INDEX(results_spb!$A$1:$Y$100,
         MATCH(1, (results_spb!$A$1:$A$100 = table_all!$B32) * (results_spb!$C$1:$C$100 = table_all!S$1), 0),
         MATCH(table_all!S$2, results_spb!$1:$1, 0)))</f>
        <v>-5.0549999999999997</v>
      </c>
      <c r="T32" s="12" cm="1">
        <f t="array" ref="T32">IF(INDEX(results_spb!$A$1:$Y$100,
          MATCH(1, (results_spb!$A$1:$A$100 = table_all!$B32) * (results_spb!$C$1:$C$100 = table_all!T$1), 0),
          MATCH(table_all!T$2, results_spb!$1:$1, 0)) = 0,
   "...",
   INDEX(results_spb!$A$1:$Y$100,
         MATCH(1, (results_spb!$A$1:$A$100 = table_all!$B32) * (results_spb!$C$1:$C$100 = table_all!T$1), 0),
         MATCH(table_all!T$2, results_spb!$1:$1, 0)))</f>
        <v>-4.6900000000000004</v>
      </c>
      <c r="V32" s="12" cm="1">
        <f t="array" ref="V32">IF(INDEX(results_spb!$A$1:$Y$100,
          MATCH(1, (results_spb!$A$1:$A$100 = table_all!$B32) * (results_spb!$C$1:$C$100 = table_all!V$1), 0),
          MATCH(table_all!V$2, results_spb!$1:$1, 0)) = 0,
   "...",
   INDEX(results_spb!$A$1:$Y$100,
         MATCH(1, (results_spb!$A$1:$A$100 = table_all!$B32) * (results_spb!$C$1:$C$100 = table_all!V$1), 0),
         MATCH(table_all!V$2, results_spb!$1:$1, 0)))</f>
        <v>-0.75</v>
      </c>
      <c r="W32" s="12" cm="1">
        <f t="array" ref="W32">IF(INDEX(results_spb!$A$1:$Y$100,
          MATCH(1, (results_spb!$A$1:$A$100 = table_all!$B32) * (results_spb!$C$1:$C$100 = table_all!W$1), 0),
          MATCH(table_all!W$2, results_spb!$1:$1, 0)) = 0,
   "...",
   INDEX(results_spb!$A$1:$Y$100,
         MATCH(1, (results_spb!$A$1:$A$100 = table_all!$B32) * (results_spb!$C$1:$C$100 = table_all!W$1), 0),
         MATCH(table_all!W$2, results_spb!$1:$1, 0)))</f>
        <v>-0.83799999999999997</v>
      </c>
      <c r="Y32" s="12" t="str" cm="1">
        <f t="array" ref="Y32">IF(INDEX(results_spb!$A$1:$Y$100,
          MATCH(1, (results_spb!$A$1:$A$100 = table_all!$B32) * (results_spb!$C$1:$C$100 = table_all!Y$1), 0),
          MATCH(table_all!Y$2, results_spb!$1:$1, 0)) = 0,
   "...",
   INDEX(results_spb!$A$1:$Y$100,
         MATCH(1, (results_spb!$A$1:$A$100 = table_all!$B32) * (results_spb!$C$1:$C$100 = table_all!Y$1), 0),
         MATCH(table_all!Y$2, results_spb!$1:$1, 0)))</f>
        <v>...</v>
      </c>
      <c r="Z32" s="12" t="str" cm="1">
        <f t="array" ref="Z32">IF(INDEX(results_spb!$A$1:$Y$100,
          MATCH(1, (results_spb!$A$1:$A$100 = table_all!$B32) * (results_spb!$C$1:$C$100 = table_all!Z$1), 0),
          MATCH(table_all!Z$2, results_spb!$1:$1, 0)) = 0,
   "...",
   INDEX(results_spb!$A$1:$Y$100,
         MATCH(1, (results_spb!$A$1:$A$100 = table_all!$B32) * (results_spb!$C$1:$C$100 = table_all!Z$1), 0),
         MATCH(table_all!Z$2, results_spb!$1:$1, 0)))</f>
        <v>...</v>
      </c>
      <c r="AA32" s="14"/>
      <c r="AB32" s="12" t="str" cm="1">
        <f t="array" ref="AB32">IF(INDEX(results_spb!$A$1:$Y$100,
          MATCH(1, (results_spb!$A$1:$A$100 = table_all!$B32) * (results_spb!$C$1:$C$100 = table_all!AB$1), 0),
          MATCH(table_all!AB$2, results_spb!$1:$1, 0)) = 0,
   "...",
   INDEX(results_spb!$A$1:$Y$100,
         MATCH(1, (results_spb!$A$1:$A$100 = table_all!$B32) * (results_spb!$C$1:$C$100 = table_all!AB$1), 0),
         MATCH(table_all!AB$2, results_spb!$1:$1, 0)))</f>
        <v>...</v>
      </c>
      <c r="AC32" s="12" t="str" cm="1">
        <f t="array" ref="AC32">IF(INDEX(results_spb!$A$1:$Y$100,
          MATCH(1, (results_spb!$A$1:$A$100 = table_all!$B32) * (results_spb!$C$1:$C$100 = table_all!AC$1), 0),
          MATCH(table_all!AC$2, results_spb!$1:$1, 0)) = 0,
   "...",
   INDEX(results_spb!$A$1:$Y$100,
         MATCH(1, (results_spb!$A$1:$A$100 = table_all!$B32) * (results_spb!$C$1:$C$100 = table_all!AC$1), 0),
         MATCH(table_all!AC$2, results_spb!$1:$1, 0)))</f>
        <v>...</v>
      </c>
      <c r="AD32" s="14"/>
      <c r="AE32" s="12">
        <f t="shared" si="2"/>
        <v>-0.75</v>
      </c>
      <c r="AF32" s="12">
        <f t="shared" si="2"/>
        <v>-0.83799999999999997</v>
      </c>
      <c r="AG32" s="14"/>
      <c r="AH32" s="3">
        <f t="shared" si="0"/>
        <v>-0.211925</v>
      </c>
      <c r="AI32" s="3">
        <f t="shared" si="1"/>
        <v>-0.13367142857142858</v>
      </c>
    </row>
    <row r="33" spans="1:35">
      <c r="A33" s="25" t="s">
        <v>36</v>
      </c>
      <c r="B33" s="22" t="str">
        <f>INDEX(Table1[#All], MATCH($A33, ameco_2024_data!$A:$A, 0), MATCH(B$2, ameco_2024_data!$1:$1, 0))</f>
        <v>Denmark</v>
      </c>
      <c r="C33" s="15">
        <f>INDEX(Table1[#All], MATCH($A33, ameco_2024_data!$A:$A, 0), MATCH(C$2, ameco_2024_data!$1:$1, 0))</f>
        <v>26.5108</v>
      </c>
      <c r="D33" s="12">
        <f>INDEX(Table1[#All], MATCH($A33, ameco_2024_data!$A:$A, 0), MATCH(D$2, ameco_2024_data!$1:$1, 0))</f>
        <v>2.4379778999999999</v>
      </c>
      <c r="E33" s="12">
        <f>INDEX(Table1[#All], MATCH($A33, ameco_2024_data!$A:$A, 0), MATCH(E$2, ameco_2024_data!$1:$1, 0))</f>
        <v>2.9142999999999999</v>
      </c>
      <c r="G33" s="12" cm="1">
        <f t="array" ref="G33">IF(INDEX(results_spb!$A$1:$Y$100,
          MATCH(1, (results_spb!$A$1:$A$100 = table_all!$B33) * (results_spb!$C$1:$C$100 = table_all!G$1), 0),
          MATCH(table_all!G$2, results_spb!$1:$1, 0)) = 0,
   "...",
   INDEX(results_spb!$A$1:$Y$100,
         MATCH(1, (results_spb!$A$1:$A$100 = table_all!$B33) * (results_spb!$C$1:$C$100 = table_all!G$1), 0),
         MATCH(table_all!G$2, results_spb!$1:$1, 0)))</f>
        <v>-3.2909999999999999</v>
      </c>
      <c r="H33" s="12" cm="1">
        <f t="array" ref="H33">IF(INDEX(results_spb!$A$1:$Y$100,
          MATCH(1, (results_spb!$A$1:$A$100 = table_all!$B33) * (results_spb!$C$1:$C$100 = table_all!H$1), 0),
          MATCH(table_all!H$2, results_spb!$1:$1, 0)) = 0,
   "...",
   INDEX(results_spb!$A$1:$Y$100,
         MATCH(1, (results_spb!$A$1:$A$100 = table_all!$B33) * (results_spb!$C$1:$C$100 = table_all!H$1), 0),
         MATCH(table_all!H$2, results_spb!$1:$1, 0)))</f>
        <v>-3.4630000000000001</v>
      </c>
      <c r="J33" s="12" cm="1">
        <f t="array" ref="J33">IF(INDEX(results_spb!$A$1:$Y$100,
          MATCH(1, (results_spb!$A$1:$A$100 = table_all!$B33) * (results_spb!$C$1:$C$100 = table_all!J$1), 0),
          MATCH(table_all!J$2, results_spb!$1:$1, 0)) = 0,
   "...",
   INDEX(results_spb!$A$1:$Y$100,
         MATCH(1, (results_spb!$A$1:$A$100 = table_all!$B33) * (results_spb!$C$1:$C$100 = table_all!J$1), 0),
         MATCH(table_all!J$2, results_spb!$1:$1, 0)))</f>
        <v>-3.0110000000000001</v>
      </c>
      <c r="K33" s="12" cm="1">
        <f t="array" ref="K33">IF(INDEX(results_spb!$A$1:$Y$100,
          MATCH(1, (results_spb!$A$1:$A$100 = table_all!$B33) * (results_spb!$C$1:$C$100 = table_all!K$1), 0),
          MATCH(table_all!K$2, results_spb!$1:$1, 0)) = 0,
   "...",
   INDEX(results_spb!$A$1:$Y$100,
         MATCH(1, (results_spb!$A$1:$A$100 = table_all!$B33) * (results_spb!$C$1:$C$100 = table_all!K$1), 0),
         MATCH(table_all!K$2, results_spb!$1:$1, 0)))</f>
        <v>-3.2090000000000001</v>
      </c>
      <c r="M33" s="12" cm="1">
        <f t="array" ref="M33">IF(INDEX(results_spb!$A$1:$Y$100,
          MATCH(1, (results_spb!$A$1:$A$100 = table_all!$B33) * (results_spb!$C$1:$C$100 = table_all!M$1), 0),
          MATCH(table_all!M$2, results_spb!$1:$1, 0)) = 0,
   "...",
   INDEX(results_spb!$A$1:$Y$100,
         MATCH(1, (results_spb!$A$1:$A$100 = table_all!$B33) * (results_spb!$C$1:$C$100 = table_all!M$1), 0),
         MATCH(table_all!M$2, results_spb!$1:$1, 0)))</f>
        <v>-2.9159999999999999</v>
      </c>
      <c r="N33" s="12" cm="1">
        <f t="array" ref="N33">IF(INDEX(results_spb!$A$1:$Y$100,
          MATCH(1, (results_spb!$A$1:$A$100 = table_all!$B33) * (results_spb!$C$1:$C$100 = table_all!N$1), 0),
          MATCH(table_all!N$2, results_spb!$1:$1, 0)) = 0,
   "...",
   INDEX(results_spb!$A$1:$Y$100,
         MATCH(1, (results_spb!$A$1:$A$100 = table_all!$B33) * (results_spb!$C$1:$C$100 = table_all!N$1), 0),
         MATCH(table_all!N$2, results_spb!$1:$1, 0)))</f>
        <v>-3.1469999999999998</v>
      </c>
      <c r="P33" s="12" cm="1">
        <f t="array" ref="P33">IF(INDEX(results_spb!$A$1:$Y$100,
          MATCH(1, (results_spb!$A$1:$A$100 = table_all!$B33) * (results_spb!$C$1:$C$100 = table_all!P$1), 0),
          MATCH(table_all!P$2, results_spb!$1:$1, 0)) = 0,
   "...",
   INDEX(results_spb!$A$1:$Y$100,
         MATCH(1, (results_spb!$A$1:$A$100 = table_all!$B33) * (results_spb!$C$1:$C$100 = table_all!P$1), 0),
         MATCH(table_all!P$2, results_spb!$1:$1, 0)))</f>
        <v>-3.2679999999999998</v>
      </c>
      <c r="Q33" s="12" cm="1">
        <f t="array" ref="Q33">IF(INDEX(results_spb!$A$1:$Y$100,
          MATCH(1, (results_spb!$A$1:$A$100 = table_all!$B33) * (results_spb!$C$1:$C$100 = table_all!Q$1), 0),
          MATCH(table_all!Q$2, results_spb!$1:$1, 0)) = 0,
   "...",
   INDEX(results_spb!$A$1:$Y$100,
         MATCH(1, (results_spb!$A$1:$A$100 = table_all!$B33) * (results_spb!$C$1:$C$100 = table_all!Q$1), 0),
         MATCH(table_all!Q$2, results_spb!$1:$1, 0)))</f>
        <v>-3.4409999999999998</v>
      </c>
      <c r="S33" s="12" cm="1">
        <f t="array" ref="S33">IF(INDEX(results_spb!$A$1:$Y$100,
          MATCH(1, (results_spb!$A$1:$A$100 = table_all!$B33) * (results_spb!$C$1:$C$100 = table_all!S$1), 0),
          MATCH(table_all!S$2, results_spb!$1:$1, 0)) = 0,
   "...",
   INDEX(results_spb!$A$1:$Y$100,
         MATCH(1, (results_spb!$A$1:$A$100 = table_all!$B33) * (results_spb!$C$1:$C$100 = table_all!S$1), 0),
         MATCH(table_all!S$2, results_spb!$1:$1, 0)))</f>
        <v>-5.54</v>
      </c>
      <c r="T33" s="12" cm="1">
        <f t="array" ref="T33">IF(INDEX(results_spb!$A$1:$Y$100,
          MATCH(1, (results_spb!$A$1:$A$100 = table_all!$B33) * (results_spb!$C$1:$C$100 = table_all!T$1), 0),
          MATCH(table_all!T$2, results_spb!$1:$1, 0)) = 0,
   "...",
   INDEX(results_spb!$A$1:$Y$100,
         MATCH(1, (results_spb!$A$1:$A$100 = table_all!$B33) * (results_spb!$C$1:$C$100 = table_all!T$1), 0),
         MATCH(table_all!T$2, results_spb!$1:$1, 0)))</f>
        <v>-5.2629999999999999</v>
      </c>
      <c r="V33" s="12" cm="1">
        <f t="array" ref="V33">IF(INDEX(results_spb!$A$1:$Y$100,
          MATCH(1, (results_spb!$A$1:$A$100 = table_all!$B33) * (results_spb!$C$1:$C$100 = table_all!V$1), 0),
          MATCH(table_all!V$2, results_spb!$1:$1, 0)) = 0,
   "...",
   INDEX(results_spb!$A$1:$Y$100,
         MATCH(1, (results_spb!$A$1:$A$100 = table_all!$B33) * (results_spb!$C$1:$C$100 = table_all!V$1), 0),
         MATCH(table_all!V$2, results_spb!$1:$1, 0)))</f>
        <v>-1.1930000000000001</v>
      </c>
      <c r="W33" s="12" cm="1">
        <f t="array" ref="W33">IF(INDEX(results_spb!$A$1:$Y$100,
          MATCH(1, (results_spb!$A$1:$A$100 = table_all!$B33) * (results_spb!$C$1:$C$100 = table_all!W$1), 0),
          MATCH(table_all!W$2, results_spb!$1:$1, 0)) = 0,
   "...",
   INDEX(results_spb!$A$1:$Y$100,
         MATCH(1, (results_spb!$A$1:$A$100 = table_all!$B33) * (results_spb!$C$1:$C$100 = table_all!W$1), 0),
         MATCH(table_all!W$2, results_spb!$1:$1, 0)))</f>
        <v>-1.571</v>
      </c>
      <c r="Y33" s="12" t="str" cm="1">
        <f t="array" ref="Y33">IF(INDEX(results_spb!$A$1:$Y$100,
          MATCH(1, (results_spb!$A$1:$A$100 = table_all!$B33) * (results_spb!$C$1:$C$100 = table_all!Y$1), 0),
          MATCH(table_all!Y$2, results_spb!$1:$1, 0)) = 0,
   "...",
   INDEX(results_spb!$A$1:$Y$100,
         MATCH(1, (results_spb!$A$1:$A$100 = table_all!$B33) * (results_spb!$C$1:$C$100 = table_all!Y$1), 0),
         MATCH(table_all!Y$2, results_spb!$1:$1, 0)))</f>
        <v>...</v>
      </c>
      <c r="Z33" s="12" t="str" cm="1">
        <f t="array" ref="Z33">IF(INDEX(results_spb!$A$1:$Y$100,
          MATCH(1, (results_spb!$A$1:$A$100 = table_all!$B33) * (results_spb!$C$1:$C$100 = table_all!Z$1), 0),
          MATCH(table_all!Z$2, results_spb!$1:$1, 0)) = 0,
   "...",
   INDEX(results_spb!$A$1:$Y$100,
         MATCH(1, (results_spb!$A$1:$A$100 = table_all!$B33) * (results_spb!$C$1:$C$100 = table_all!Z$1), 0),
         MATCH(table_all!Z$2, results_spb!$1:$1, 0)))</f>
        <v>...</v>
      </c>
      <c r="AA33" s="14"/>
      <c r="AB33" s="12" t="str" cm="1">
        <f t="array" ref="AB33">IF(INDEX(results_spb!$A$1:$Y$100,
          MATCH(1, (results_spb!$A$1:$A$100 = table_all!$B33) * (results_spb!$C$1:$C$100 = table_all!AB$1), 0),
          MATCH(table_all!AB$2, results_spb!$1:$1, 0)) = 0,
   "...",
   INDEX(results_spb!$A$1:$Y$100,
         MATCH(1, (results_spb!$A$1:$A$100 = table_all!$B33) * (results_spb!$C$1:$C$100 = table_all!AB$1), 0),
         MATCH(table_all!AB$2, results_spb!$1:$1, 0)))</f>
        <v>...</v>
      </c>
      <c r="AC33" s="12" t="str" cm="1">
        <f t="array" ref="AC33">IF(INDEX(results_spb!$A$1:$Y$100,
          MATCH(1, (results_spb!$A$1:$A$100 = table_all!$B33) * (results_spb!$C$1:$C$100 = table_all!AC$1), 0),
          MATCH(table_all!AC$2, results_spb!$1:$1, 0)) = 0,
   "...",
   INDEX(results_spb!$A$1:$Y$100,
         MATCH(1, (results_spb!$A$1:$A$100 = table_all!$B33) * (results_spb!$C$1:$C$100 = table_all!AC$1), 0),
         MATCH(table_all!AC$2, results_spb!$1:$1, 0)))</f>
        <v>...</v>
      </c>
      <c r="AD33" s="14"/>
      <c r="AE33" s="12">
        <f t="shared" si="2"/>
        <v>-1.1930000000000001</v>
      </c>
      <c r="AF33" s="12">
        <f t="shared" si="2"/>
        <v>-1.571</v>
      </c>
      <c r="AG33" s="14"/>
      <c r="AH33" s="3">
        <f t="shared" si="0"/>
        <v>-1.0268250000000001</v>
      </c>
      <c r="AI33" s="3">
        <f t="shared" si="1"/>
        <v>-0.6407571428571428</v>
      </c>
    </row>
    <row r="34" spans="1:35">
      <c r="A34" s="25" t="s">
        <v>32</v>
      </c>
      <c r="B34" s="22" t="str">
        <f>INDEX(Table1[#All], MATCH($A34, ameco_2024_data!$A:$A, 0), MATCH(B$2, ameco_2024_data!$1:$1, 0))</f>
        <v>Bulgaria</v>
      </c>
      <c r="C34" s="15">
        <f>INDEX(Table1[#All], MATCH($A34, ameco_2024_data!$A:$A, 0), MATCH(C$2, ameco_2024_data!$1:$1, 0))</f>
        <v>24.818000000000001</v>
      </c>
      <c r="D34" s="12">
        <f>INDEX(Table1[#All], MATCH($A34, ameco_2024_data!$A:$A, 0), MATCH(D$2, ameco_2024_data!$1:$1, 0))</f>
        <v>-2.7581267999999999</v>
      </c>
      <c r="E34" s="12">
        <f>INDEX(Table1[#All], MATCH($A34, ameco_2024_data!$A:$A, 0), MATCH(E$2, ameco_2024_data!$1:$1, 0))</f>
        <v>-2.3408000000000002</v>
      </c>
      <c r="G34" s="12" cm="1">
        <f t="array" ref="G34">IF(INDEX(results_spb!$A$1:$Y$100,
          MATCH(1, (results_spb!$A$1:$A$100 = table_all!$B34) * (results_spb!$C$1:$C$100 = table_all!G$1), 0),
          MATCH(table_all!G$2, results_spb!$1:$1, 0)) = 0,
   "...",
   INDEX(results_spb!$A$1:$Y$100,
         MATCH(1, (results_spb!$A$1:$A$100 = table_all!$B34) * (results_spb!$C$1:$C$100 = table_all!G$1), 0),
         MATCH(table_all!G$2, results_spb!$1:$1, 0)))</f>
        <v>-3.4049999999999998</v>
      </c>
      <c r="H34" s="12" cm="1">
        <f t="array" ref="H34">IF(INDEX(results_spb!$A$1:$Y$100,
          MATCH(1, (results_spb!$A$1:$A$100 = table_all!$B34) * (results_spb!$C$1:$C$100 = table_all!H$1), 0),
          MATCH(table_all!H$2, results_spb!$1:$1, 0)) = 0,
   "...",
   INDEX(results_spb!$A$1:$Y$100,
         MATCH(1, (results_spb!$A$1:$A$100 = table_all!$B34) * (results_spb!$C$1:$C$100 = table_all!H$1), 0),
         MATCH(table_all!H$2, results_spb!$1:$1, 0)))</f>
        <v>-2.633</v>
      </c>
      <c r="J34" s="12" cm="1">
        <f t="array" ref="J34">IF(INDEX(results_spb!$A$1:$Y$100,
          MATCH(1, (results_spb!$A$1:$A$100 = table_all!$B34) * (results_spb!$C$1:$C$100 = table_all!J$1), 0),
          MATCH(table_all!J$2, results_spb!$1:$1, 0)) = 0,
   "...",
   INDEX(results_spb!$A$1:$Y$100,
         MATCH(1, (results_spb!$A$1:$A$100 = table_all!$B34) * (results_spb!$C$1:$C$100 = table_all!J$1), 0),
         MATCH(table_all!J$2, results_spb!$1:$1, 0)))</f>
        <v>-3.125</v>
      </c>
      <c r="K34" s="12" cm="1">
        <f t="array" ref="K34">IF(INDEX(results_spb!$A$1:$Y$100,
          MATCH(1, (results_spb!$A$1:$A$100 = table_all!$B34) * (results_spb!$C$1:$C$100 = table_all!K$1), 0),
          MATCH(table_all!K$2, results_spb!$1:$1, 0)) = 0,
   "...",
   INDEX(results_spb!$A$1:$Y$100,
         MATCH(1, (results_spb!$A$1:$A$100 = table_all!$B34) * (results_spb!$C$1:$C$100 = table_all!K$1), 0),
         MATCH(table_all!K$2, results_spb!$1:$1, 0)))</f>
        <v>-2.379</v>
      </c>
      <c r="M34" s="12" cm="1">
        <f t="array" ref="M34">IF(INDEX(results_spb!$A$1:$Y$100,
          MATCH(1, (results_spb!$A$1:$A$100 = table_all!$B34) * (results_spb!$C$1:$C$100 = table_all!M$1), 0),
          MATCH(table_all!M$2, results_spb!$1:$1, 0)) = 0,
   "...",
   INDEX(results_spb!$A$1:$Y$100,
         MATCH(1, (results_spb!$A$1:$A$100 = table_all!$B34) * (results_spb!$C$1:$C$100 = table_all!M$1), 0),
         MATCH(table_all!M$2, results_spb!$1:$1, 0)))</f>
        <v>-3.0289999999999999</v>
      </c>
      <c r="N34" s="12" cm="1">
        <f t="array" ref="N34">IF(INDEX(results_spb!$A$1:$Y$100,
          MATCH(1, (results_spb!$A$1:$A$100 = table_all!$B34) * (results_spb!$C$1:$C$100 = table_all!N$1), 0),
          MATCH(table_all!N$2, results_spb!$1:$1, 0)) = 0,
   "...",
   INDEX(results_spb!$A$1:$Y$100,
         MATCH(1, (results_spb!$A$1:$A$100 = table_all!$B34) * (results_spb!$C$1:$C$100 = table_all!N$1), 0),
         MATCH(table_all!N$2, results_spb!$1:$1, 0)))</f>
        <v>-2.3199999999999998</v>
      </c>
      <c r="P34" s="12" cm="1">
        <f t="array" ref="P34">IF(INDEX(results_spb!$A$1:$Y$100,
          MATCH(1, (results_spb!$A$1:$A$100 = table_all!$B34) * (results_spb!$C$1:$C$100 = table_all!P$1), 0),
          MATCH(table_all!P$2, results_spb!$1:$1, 0)) = 0,
   "...",
   INDEX(results_spb!$A$1:$Y$100,
         MATCH(1, (results_spb!$A$1:$A$100 = table_all!$B34) * (results_spb!$C$1:$C$100 = table_all!P$1), 0),
         MATCH(table_all!P$2, results_spb!$1:$1, 0)))</f>
        <v>-3.3730000000000002</v>
      </c>
      <c r="Q34" s="12" cm="1">
        <f t="array" ref="Q34">IF(INDEX(results_spb!$A$1:$Y$100,
          MATCH(1, (results_spb!$A$1:$A$100 = table_all!$B34) * (results_spb!$C$1:$C$100 = table_all!Q$1), 0),
          MATCH(table_all!Q$2, results_spb!$1:$1, 0)) = 0,
   "...",
   INDEX(results_spb!$A$1:$Y$100,
         MATCH(1, (results_spb!$A$1:$A$100 = table_all!$B34) * (results_spb!$C$1:$C$100 = table_all!Q$1), 0),
         MATCH(table_all!Q$2, results_spb!$1:$1, 0)))</f>
        <v>-2.605</v>
      </c>
      <c r="S34" s="12" cm="1">
        <f t="array" ref="S34">IF(INDEX(results_spb!$A$1:$Y$100,
          MATCH(1, (results_spb!$A$1:$A$100 = table_all!$B34) * (results_spb!$C$1:$C$100 = table_all!S$1), 0),
          MATCH(table_all!S$2, results_spb!$1:$1, 0)) = 0,
   "...",
   INDEX(results_spb!$A$1:$Y$100,
         MATCH(1, (results_spb!$A$1:$A$100 = table_all!$B34) * (results_spb!$C$1:$C$100 = table_all!S$1), 0),
         MATCH(table_all!S$2, results_spb!$1:$1, 0)))</f>
        <v>-3.7850000000000001</v>
      </c>
      <c r="T34" s="12" cm="1">
        <f t="array" ref="T34">IF(INDEX(results_spb!$A$1:$Y$100,
          MATCH(1, (results_spb!$A$1:$A$100 = table_all!$B34) * (results_spb!$C$1:$C$100 = table_all!T$1), 0),
          MATCH(table_all!T$2, results_spb!$1:$1, 0)) = 0,
   "...",
   INDEX(results_spb!$A$1:$Y$100,
         MATCH(1, (results_spb!$A$1:$A$100 = table_all!$B34) * (results_spb!$C$1:$C$100 = table_all!T$1), 0),
         MATCH(table_all!T$2, results_spb!$1:$1, 0)))</f>
        <v>-2.64</v>
      </c>
      <c r="V34" s="12" cm="1">
        <f t="array" ref="V34">IF(INDEX(results_spb!$A$1:$Y$100,
          MATCH(1, (results_spb!$A$1:$A$100 = table_all!$B34) * (results_spb!$C$1:$C$100 = table_all!V$1), 0),
          MATCH(table_all!V$2, results_spb!$1:$1, 0)) = 0,
   "...",
   INDEX(results_spb!$A$1:$Y$100,
         MATCH(1, (results_spb!$A$1:$A$100 = table_all!$B34) * (results_spb!$C$1:$C$100 = table_all!V$1), 0),
         MATCH(table_all!V$2, results_spb!$1:$1, 0)))</f>
        <v>-2.2029999999999998</v>
      </c>
      <c r="W34" s="12" cm="1">
        <f t="array" ref="W34">IF(INDEX(results_spb!$A$1:$Y$100,
          MATCH(1, (results_spb!$A$1:$A$100 = table_all!$B34) * (results_spb!$C$1:$C$100 = table_all!W$1), 0),
          MATCH(table_all!W$2, results_spb!$1:$1, 0)) = 0,
   "...",
   INDEX(results_spb!$A$1:$Y$100,
         MATCH(1, (results_spb!$A$1:$A$100 = table_all!$B34) * (results_spb!$C$1:$C$100 = table_all!W$1), 0),
         MATCH(table_all!W$2, results_spb!$1:$1, 0)))</f>
        <v>-1.792</v>
      </c>
      <c r="Y34" s="12" t="str" cm="1">
        <f t="array" ref="Y34">IF(INDEX(results_spb!$A$1:$Y$100,
          MATCH(1, (results_spb!$A$1:$A$100 = table_all!$B34) * (results_spb!$C$1:$C$100 = table_all!Y$1), 0),
          MATCH(table_all!Y$2, results_spb!$1:$1, 0)) = 0,
   "...",
   INDEX(results_spb!$A$1:$Y$100,
         MATCH(1, (results_spb!$A$1:$A$100 = table_all!$B34) * (results_spb!$C$1:$C$100 = table_all!Y$1), 0),
         MATCH(table_all!Y$2, results_spb!$1:$1, 0)))</f>
        <v>...</v>
      </c>
      <c r="Z34" s="12" t="str" cm="1">
        <f t="array" ref="Z34">IF(INDEX(results_spb!$A$1:$Y$100,
          MATCH(1, (results_spb!$A$1:$A$100 = table_all!$B34) * (results_spb!$C$1:$C$100 = table_all!Z$1), 0),
          MATCH(table_all!Z$2, results_spb!$1:$1, 0)) = 0,
   "...",
   INDEX(results_spb!$A$1:$Y$100,
         MATCH(1, (results_spb!$A$1:$A$100 = table_all!$B34) * (results_spb!$C$1:$C$100 = table_all!Z$1), 0),
         MATCH(table_all!Z$2, results_spb!$1:$1, 0)))</f>
        <v>...</v>
      </c>
      <c r="AA34" s="14"/>
      <c r="AB34" s="12" t="str" cm="1">
        <f t="array" ref="AB34">IF(INDEX(results_spb!$A$1:$Y$100,
          MATCH(1, (results_spb!$A$1:$A$100 = table_all!$B34) * (results_spb!$C$1:$C$100 = table_all!AB$1), 0),
          MATCH(table_all!AB$2, results_spb!$1:$1, 0)) = 0,
   "...",
   INDEX(results_spb!$A$1:$Y$100,
         MATCH(1, (results_spb!$A$1:$A$100 = table_all!$B34) * (results_spb!$C$1:$C$100 = table_all!AB$1), 0),
         MATCH(table_all!AB$2, results_spb!$1:$1, 0)))</f>
        <v>...</v>
      </c>
      <c r="AC34" s="12" t="str" cm="1">
        <f t="array" ref="AC34">IF(INDEX(results_spb!$A$1:$Y$100,
          MATCH(1, (results_spb!$A$1:$A$100 = table_all!$B34) * (results_spb!$C$1:$C$100 = table_all!AC$1), 0),
          MATCH(table_all!AC$2, results_spb!$1:$1, 0)) = 0,
   "...",
   INDEX(results_spb!$A$1:$Y$100,
         MATCH(1, (results_spb!$A$1:$A$100 = table_all!$B34) * (results_spb!$C$1:$C$100 = table_all!AC$1), 0),
         MATCH(table_all!AC$2, results_spb!$1:$1, 0)))</f>
        <v>...</v>
      </c>
      <c r="AD34" s="14"/>
      <c r="AE34" s="12">
        <f t="shared" si="2"/>
        <v>-2.2029999999999998</v>
      </c>
      <c r="AF34" s="12">
        <f t="shared" si="2"/>
        <v>-1.792</v>
      </c>
      <c r="AG34" s="14"/>
      <c r="AH34" s="3">
        <f t="shared" si="0"/>
        <v>3.4450000000000092E-2</v>
      </c>
      <c r="AI34" s="3">
        <f t="shared" si="1"/>
        <v>7.8400000000000025E-2</v>
      </c>
    </row>
    <row r="35" spans="1:35">
      <c r="A35" s="25" t="s">
        <v>70</v>
      </c>
      <c r="B35" s="23" t="str">
        <f>INDEX(Table1[#All], MATCH($A35, ameco_2024_data!$A:$A, 0), MATCH(B$2, ameco_2024_data!$1:$1, 0))</f>
        <v>Estonia</v>
      </c>
      <c r="C35" s="16">
        <f>INDEX(Table1[#All], MATCH($A35, ameco_2024_data!$A:$A, 0), MATCH(C$2, ameco_2024_data!$1:$1, 0))</f>
        <v>21.383600000000001</v>
      </c>
      <c r="D35" s="13">
        <f>INDEX(Table1[#All], MATCH($A35, ameco_2024_data!$A:$A, 0), MATCH(D$2, ameco_2024_data!$1:$1, 0))</f>
        <v>-3.4372391000000002</v>
      </c>
      <c r="E35" s="13">
        <f>INDEX(Table1[#All], MATCH($A35, ameco_2024_data!$A:$A, 0), MATCH(E$2, ameco_2024_data!$1:$1, 0))</f>
        <v>-0.28839999999999999</v>
      </c>
      <c r="F35" s="1"/>
      <c r="G35" s="13" cm="1">
        <f t="array" ref="G35">IF(INDEX(results_spb!$A$1:$Y$100,
          MATCH(1, (results_spb!$A$1:$A$100 = table_all!$B35) * (results_spb!$C$1:$C$100 = table_all!G$1), 0),
          MATCH(table_all!G$2, results_spb!$1:$1, 0)) = 0,
   "...",
   INDEX(results_spb!$A$1:$Y$100,
         MATCH(1, (results_spb!$A$1:$A$100 = table_all!$B35) * (results_spb!$C$1:$C$100 = table_all!G$1), 0),
         MATCH(table_all!G$2, results_spb!$1:$1, 0)))</f>
        <v>-3.4249999999999998</v>
      </c>
      <c r="H35" s="13" cm="1">
        <f t="array" ref="H35">IF(INDEX(results_spb!$A$1:$Y$100,
          MATCH(1, (results_spb!$A$1:$A$100 = table_all!$B35) * (results_spb!$C$1:$C$100 = table_all!H$1), 0),
          MATCH(table_all!H$2, results_spb!$1:$1, 0)) = 0,
   "...",
   INDEX(results_spb!$A$1:$Y$100,
         MATCH(1, (results_spb!$A$1:$A$100 = table_all!$B35) * (results_spb!$C$1:$C$100 = table_all!H$1), 0),
         MATCH(table_all!H$2, results_spb!$1:$1, 0)))</f>
        <v>-3.0920000000000001</v>
      </c>
      <c r="I35" s="1"/>
      <c r="J35" s="13" cm="1">
        <f t="array" ref="J35">IF(INDEX(results_spb!$A$1:$Y$100,
          MATCH(1, (results_spb!$A$1:$A$100 = table_all!$B35) * (results_spb!$C$1:$C$100 = table_all!J$1), 0),
          MATCH(table_all!J$2, results_spb!$1:$1, 0)) = 0,
   "...",
   INDEX(results_spb!$A$1:$Y$100,
         MATCH(1, (results_spb!$A$1:$A$100 = table_all!$B35) * (results_spb!$C$1:$C$100 = table_all!J$1), 0),
         MATCH(table_all!J$2, results_spb!$1:$1, 0)))</f>
        <v>-3.1880000000000002</v>
      </c>
      <c r="K35" s="13" cm="1">
        <f t="array" ref="K35">IF(INDEX(results_spb!$A$1:$Y$100,
          MATCH(1, (results_spb!$A$1:$A$100 = table_all!$B35) * (results_spb!$C$1:$C$100 = table_all!K$1), 0),
          MATCH(table_all!K$2, results_spb!$1:$1, 0)) = 0,
   "...",
   INDEX(results_spb!$A$1:$Y$100,
         MATCH(1, (results_spb!$A$1:$A$100 = table_all!$B35) * (results_spb!$C$1:$C$100 = table_all!K$1), 0),
         MATCH(table_all!K$2, results_spb!$1:$1, 0)))</f>
        <v>-2.8769999999999998</v>
      </c>
      <c r="L35" s="1"/>
      <c r="M35" s="13" cm="1">
        <f t="array" ref="M35">IF(INDEX(results_spb!$A$1:$Y$100,
          MATCH(1, (results_spb!$A$1:$A$100 = table_all!$B35) * (results_spb!$C$1:$C$100 = table_all!M$1), 0),
          MATCH(table_all!M$2, results_spb!$1:$1, 0)) = 0,
   "...",
   INDEX(results_spb!$A$1:$Y$100,
         MATCH(1, (results_spb!$A$1:$A$100 = table_all!$B35) * (results_spb!$C$1:$C$100 = table_all!M$1), 0),
         MATCH(table_all!M$2, results_spb!$1:$1, 0)))</f>
        <v>-3.052</v>
      </c>
      <c r="N35" s="13" cm="1">
        <f t="array" ref="N35">IF(INDEX(results_spb!$A$1:$Y$100,
          MATCH(1, (results_spb!$A$1:$A$100 = table_all!$B35) * (results_spb!$C$1:$C$100 = table_all!N$1), 0),
          MATCH(table_all!N$2, results_spb!$1:$1, 0)) = 0,
   "...",
   INDEX(results_spb!$A$1:$Y$100,
         MATCH(1, (results_spb!$A$1:$A$100 = table_all!$B35) * (results_spb!$C$1:$C$100 = table_all!N$1), 0),
         MATCH(table_all!N$2, results_spb!$1:$1, 0)))</f>
        <v>-2.778</v>
      </c>
      <c r="O35" s="1"/>
      <c r="P35" s="13" cm="1">
        <f t="array" ref="P35">IF(INDEX(results_spb!$A$1:$Y$100,
          MATCH(1, (results_spb!$A$1:$A$100 = table_all!$B35) * (results_spb!$C$1:$C$100 = table_all!P$1), 0),
          MATCH(table_all!P$2, results_spb!$1:$1, 0)) = 0,
   "...",
   INDEX(results_spb!$A$1:$Y$100,
         MATCH(1, (results_spb!$A$1:$A$100 = table_all!$B35) * (results_spb!$C$1:$C$100 = table_all!P$1), 0),
         MATCH(table_all!P$2, results_spb!$1:$1, 0)))</f>
        <v>-3.407</v>
      </c>
      <c r="Q35" s="13" cm="1">
        <f t="array" ref="Q35">IF(INDEX(results_spb!$A$1:$Y$100,
          MATCH(1, (results_spb!$A$1:$A$100 = table_all!$B35) * (results_spb!$C$1:$C$100 = table_all!Q$1), 0),
          MATCH(table_all!Q$2, results_spb!$1:$1, 0)) = 0,
   "...",
   INDEX(results_spb!$A$1:$Y$100,
         MATCH(1, (results_spb!$A$1:$A$100 = table_all!$B35) * (results_spb!$C$1:$C$100 = table_all!Q$1), 0),
         MATCH(table_all!Q$2, results_spb!$1:$1, 0)))</f>
        <v>-3.0760000000000001</v>
      </c>
      <c r="R35" s="1"/>
      <c r="S35" s="13" cm="1">
        <f t="array" ref="S35">IF(INDEX(results_spb!$A$1:$Y$100,
          MATCH(1, (results_spb!$A$1:$A$100 = table_all!$B35) * (results_spb!$C$1:$C$100 = table_all!S$1), 0),
          MATCH(table_all!S$2, results_spb!$1:$1, 0)) = 0,
   "...",
   INDEX(results_spb!$A$1:$Y$100,
         MATCH(1, (results_spb!$A$1:$A$100 = table_all!$B35) * (results_spb!$C$1:$C$100 = table_all!S$1), 0),
         MATCH(table_all!S$2, results_spb!$1:$1, 0)))</f>
        <v>-4.4790000000000001</v>
      </c>
      <c r="T35" s="13" cm="1">
        <f t="array" ref="T35">IF(INDEX(results_spb!$A$1:$Y$100,
          MATCH(1, (results_spb!$A$1:$A$100 = table_all!$B35) * (results_spb!$C$1:$C$100 = table_all!T$1), 0),
          MATCH(table_all!T$2, results_spb!$1:$1, 0)) = 0,
   "...",
   INDEX(results_spb!$A$1:$Y$100,
         MATCH(1, (results_spb!$A$1:$A$100 = table_all!$B35) * (results_spb!$C$1:$C$100 = table_all!T$1), 0),
         MATCH(table_all!T$2, results_spb!$1:$1, 0)))</f>
        <v>-3.7719999999999998</v>
      </c>
      <c r="U35" s="1"/>
      <c r="V35" s="13" cm="1">
        <f t="array" ref="V35">IF(INDEX(results_spb!$A$1:$Y$100,
          MATCH(1, (results_spb!$A$1:$A$100 = table_all!$B35) * (results_spb!$C$1:$C$100 = table_all!V$1), 0),
          MATCH(table_all!V$2, results_spb!$1:$1, 0)) = 0,
   "...",
   INDEX(results_spb!$A$1:$Y$100,
         MATCH(1, (results_spb!$A$1:$A$100 = table_all!$B35) * (results_spb!$C$1:$C$100 = table_all!V$1), 0),
         MATCH(table_all!V$2, results_spb!$1:$1, 0)))</f>
        <v>-2.0640000000000001</v>
      </c>
      <c r="W35" s="13" cm="1">
        <f t="array" ref="W35">IF(INDEX(results_spb!$A$1:$Y$100,
          MATCH(1, (results_spb!$A$1:$A$100 = table_all!$B35) * (results_spb!$C$1:$C$100 = table_all!W$1), 0),
          MATCH(table_all!W$2, results_spb!$1:$1, 0)) = 0,
   "...",
   INDEX(results_spb!$A$1:$Y$100,
         MATCH(1, (results_spb!$A$1:$A$100 = table_all!$B35) * (results_spb!$C$1:$C$100 = table_all!W$1), 0),
         MATCH(table_all!W$2, results_spb!$1:$1, 0)))</f>
        <v>-1.931</v>
      </c>
      <c r="X35" s="1"/>
      <c r="Y35" s="13" t="str" cm="1">
        <f t="array" ref="Y35">IF(INDEX(results_spb!$A$1:$Y$100,
          MATCH(1, (results_spb!$A$1:$A$100 = table_all!$B35) * (results_spb!$C$1:$C$100 = table_all!Y$1), 0),
          MATCH(table_all!Y$2, results_spb!$1:$1, 0)) = 0,
   "...",
   INDEX(results_spb!$A$1:$Y$100,
         MATCH(1, (results_spb!$A$1:$A$100 = table_all!$B35) * (results_spb!$C$1:$C$100 = table_all!Y$1), 0),
         MATCH(table_all!Y$2, results_spb!$1:$1, 0)))</f>
        <v>...</v>
      </c>
      <c r="Z35" s="13" t="str" cm="1">
        <f t="array" ref="Z35">IF(INDEX(results_spb!$A$1:$Y$100,
          MATCH(1, (results_spb!$A$1:$A$100 = table_all!$B35) * (results_spb!$C$1:$C$100 = table_all!Z$1), 0),
          MATCH(table_all!Z$2, results_spb!$1:$1, 0)) = 0,
   "...",
   INDEX(results_spb!$A$1:$Y$100,
         MATCH(1, (results_spb!$A$1:$A$100 = table_all!$B35) * (results_spb!$C$1:$C$100 = table_all!Z$1), 0),
         MATCH(table_all!Z$2, results_spb!$1:$1, 0)))</f>
        <v>...</v>
      </c>
      <c r="AA35" s="24"/>
      <c r="AB35" s="13" cm="1">
        <f t="array" ref="AB35">IF(INDEX(results_spb!$A$1:$Y$100,
          MATCH(1, (results_spb!$A$1:$A$100 = table_all!$B35) * (results_spb!$C$1:$C$100 = table_all!AB$1), 0),
          MATCH(table_all!AB$2, results_spb!$1:$1, 0)) = 0,
   "...",
   INDEX(results_spb!$A$1:$Y$100,
         MATCH(1, (results_spb!$A$1:$A$100 = table_all!$B35) * (results_spb!$C$1:$C$100 = table_all!AB$1), 0),
         MATCH(table_all!AB$2, results_spb!$1:$1, 0)))</f>
        <v>-2.0640000000000001</v>
      </c>
      <c r="AC35" s="13" t="str" cm="1">
        <f t="array" ref="AC35">IF(INDEX(results_spb!$A$1:$Y$100,
          MATCH(1, (results_spb!$A$1:$A$100 = table_all!$B35) * (results_spb!$C$1:$C$100 = table_all!AC$1), 0),
          MATCH(table_all!AC$2, results_spb!$1:$1, 0)) = 0,
   "...",
   INDEX(results_spb!$A$1:$Y$100,
         MATCH(1, (results_spb!$A$1:$A$100 = table_all!$B35) * (results_spb!$C$1:$C$100 = table_all!AC$1), 0),
         MATCH(table_all!AC$2, results_spb!$1:$1, 0)))</f>
        <v>...</v>
      </c>
      <c r="AD35" s="24"/>
      <c r="AE35" s="13">
        <f t="shared" si="2"/>
        <v>-2.0640000000000001</v>
      </c>
      <c r="AF35" s="13">
        <f t="shared" si="2"/>
        <v>-1.931</v>
      </c>
      <c r="AG35" s="24"/>
      <c r="AH35" s="9">
        <f t="shared" si="0"/>
        <v>-0.44390000000000002</v>
      </c>
      <c r="AI35" s="9">
        <f t="shared" si="1"/>
        <v>-0.23465714285714287</v>
      </c>
    </row>
    <row r="36" spans="1:35">
      <c r="B36" s="35" t="s">
        <v>122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</sheetData>
  <mergeCells count="20">
    <mergeCell ref="AL14:AQ14"/>
    <mergeCell ref="AK8:AQ8"/>
    <mergeCell ref="AL9:AQ9"/>
    <mergeCell ref="AL10:AQ10"/>
    <mergeCell ref="AL11:AQ11"/>
    <mergeCell ref="AL12:AQ12"/>
    <mergeCell ref="AL13:AQ13"/>
    <mergeCell ref="B36:AI36"/>
    <mergeCell ref="B3:AI3"/>
    <mergeCell ref="C5:E6"/>
    <mergeCell ref="S5:T6"/>
    <mergeCell ref="V5:W6"/>
    <mergeCell ref="Y5:Z6"/>
    <mergeCell ref="AB5:AC6"/>
    <mergeCell ref="AE5:AF6"/>
    <mergeCell ref="AH5:AI6"/>
    <mergeCell ref="G5:H6"/>
    <mergeCell ref="M5:N6"/>
    <mergeCell ref="J5:K6"/>
    <mergeCell ref="P5:Q6"/>
  </mergeCells>
  <conditionalFormatting sqref="G9:G35 J9:J35 M9:M35 P9:P35">
    <cfRule type="cellIs" dxfId="23" priority="23" operator="equal">
      <formula>$AE9</formula>
    </cfRule>
  </conditionalFormatting>
  <conditionalFormatting sqref="H9:H35 K9:K35 N9:N35 Q9:Q35">
    <cfRule type="cellIs" dxfId="22" priority="24" operator="equal">
      <formula>$AF9</formula>
    </cfRule>
  </conditionalFormatting>
  <conditionalFormatting sqref="S9:T35">
    <cfRule type="cellIs" dxfId="21" priority="4" operator="equal">
      <formula>AE9</formula>
    </cfRule>
  </conditionalFormatting>
  <conditionalFormatting sqref="V9:W35">
    <cfRule type="cellIs" dxfId="20" priority="12" operator="equal">
      <formula>AE9</formula>
    </cfRule>
  </conditionalFormatting>
  <conditionalFormatting sqref="Y9:Z35">
    <cfRule type="cellIs" dxfId="19" priority="11" operator="equal">
      <formula>AE9</formula>
    </cfRule>
  </conditionalFormatting>
  <conditionalFormatting sqref="AB9:AC35">
    <cfRule type="cellIs" dxfId="18" priority="2" operator="lessThanOrEqual">
      <formula>MAX(V9,S9,P9,M9,J9,G9)</formula>
    </cfRule>
    <cfRule type="cellIs" dxfId="17" priority="10" operator="equal">
      <formula>AE9</formula>
    </cfRule>
  </conditionalFormatting>
  <conditionalFormatting sqref="AE9:AF35">
    <cfRule type="expression" dxfId="16" priority="1">
      <formula>AND(AB9&lt;=MAX(G9,J9,M9,P9,S9,V9),ISNUMBER(AB9))</formula>
    </cfRule>
    <cfRule type="cellIs" dxfId="15" priority="5" operator="equal">
      <formula>AB9</formula>
    </cfRule>
    <cfRule type="cellIs" dxfId="14" priority="6" operator="equal">
      <formula>Y9</formula>
    </cfRule>
    <cfRule type="cellIs" dxfId="13" priority="7" operator="equal">
      <formula>V9</formula>
    </cfRule>
    <cfRule type="cellIs" dxfId="12" priority="8" operator="equal">
      <formula>S9</formula>
    </cfRule>
    <cfRule type="cellIs" dxfId="11" priority="9" operator="equal">
      <formula>MAX(G9,J9,M9,P9)</formula>
    </cfRule>
  </conditionalFormatting>
  <pageMargins left="0.7" right="0.7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19C8-D6A8-4C5C-8086-A0F68398427F}">
  <dimension ref="A1:AE36"/>
  <sheetViews>
    <sheetView tabSelected="1" topLeftCell="A7" zoomScale="70" zoomScaleNormal="70" workbookViewId="0">
      <selection activeCell="AC21" sqref="AC21"/>
    </sheetView>
  </sheetViews>
  <sheetFormatPr defaultColWidth="8.6640625" defaultRowHeight="14.4"/>
  <cols>
    <col min="1" max="1" width="10.6640625" style="2" customWidth="1"/>
    <col min="2" max="2" width="12.6640625" customWidth="1"/>
    <col min="3" max="5" width="6.33203125" customWidth="1"/>
    <col min="6" max="6" width="1.6640625" customWidth="1"/>
    <col min="7" max="8" width="6.33203125" customWidth="1"/>
    <col min="9" max="9" width="1.6640625" customWidth="1"/>
    <col min="10" max="11" width="6.33203125" customWidth="1"/>
    <col min="12" max="12" width="1.6640625" customWidth="1"/>
    <col min="13" max="14" width="6.33203125" customWidth="1"/>
    <col min="15" max="15" width="1.6640625" customWidth="1"/>
    <col min="16" max="17" width="6.33203125" customWidth="1"/>
    <col min="18" max="18" width="1.6640625" customWidth="1"/>
    <col min="19" max="20" width="6.33203125" customWidth="1"/>
    <col min="21" max="21" width="1.6640625" customWidth="1"/>
    <col min="22" max="23" width="6.33203125" customWidth="1"/>
    <col min="24" max="24" width="1.6640625" customWidth="1"/>
  </cols>
  <sheetData>
    <row r="1" spans="1:31">
      <c r="A1" s="25" t="s">
        <v>95</v>
      </c>
      <c r="B1" s="26"/>
      <c r="C1" s="26"/>
      <c r="D1" s="25"/>
      <c r="E1" s="25"/>
      <c r="F1" s="25"/>
      <c r="G1" s="25">
        <v>4</v>
      </c>
      <c r="H1" s="25">
        <v>7</v>
      </c>
      <c r="I1" s="25"/>
      <c r="J1" s="25">
        <v>4</v>
      </c>
      <c r="K1" s="25">
        <v>7</v>
      </c>
      <c r="L1" s="25"/>
      <c r="M1" s="25">
        <v>4</v>
      </c>
      <c r="N1" s="25">
        <v>7</v>
      </c>
      <c r="O1" s="25"/>
      <c r="P1" s="25">
        <v>4</v>
      </c>
      <c r="Q1" s="25">
        <v>7</v>
      </c>
      <c r="R1" s="25"/>
      <c r="S1" s="25">
        <v>4</v>
      </c>
      <c r="T1" s="25">
        <v>7</v>
      </c>
      <c r="U1" s="25"/>
      <c r="V1" s="25"/>
      <c r="W1" s="25"/>
    </row>
    <row r="2" spans="1:31" s="2" customFormat="1">
      <c r="A2" s="25" t="s">
        <v>96</v>
      </c>
      <c r="B2" s="25" t="s">
        <v>33</v>
      </c>
      <c r="C2" s="25" t="s">
        <v>42</v>
      </c>
      <c r="D2" s="25" t="s">
        <v>43</v>
      </c>
      <c r="E2" s="25" t="s">
        <v>44</v>
      </c>
      <c r="F2" s="25"/>
      <c r="G2" s="25" t="s">
        <v>80</v>
      </c>
      <c r="H2" s="25" t="s">
        <v>80</v>
      </c>
      <c r="I2" s="25"/>
      <c r="J2" s="25" t="s">
        <v>34</v>
      </c>
      <c r="K2" s="25" t="s">
        <v>34</v>
      </c>
      <c r="L2" s="25"/>
      <c r="M2" s="25" t="s">
        <v>83</v>
      </c>
      <c r="N2" s="25" t="s">
        <v>83</v>
      </c>
      <c r="O2" s="25"/>
      <c r="P2" s="25" t="s">
        <v>81</v>
      </c>
      <c r="Q2" s="25" t="s">
        <v>81</v>
      </c>
      <c r="R2" s="25"/>
      <c r="S2" s="25" t="s">
        <v>82</v>
      </c>
      <c r="T2" s="25" t="s">
        <v>82</v>
      </c>
      <c r="U2" s="26"/>
      <c r="V2" s="25"/>
      <c r="W2" s="25"/>
    </row>
    <row r="3" spans="1:31" ht="17.399999999999999">
      <c r="A3" s="25"/>
      <c r="B3" s="34" t="s">
        <v>114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31" ht="4.95" customHeight="1">
      <c r="A4" s="25"/>
      <c r="U4" s="1"/>
    </row>
    <row r="5" spans="1:31" ht="16.2" customHeight="1">
      <c r="A5" s="25"/>
      <c r="B5" s="11"/>
      <c r="C5" s="37" t="s">
        <v>0</v>
      </c>
      <c r="D5" s="37"/>
      <c r="E5" s="37"/>
      <c r="F5" s="8"/>
      <c r="G5" s="37" t="s">
        <v>79</v>
      </c>
      <c r="H5" s="37"/>
      <c r="I5" s="4"/>
      <c r="J5" s="37" t="s">
        <v>76</v>
      </c>
      <c r="K5" s="37"/>
      <c r="L5" s="4"/>
      <c r="M5" s="37" t="s">
        <v>89</v>
      </c>
      <c r="N5" s="37"/>
      <c r="O5" s="4"/>
      <c r="P5" s="37" t="s">
        <v>94</v>
      </c>
      <c r="Q5" s="37"/>
      <c r="R5" s="4"/>
      <c r="S5" s="37" t="s">
        <v>75</v>
      </c>
      <c r="T5" s="37"/>
      <c r="U5" s="18"/>
      <c r="V5" s="37" t="s">
        <v>74</v>
      </c>
      <c r="W5" s="37"/>
    </row>
    <row r="6" spans="1:31" ht="72" customHeight="1">
      <c r="A6" s="27"/>
      <c r="B6" s="20"/>
      <c r="C6" s="38"/>
      <c r="D6" s="38"/>
      <c r="E6" s="38"/>
      <c r="G6" s="38"/>
      <c r="H6" s="38"/>
      <c r="I6" s="6"/>
      <c r="J6" s="38"/>
      <c r="K6" s="38"/>
      <c r="L6" s="6"/>
      <c r="M6" s="38"/>
      <c r="N6" s="38"/>
      <c r="O6" s="6"/>
      <c r="P6" s="38"/>
      <c r="Q6" s="38"/>
      <c r="R6" s="6"/>
      <c r="S6" s="38"/>
      <c r="T6" s="38"/>
      <c r="V6" s="38"/>
      <c r="W6" s="38"/>
    </row>
    <row r="7" spans="1:31" ht="41.4">
      <c r="A7" s="27"/>
      <c r="B7" s="20"/>
      <c r="C7" s="7" t="s">
        <v>1</v>
      </c>
      <c r="D7" s="7" t="s">
        <v>2</v>
      </c>
      <c r="E7" s="7" t="s">
        <v>3</v>
      </c>
      <c r="F7" s="5"/>
      <c r="G7" s="7" t="s">
        <v>77</v>
      </c>
      <c r="H7" s="7" t="s">
        <v>78</v>
      </c>
      <c r="I7" s="5"/>
      <c r="J7" s="7" t="s">
        <v>77</v>
      </c>
      <c r="K7" s="7" t="s">
        <v>78</v>
      </c>
      <c r="L7" s="5"/>
      <c r="M7" s="7" t="s">
        <v>77</v>
      </c>
      <c r="N7" s="7" t="s">
        <v>78</v>
      </c>
      <c r="O7" s="5"/>
      <c r="P7" s="7" t="s">
        <v>77</v>
      </c>
      <c r="Q7" s="7" t="s">
        <v>78</v>
      </c>
      <c r="R7" s="5"/>
      <c r="S7" s="7" t="s">
        <v>77</v>
      </c>
      <c r="T7" s="7" t="s">
        <v>78</v>
      </c>
      <c r="U7" s="1"/>
      <c r="V7" s="7" t="s">
        <v>77</v>
      </c>
      <c r="W7" s="7" t="s">
        <v>78</v>
      </c>
    </row>
    <row r="8" spans="1:31" ht="51.75" customHeight="1">
      <c r="A8" s="27"/>
      <c r="B8" s="21"/>
      <c r="C8" s="17" t="s">
        <v>4</v>
      </c>
      <c r="D8" s="17" t="s">
        <v>5</v>
      </c>
      <c r="E8" s="10" t="s">
        <v>6</v>
      </c>
      <c r="F8" s="17"/>
      <c r="G8" s="10" t="s">
        <v>7</v>
      </c>
      <c r="H8" s="10" t="s">
        <v>8</v>
      </c>
      <c r="I8" s="10"/>
      <c r="J8" s="10" t="s">
        <v>104</v>
      </c>
      <c r="K8" s="10" t="s">
        <v>105</v>
      </c>
      <c r="L8" s="10"/>
      <c r="M8" s="10" t="s">
        <v>106</v>
      </c>
      <c r="N8" s="10" t="s">
        <v>107</v>
      </c>
      <c r="O8" s="10"/>
      <c r="P8" s="10" t="s">
        <v>108</v>
      </c>
      <c r="Q8" s="10" t="s">
        <v>109</v>
      </c>
      <c r="R8" s="10"/>
      <c r="S8" s="10" t="s">
        <v>110</v>
      </c>
      <c r="T8" s="10" t="s">
        <v>111</v>
      </c>
      <c r="U8" s="1"/>
      <c r="V8" s="10" t="s">
        <v>112</v>
      </c>
      <c r="W8" s="10" t="s">
        <v>113</v>
      </c>
      <c r="Y8" s="42" t="s">
        <v>119</v>
      </c>
      <c r="Z8" s="42"/>
      <c r="AA8" s="42"/>
      <c r="AB8" s="42"/>
      <c r="AC8" s="42"/>
      <c r="AD8" s="42"/>
      <c r="AE8" s="42"/>
    </row>
    <row r="9" spans="1:31" ht="15" customHeight="1">
      <c r="A9" s="25" t="s">
        <v>15</v>
      </c>
      <c r="B9" s="22" t="str">
        <f>INDEX(Table1[#All], MATCH($A9, ameco_2024_data!$A:$A, 0), MATCH(B$2, ameco_2024_data!$1:$1, 0))</f>
        <v>Greece</v>
      </c>
      <c r="C9" s="15">
        <f>INDEX(Table1[#All], MATCH($A9, ameco_2024_data!$A:$A, 0), MATCH(C$2, ameco_2024_data!$1:$1, 0))</f>
        <v>153.85239999999999</v>
      </c>
      <c r="D9" s="19">
        <f>INDEX(Table1[#All], MATCH($A9, ameco_2024_data!$A:$A, 0), MATCH(D$2, ameco_2024_data!$1:$1, 0))</f>
        <v>-1.1512785000000001</v>
      </c>
      <c r="E9" s="12">
        <f>INDEX(Table1[#All], MATCH($A9, ameco_2024_data!$A:$A, 0), MATCH(E$2, ameco_2024_data!$1:$1, 0))</f>
        <v>1.7294</v>
      </c>
      <c r="F9" s="3"/>
      <c r="G9" s="12" cm="1">
        <f t="array" ref="G9">IF(INDEX(results_spb!$A$1:$Y$100,
          MATCH(1, (results_spb!$A$1:$A$100 = table_summary!$B9) * (results_spb!$C$1:$C$100 = table_summary!G$1), 0),
          MATCH(table_summary!G$2, results_spb!$1:$1, 0)) = 0,
   "...",
   INDEX(results_spb!$A$1:$Y$100,
         MATCH(1, (results_spb!$A$1:$A$100 = table_summary!$B9) * (results_spb!$C$1:$C$100 = table_summary!G$1), 0),
         MATCH(table_summary!G$2, results_spb!$1:$1, 0)))</f>
        <v>1.869</v>
      </c>
      <c r="H9" s="12" cm="1">
        <f t="array" ref="H9">IF(INDEX(results_spb!$A$1:$Y$100,
          MATCH(1, (results_spb!$A$1:$A$100 = table_summary!$B9) * (results_spb!$C$1:$C$100 = table_summary!H$1), 0),
          MATCH(table_summary!H$2, results_spb!$1:$1, 0)) = 0,
   "...",
   INDEX(results_spb!$A$1:$Y$100,
         MATCH(1, (results_spb!$A$1:$A$100 = table_summary!$B9) * (results_spb!$C$1:$C$100 = table_summary!H$1), 0),
         MATCH(table_summary!H$2, results_spb!$1:$1, 0)))</f>
        <v>2.1080000000000001</v>
      </c>
      <c r="I9" s="12"/>
      <c r="J9" s="12" cm="1">
        <f t="array" ref="J9">IF(INDEX(results_spb!$A$1:$Y$100,
          MATCH(1, (results_spb!$A$1:$A$100 = table_summary!$B9) * (results_spb!$C$1:$C$100 = table_summary!J$1), 0),
          MATCH(table_summary!J$2, results_spb!$1:$1, 0)) = 0,
   "...",
   INDEX(results_spb!$A$1:$Y$100,
         MATCH(1, (results_spb!$A$1:$A$100 = table_summary!$B9) * (results_spb!$C$1:$C$100 = table_summary!J$1), 0),
         MATCH(table_summary!J$2, results_spb!$1:$1, 0)))</f>
        <v>1.7450000000000001</v>
      </c>
      <c r="K9" s="12" cm="1">
        <f t="array" ref="K9">IF(INDEX(results_spb!$A$1:$Y$100,
          MATCH(1, (results_spb!$A$1:$A$100 = table_summary!$B9) * (results_spb!$C$1:$C$100 = table_summary!K$1), 0),
          MATCH(table_summary!K$2, results_spb!$1:$1, 0)) = 0,
   "...",
   INDEX(results_spb!$A$1:$Y$100,
         MATCH(1, (results_spb!$A$1:$A$100 = table_summary!$B9) * (results_spb!$C$1:$C$100 = table_summary!K$1), 0),
         MATCH(table_summary!K$2, results_spb!$1:$1, 0)))</f>
        <v>2.056</v>
      </c>
      <c r="L9" s="12"/>
      <c r="M9" s="12" t="str" cm="1">
        <f t="array" ref="M9">IF(INDEX(results_spb!$A$1:$Y$100,
          MATCH(1, (results_spb!$A$1:$A$100 = table_summary!$B9) * (results_spb!$C$1:$C$100 = table_summary!M$1), 0),
          MATCH(table_summary!M$2, results_spb!$1:$1, 0)) = 0,
   "...",
   INDEX(results_spb!$A$1:$Y$100,
         MATCH(1, (results_spb!$A$1:$A$100 = table_summary!$B9) * (results_spb!$C$1:$C$100 = table_summary!M$1), 0),
         MATCH(table_summary!M$2, results_spb!$1:$1, 0)))</f>
        <v>...</v>
      </c>
      <c r="N9" s="12" t="str" cm="1">
        <f t="array" ref="N9">IF(INDEX(results_spb!$A$1:$Y$100,
          MATCH(1, (results_spb!$A$1:$A$100 = table_summary!$B9) * (results_spb!$C$1:$C$100 = table_summary!N$1), 0),
          MATCH(table_summary!N$2, results_spb!$1:$1, 0)) = 0,
   "...",
   INDEX(results_spb!$A$1:$Y$100,
         MATCH(1, (results_spb!$A$1:$A$100 = table_summary!$B9) * (results_spb!$C$1:$C$100 = table_summary!N$1), 0),
         MATCH(table_summary!N$2, results_spb!$1:$1, 0)))</f>
        <v>...</v>
      </c>
      <c r="O9" s="12"/>
      <c r="P9" s="12" t="str" cm="1">
        <f t="array" ref="P9">IF(INDEX(results_spb!$A$1:$Y$100,
          MATCH(1, (results_spb!$A$1:$A$100 = table_summary!$B9) * (results_spb!$C$1:$C$100 = table_summary!P$1), 0),
          MATCH(table_summary!P$2, results_spb!$1:$1, 0)) = 0,
   "...",
   INDEX(results_spb!$A$1:$Y$100,
         MATCH(1, (results_spb!$A$1:$A$100 = table_summary!$B9) * (results_spb!$C$1:$C$100 = table_summary!P$1), 0),
         MATCH(table_summary!P$2, results_spb!$1:$1, 0)))</f>
        <v>...</v>
      </c>
      <c r="Q9" s="12" t="str" cm="1">
        <f t="array" ref="Q9">IF(INDEX(results_spb!$A$1:$Y$100,
          MATCH(1, (results_spb!$A$1:$A$100 = table_summary!$B9) * (results_spb!$C$1:$C$100 = table_summary!Q$1), 0),
          MATCH(table_summary!Q$2, results_spb!$1:$1, 0)) = 0,
   "...",
   INDEX(results_spb!$A$1:$Y$100,
         MATCH(1, (results_spb!$A$1:$A$100 = table_summary!$B9) * (results_spb!$C$1:$C$100 = table_summary!Q$1), 0),
         MATCH(table_summary!Q$2, results_spb!$1:$1, 0)))</f>
        <v>...</v>
      </c>
      <c r="R9" s="12"/>
      <c r="S9" s="12" cm="1">
        <f t="array" ref="S9">IF(INDEX(results_spb!$A$1:$Y$100,
          MATCH(1, (results_spb!$A$1:$A$100 = table_summary!$B9) * (results_spb!$C$1:$C$100 = table_summary!S$1), 0),
          MATCH(table_summary!S$2, results_spb!$1:$1, 0)) = 0,
   "...",
   INDEX(results_spb!$A$1:$Y$100,
         MATCH(1, (results_spb!$A$1:$A$100 = table_summary!$B9) * (results_spb!$C$1:$C$100 = table_summary!S$1), 0),
         MATCH(table_summary!S$2, results_spb!$1:$1, 0)))</f>
        <v>1.869</v>
      </c>
      <c r="T9" s="12" cm="1">
        <f t="array" ref="T9">IF(INDEX(results_spb!$A$1:$Y$100,
          MATCH(1, (results_spb!$A$1:$A$100 = table_summary!$B9) * (results_spb!$C$1:$C$100 = table_summary!T$1), 0),
          MATCH(table_summary!T$2, results_spb!$1:$1, 0)) = 0,
   "...",
   INDEX(results_spb!$A$1:$Y$100,
         MATCH(1, (results_spb!$A$1:$A$100 = table_summary!$B9) * (results_spb!$C$1:$C$100 = table_summary!T$1), 0),
         MATCH(table_summary!T$2, results_spb!$1:$1, 0)))</f>
        <v>2.1080000000000001</v>
      </c>
      <c r="U9" s="14"/>
      <c r="V9" s="3">
        <f t="shared" ref="V9:V35" si="0">(S9-$E9)/4</f>
        <v>3.4899999999999987E-2</v>
      </c>
      <c r="W9" s="3">
        <f t="shared" ref="W9:W35" si="1">(T9-$E9)/7</f>
        <v>5.4085714285714293E-2</v>
      </c>
      <c r="Y9" s="28"/>
      <c r="Z9" s="39" t="s">
        <v>123</v>
      </c>
      <c r="AA9" s="40"/>
      <c r="AB9" s="40"/>
      <c r="AC9" s="40"/>
      <c r="AD9" s="40"/>
      <c r="AE9" s="41"/>
    </row>
    <row r="10" spans="1:31" ht="15" customHeight="1">
      <c r="A10" s="25" t="s">
        <v>16</v>
      </c>
      <c r="B10" s="22" t="str">
        <f>INDEX(Table1[#All], MATCH($A10, ameco_2024_data!$A:$A, 0), MATCH(B$2, ameco_2024_data!$1:$1, 0))</f>
        <v>Italy</v>
      </c>
      <c r="C10" s="15">
        <f>INDEX(Table1[#All], MATCH($A10, ameco_2024_data!$A:$A, 0), MATCH(C$2, ameco_2024_data!$1:$1, 0))</f>
        <v>138.62440000000001</v>
      </c>
      <c r="D10" s="12">
        <f>INDEX(Table1[#All], MATCH($A10, ameco_2024_data!$A:$A, 0), MATCH(D$2, ameco_2024_data!$1:$1, 0))</f>
        <v>-4.4258338999999998</v>
      </c>
      <c r="E10" s="12">
        <f>INDEX(Table1[#All], MATCH($A10, ameco_2024_data!$A:$A, 0), MATCH(E$2, ameco_2024_data!$1:$1, 0))</f>
        <v>-1.0503</v>
      </c>
      <c r="F10" s="3"/>
      <c r="G10" s="12" cm="1">
        <f t="array" ref="G10">IF(INDEX(results_spb!$A$1:$Y$100,
          MATCH(1, (results_spb!$A$1:$A$100 = table_summary!$B10) * (results_spb!$C$1:$C$100 = table_summary!G$1), 0),
          MATCH(table_summary!G$2, results_spb!$1:$1, 0)) = 0,
   "...",
   INDEX(results_spb!$A$1:$Y$100,
         MATCH(1, (results_spb!$A$1:$A$100 = table_summary!$B10) * (results_spb!$C$1:$C$100 = table_summary!G$1), 0),
         MATCH(table_summary!G$2, results_spb!$1:$1, 0)))</f>
        <v>3.286</v>
      </c>
      <c r="H10" s="12" cm="1">
        <f t="array" ref="H10">IF(INDEX(results_spb!$A$1:$Y$100,
          MATCH(1, (results_spb!$A$1:$A$100 = table_summary!$B10) * (results_spb!$C$1:$C$100 = table_summary!H$1), 0),
          MATCH(table_summary!H$2, results_spb!$1:$1, 0)) = 0,
   "...",
   INDEX(results_spb!$A$1:$Y$100,
         MATCH(1, (results_spb!$A$1:$A$100 = table_summary!$B10) * (results_spb!$C$1:$C$100 = table_summary!H$1), 0),
         MATCH(table_summary!H$2, results_spb!$1:$1, 0)))</f>
        <v>2.9969999999999999</v>
      </c>
      <c r="I10" s="12"/>
      <c r="J10" s="12" cm="1">
        <f t="array" ref="J10">IF(INDEX(results_spb!$A$1:$Y$100,
          MATCH(1, (results_spb!$A$1:$A$100 = table_summary!$B10) * (results_spb!$C$1:$C$100 = table_summary!J$1), 0),
          MATCH(table_summary!J$2, results_spb!$1:$1, 0)) = 0,
   "...",
   INDEX(results_spb!$A$1:$Y$100,
         MATCH(1, (results_spb!$A$1:$A$100 = table_summary!$B10) * (results_spb!$C$1:$C$100 = table_summary!J$1), 0),
         MATCH(table_summary!J$2, results_spb!$1:$1, 0)))</f>
        <v>3.1680000000000001</v>
      </c>
      <c r="K10" s="12" cm="1">
        <f t="array" ref="K10">IF(INDEX(results_spb!$A$1:$Y$100,
          MATCH(1, (results_spb!$A$1:$A$100 = table_summary!$B10) * (results_spb!$C$1:$C$100 = table_summary!K$1), 0),
          MATCH(table_summary!K$2, results_spb!$1:$1, 0)) = 0,
   "...",
   INDEX(results_spb!$A$1:$Y$100,
         MATCH(1, (results_spb!$A$1:$A$100 = table_summary!$B10) * (results_spb!$C$1:$C$100 = table_summary!K$1), 0),
         MATCH(table_summary!K$2, results_spb!$1:$1, 0)))</f>
        <v>3.1240000000000001</v>
      </c>
      <c r="L10" s="12"/>
      <c r="M10" s="12" t="str" cm="1">
        <f t="array" ref="M10">IF(INDEX(results_spb!$A$1:$Y$100,
          MATCH(1, (results_spb!$A$1:$A$100 = table_summary!$B10) * (results_spb!$C$1:$C$100 = table_summary!M$1), 0),
          MATCH(table_summary!M$2, results_spb!$1:$1, 0)) = 0,
   "...",
   INDEX(results_spb!$A$1:$Y$100,
         MATCH(1, (results_spb!$A$1:$A$100 = table_summary!$B10) * (results_spb!$C$1:$C$100 = table_summary!M$1), 0),
         MATCH(table_summary!M$2, results_spb!$1:$1, 0)))</f>
        <v>...</v>
      </c>
      <c r="N10" s="12" t="str" cm="1">
        <f t="array" ref="N10">IF(INDEX(results_spb!$A$1:$Y$100,
          MATCH(1, (results_spb!$A$1:$A$100 = table_summary!$B10) * (results_spb!$C$1:$C$100 = table_summary!N$1), 0),
          MATCH(table_summary!N$2, results_spb!$1:$1, 0)) = 0,
   "...",
   INDEX(results_spb!$A$1:$Y$100,
         MATCH(1, (results_spb!$A$1:$A$100 = table_summary!$B10) * (results_spb!$C$1:$C$100 = table_summary!N$1), 0),
         MATCH(table_summary!N$2, results_spb!$1:$1, 0)))</f>
        <v>...</v>
      </c>
      <c r="O10" s="12"/>
      <c r="P10" s="12" t="str" cm="1">
        <f t="array" ref="P10">IF(INDEX(results_spb!$A$1:$Y$100,
          MATCH(1, (results_spb!$A$1:$A$100 = table_summary!$B10) * (results_spb!$C$1:$C$100 = table_summary!P$1), 0),
          MATCH(table_summary!P$2, results_spb!$1:$1, 0)) = 0,
   "...",
   INDEX(results_spb!$A$1:$Y$100,
         MATCH(1, (results_spb!$A$1:$A$100 = table_summary!$B10) * (results_spb!$C$1:$C$100 = table_summary!P$1), 0),
         MATCH(table_summary!P$2, results_spb!$1:$1, 0)))</f>
        <v>...</v>
      </c>
      <c r="Q10" s="12" t="str" cm="1">
        <f t="array" ref="Q10">IF(INDEX(results_spb!$A$1:$Y$100,
          MATCH(1, (results_spb!$A$1:$A$100 = table_summary!$B10) * (results_spb!$C$1:$C$100 = table_summary!Q$1), 0),
          MATCH(table_summary!Q$2, results_spb!$1:$1, 0)) = 0,
   "...",
   INDEX(results_spb!$A$1:$Y$100,
         MATCH(1, (results_spb!$A$1:$A$100 = table_summary!$B10) * (results_spb!$C$1:$C$100 = table_summary!Q$1), 0),
         MATCH(table_summary!Q$2, results_spb!$1:$1, 0)))</f>
        <v>...</v>
      </c>
      <c r="R10" s="12"/>
      <c r="S10" s="12" cm="1">
        <f t="array" ref="S10">IF(INDEX(results_spb!$A$1:$Y$100,
          MATCH(1, (results_spb!$A$1:$A$100 = table_summary!$B10) * (results_spb!$C$1:$C$100 = table_summary!S$1), 0),
          MATCH(table_summary!S$2, results_spb!$1:$1, 0)) = 0,
   "...",
   INDEX(results_spb!$A$1:$Y$100,
         MATCH(1, (results_spb!$A$1:$A$100 = table_summary!$B10) * (results_spb!$C$1:$C$100 = table_summary!S$1), 0),
         MATCH(table_summary!S$2, results_spb!$1:$1, 0)))</f>
        <v>3.286</v>
      </c>
      <c r="T10" s="12" cm="1">
        <f t="array" ref="T10">IF(INDEX(results_spb!$A$1:$Y$100,
          MATCH(1, (results_spb!$A$1:$A$100 = table_summary!$B10) * (results_spb!$C$1:$C$100 = table_summary!T$1), 0),
          MATCH(table_summary!T$2, results_spb!$1:$1, 0)) = 0,
   "...",
   INDEX(results_spb!$A$1:$Y$100,
         MATCH(1, (results_spb!$A$1:$A$100 = table_summary!$B10) * (results_spb!$C$1:$C$100 = table_summary!T$1), 0),
         MATCH(table_summary!T$2, results_spb!$1:$1, 0)))</f>
        <v>3.1040000000000001</v>
      </c>
      <c r="U10" s="14"/>
      <c r="V10" s="3">
        <f t="shared" si="0"/>
        <v>1.0840749999999999</v>
      </c>
      <c r="W10" s="3">
        <f t="shared" si="1"/>
        <v>0.59347142857142854</v>
      </c>
      <c r="Y10" s="30"/>
      <c r="Z10" s="39" t="s">
        <v>117</v>
      </c>
      <c r="AA10" s="40"/>
      <c r="AB10" s="40"/>
      <c r="AC10" s="40"/>
      <c r="AD10" s="40"/>
      <c r="AE10" s="41"/>
    </row>
    <row r="11" spans="1:31" ht="15" customHeight="1">
      <c r="A11" s="25" t="s">
        <v>17</v>
      </c>
      <c r="B11" s="22" t="str">
        <f>INDEX(Table1[#All], MATCH($A11, ameco_2024_data!$A:$A, 0), MATCH(B$2, ameco_2024_data!$1:$1, 0))</f>
        <v>France</v>
      </c>
      <c r="C11" s="15">
        <f>INDEX(Table1[#All], MATCH($A11, ameco_2024_data!$A:$A, 0), MATCH(C$2, ameco_2024_data!$1:$1, 0))</f>
        <v>112.4088</v>
      </c>
      <c r="D11" s="12">
        <f>INDEX(Table1[#All], MATCH($A11, ameco_2024_data!$A:$A, 0), MATCH(D$2, ameco_2024_data!$1:$1, 0))</f>
        <v>-5.3136057000000001</v>
      </c>
      <c r="E11" s="12">
        <f>INDEX(Table1[#All], MATCH($A11, ameco_2024_data!$A:$A, 0), MATCH(E$2, ameco_2024_data!$1:$1, 0))</f>
        <v>-2.9683999999999999</v>
      </c>
      <c r="F11" s="3"/>
      <c r="G11" s="12" cm="1">
        <f t="array" ref="G11">IF(INDEX(results_spb!$A$1:$Y$100,
          MATCH(1, (results_spb!$A$1:$A$100 = table_summary!$B11) * (results_spb!$C$1:$C$100 = table_summary!G$1), 0),
          MATCH(table_summary!G$2, results_spb!$1:$1, 0)) = 0,
   "...",
   INDEX(results_spb!$A$1:$Y$100,
         MATCH(1, (results_spb!$A$1:$A$100 = table_summary!$B11) * (results_spb!$C$1:$C$100 = table_summary!G$1), 0),
         MATCH(table_summary!G$2, results_spb!$1:$1, 0)))</f>
        <v>0.77200000000000002</v>
      </c>
      <c r="H11" s="12" cm="1">
        <f t="array" ref="H11">IF(INDEX(results_spb!$A$1:$Y$100,
          MATCH(1, (results_spb!$A$1:$A$100 = table_summary!$B11) * (results_spb!$C$1:$C$100 = table_summary!H$1), 0),
          MATCH(table_summary!H$2, results_spb!$1:$1, 0)) = 0,
   "...",
   INDEX(results_spb!$A$1:$Y$100,
         MATCH(1, (results_spb!$A$1:$A$100 = table_summary!$B11) * (results_spb!$C$1:$C$100 = table_summary!H$1), 0),
         MATCH(table_summary!H$2, results_spb!$1:$1, 0)))</f>
        <v>0.79500000000000004</v>
      </c>
      <c r="I11" s="3"/>
      <c r="J11" s="12" cm="1">
        <f t="array" ref="J11">IF(INDEX(results_spb!$A$1:$Y$100,
          MATCH(1, (results_spb!$A$1:$A$100 = table_summary!$B11) * (results_spb!$C$1:$C$100 = table_summary!J$1), 0),
          MATCH(table_summary!J$2, results_spb!$1:$1, 0)) = 0,
   "...",
   INDEX(results_spb!$A$1:$Y$100,
         MATCH(1, (results_spb!$A$1:$A$100 = table_summary!$B11) * (results_spb!$C$1:$C$100 = table_summary!J$1), 0),
         MATCH(table_summary!J$2, results_spb!$1:$1, 0)))</f>
        <v>0.67300000000000004</v>
      </c>
      <c r="K11" s="12" cm="1">
        <f t="array" ref="K11">IF(INDEX(results_spb!$A$1:$Y$100,
          MATCH(1, (results_spb!$A$1:$A$100 = table_summary!$B11) * (results_spb!$C$1:$C$100 = table_summary!K$1), 0),
          MATCH(table_summary!K$2, results_spb!$1:$1, 0)) = 0,
   "...",
   INDEX(results_spb!$A$1:$Y$100,
         MATCH(1, (results_spb!$A$1:$A$100 = table_summary!$B11) * (results_spb!$C$1:$C$100 = table_summary!K$1), 0),
         MATCH(table_summary!K$2, results_spb!$1:$1, 0)))</f>
        <v>0.753</v>
      </c>
      <c r="L11" s="12"/>
      <c r="M11" s="12" t="str" cm="1">
        <f t="array" ref="M11">IF(INDEX(results_spb!$A$1:$Y$100,
          MATCH(1, (results_spb!$A$1:$A$100 = table_summary!$B11) * (results_spb!$C$1:$C$100 = table_summary!M$1), 0),
          MATCH(table_summary!M$2, results_spb!$1:$1, 0)) = 0,
   "...",
   INDEX(results_spb!$A$1:$Y$100,
         MATCH(1, (results_spb!$A$1:$A$100 = table_summary!$B11) * (results_spb!$C$1:$C$100 = table_summary!M$1), 0),
         MATCH(table_summary!M$2, results_spb!$1:$1, 0)))</f>
        <v>...</v>
      </c>
      <c r="N11" s="12" t="str" cm="1">
        <f t="array" ref="N11">IF(INDEX(results_spb!$A$1:$Y$100,
          MATCH(1, (results_spb!$A$1:$A$100 = table_summary!$B11) * (results_spb!$C$1:$C$100 = table_summary!N$1), 0),
          MATCH(table_summary!N$2, results_spb!$1:$1, 0)) = 0,
   "...",
   INDEX(results_spb!$A$1:$Y$100,
         MATCH(1, (results_spb!$A$1:$A$100 = table_summary!$B11) * (results_spb!$C$1:$C$100 = table_summary!N$1), 0),
         MATCH(table_summary!N$2, results_spb!$1:$1, 0)))</f>
        <v>...</v>
      </c>
      <c r="O11" s="12"/>
      <c r="P11" s="12" t="str" cm="1">
        <f t="array" ref="P11">IF(INDEX(results_spb!$A$1:$Y$100,
          MATCH(1, (results_spb!$A$1:$A$100 = table_summary!$B11) * (results_spb!$C$1:$C$100 = table_summary!P$1), 0),
          MATCH(table_summary!P$2, results_spb!$1:$1, 0)) = 0,
   "...",
   INDEX(results_spb!$A$1:$Y$100,
         MATCH(1, (results_spb!$A$1:$A$100 = table_summary!$B11) * (results_spb!$C$1:$C$100 = table_summary!P$1), 0),
         MATCH(table_summary!P$2, results_spb!$1:$1, 0)))</f>
        <v>...</v>
      </c>
      <c r="Q11" s="12" cm="1">
        <f t="array" ref="Q11">IF(INDEX(results_spb!$A$1:$Y$100,
          MATCH(1, (results_spb!$A$1:$A$100 = table_summary!$B11) * (results_spb!$C$1:$C$100 = table_summary!Q$1), 0),
          MATCH(table_summary!Q$2, results_spb!$1:$1, 0)) = 0,
   "...",
   INDEX(results_spb!$A$1:$Y$100,
         MATCH(1, (results_spb!$A$1:$A$100 = table_summary!$B11) * (results_spb!$C$1:$C$100 = table_summary!Q$1), 0),
         MATCH(table_summary!Q$2, results_spb!$1:$1, 0)))</f>
        <v>0.81399999999999995</v>
      </c>
      <c r="R11" s="12"/>
      <c r="S11" s="12" cm="1">
        <f t="array" ref="S11">IF(INDEX(results_spb!$A$1:$Y$100,
          MATCH(1, (results_spb!$A$1:$A$100 = table_summary!$B11) * (results_spb!$C$1:$C$100 = table_summary!S$1), 0),
          MATCH(table_summary!S$2, results_spb!$1:$1, 0)) = 0,
   "...",
   INDEX(results_spb!$A$1:$Y$100,
         MATCH(1, (results_spb!$A$1:$A$100 = table_summary!$B11) * (results_spb!$C$1:$C$100 = table_summary!S$1), 0),
         MATCH(table_summary!S$2, results_spb!$1:$1, 0)))</f>
        <v>0.77200000000000002</v>
      </c>
      <c r="T11" s="12" cm="1">
        <f t="array" ref="T11">IF(INDEX(results_spb!$A$1:$Y$100,
          MATCH(1, (results_spb!$A$1:$A$100 = table_summary!$B11) * (results_spb!$C$1:$C$100 = table_summary!T$1), 0),
          MATCH(table_summary!T$2, results_spb!$1:$1, 0)) = 0,
   "...",
   INDEX(results_spb!$A$1:$Y$100,
         MATCH(1, (results_spb!$A$1:$A$100 = table_summary!$B11) * (results_spb!$C$1:$C$100 = table_summary!T$1), 0),
         MATCH(table_summary!T$2, results_spb!$1:$1, 0)))</f>
        <v>0.81399999999999995</v>
      </c>
      <c r="U11" s="14"/>
      <c r="V11" s="3">
        <f t="shared" si="0"/>
        <v>0.93510000000000004</v>
      </c>
      <c r="W11" s="3">
        <f t="shared" si="1"/>
        <v>0.54034285714285712</v>
      </c>
      <c r="Y11" s="29"/>
      <c r="Z11" s="39" t="s">
        <v>118</v>
      </c>
      <c r="AA11" s="40"/>
      <c r="AB11" s="40"/>
      <c r="AC11" s="40"/>
      <c r="AD11" s="40"/>
      <c r="AE11" s="41"/>
    </row>
    <row r="12" spans="1:31" ht="15" customHeight="1">
      <c r="A12" s="25" t="s">
        <v>18</v>
      </c>
      <c r="B12" s="22" t="str">
        <f>INDEX(Table1[#All], MATCH($A12, ameco_2024_data!$A:$A, 0), MATCH(B$2, ameco_2024_data!$1:$1, 0))</f>
        <v>Spain</v>
      </c>
      <c r="C12" s="15">
        <f>INDEX(Table1[#All], MATCH($A12, ameco_2024_data!$A:$A, 0), MATCH(C$2, ameco_2024_data!$1:$1, 0))</f>
        <v>105.50790000000001</v>
      </c>
      <c r="D12" s="12">
        <f>INDEX(Table1[#All], MATCH($A12, ameco_2024_data!$A:$A, 0), MATCH(D$2, ameco_2024_data!$1:$1, 0))</f>
        <v>-2.986415</v>
      </c>
      <c r="E12" s="12">
        <f>INDEX(Table1[#All], MATCH($A12, ameco_2024_data!$A:$A, 0), MATCH(E$2, ameco_2024_data!$1:$1, 0))</f>
        <v>-0.84899999999999998</v>
      </c>
      <c r="F12" s="3"/>
      <c r="G12" s="12" cm="1">
        <f t="array" ref="G12">IF(INDEX(results_spb!$A$1:$Y$100,
          MATCH(1, (results_spb!$A$1:$A$100 = table_summary!$B12) * (results_spb!$C$1:$C$100 = table_summary!G$1), 0),
          MATCH(table_summary!G$2, results_spb!$1:$1, 0)) = 0,
   "...",
   INDEX(results_spb!$A$1:$Y$100,
         MATCH(1, (results_spb!$A$1:$A$100 = table_summary!$B12) * (results_spb!$C$1:$C$100 = table_summary!G$1), 0),
         MATCH(table_summary!G$2, results_spb!$1:$1, 0)))</f>
        <v>2.73</v>
      </c>
      <c r="H12" s="12" cm="1">
        <f t="array" ref="H12">IF(INDEX(results_spb!$A$1:$Y$100,
          MATCH(1, (results_spb!$A$1:$A$100 = table_summary!$B12) * (results_spb!$C$1:$C$100 = table_summary!H$1), 0),
          MATCH(table_summary!H$2, results_spb!$1:$1, 0)) = 0,
   "...",
   INDEX(results_spb!$A$1:$Y$100,
         MATCH(1, (results_spb!$A$1:$A$100 = table_summary!$B12) * (results_spb!$C$1:$C$100 = table_summary!H$1), 0),
         MATCH(table_summary!H$2, results_spb!$1:$1, 0)))</f>
        <v>2.7770000000000001</v>
      </c>
      <c r="I12" s="12"/>
      <c r="J12" s="12" cm="1">
        <f t="array" ref="J12">IF(INDEX(results_spb!$A$1:$Y$100,
          MATCH(1, (results_spb!$A$1:$A$100 = table_summary!$B12) * (results_spb!$C$1:$C$100 = table_summary!J$1), 0),
          MATCH(table_summary!J$2, results_spb!$1:$1, 0)) = 0,
   "...",
   INDEX(results_spb!$A$1:$Y$100,
         MATCH(1, (results_spb!$A$1:$A$100 = table_summary!$B12) * (results_spb!$C$1:$C$100 = table_summary!J$1), 0),
         MATCH(table_summary!J$2, results_spb!$1:$1, 0)))</f>
        <v>2.2069999999999999</v>
      </c>
      <c r="K12" s="12" cm="1">
        <f t="array" ref="K12">IF(INDEX(results_spb!$A$1:$Y$100,
          MATCH(1, (results_spb!$A$1:$A$100 = table_summary!$B12) * (results_spb!$C$1:$C$100 = table_summary!K$1), 0),
          MATCH(table_summary!K$2, results_spb!$1:$1, 0)) = 0,
   "...",
   INDEX(results_spb!$A$1:$Y$100,
         MATCH(1, (results_spb!$A$1:$A$100 = table_summary!$B12) * (results_spb!$C$1:$C$100 = table_summary!K$1), 0),
         MATCH(table_summary!K$2, results_spb!$1:$1, 0)))</f>
        <v>2.274</v>
      </c>
      <c r="L12" s="12"/>
      <c r="M12" s="12" t="str" cm="1">
        <f t="array" ref="M12">IF(INDEX(results_spb!$A$1:$Y$100,
          MATCH(1, (results_spb!$A$1:$A$100 = table_summary!$B12) * (results_spb!$C$1:$C$100 = table_summary!M$1), 0),
          MATCH(table_summary!M$2, results_spb!$1:$1, 0)) = 0,
   "...",
   INDEX(results_spb!$A$1:$Y$100,
         MATCH(1, (results_spb!$A$1:$A$100 = table_summary!$B12) * (results_spb!$C$1:$C$100 = table_summary!M$1), 0),
         MATCH(table_summary!M$2, results_spb!$1:$1, 0)))</f>
        <v>...</v>
      </c>
      <c r="N12" s="12" t="str" cm="1">
        <f t="array" ref="N12">IF(INDEX(results_spb!$A$1:$Y$100,
          MATCH(1, (results_spb!$A$1:$A$100 = table_summary!$B12) * (results_spb!$C$1:$C$100 = table_summary!N$1), 0),
          MATCH(table_summary!N$2, results_spb!$1:$1, 0)) = 0,
   "...",
   INDEX(results_spb!$A$1:$Y$100,
         MATCH(1, (results_spb!$A$1:$A$100 = table_summary!$B12) * (results_spb!$C$1:$C$100 = table_summary!N$1), 0),
         MATCH(table_summary!N$2, results_spb!$1:$1, 0)))</f>
        <v>...</v>
      </c>
      <c r="O12" s="12"/>
      <c r="P12" s="12" t="str" cm="1">
        <f t="array" ref="P12">IF(INDEX(results_spb!$A$1:$Y$100,
          MATCH(1, (results_spb!$A$1:$A$100 = table_summary!$B12) * (results_spb!$C$1:$C$100 = table_summary!P$1), 0),
          MATCH(table_summary!P$2, results_spb!$1:$1, 0)) = 0,
   "...",
   INDEX(results_spb!$A$1:$Y$100,
         MATCH(1, (results_spb!$A$1:$A$100 = table_summary!$B12) * (results_spb!$C$1:$C$100 = table_summary!P$1), 0),
         MATCH(table_summary!P$2, results_spb!$1:$1, 0)))</f>
        <v>...</v>
      </c>
      <c r="Q12" s="12" t="str" cm="1">
        <f t="array" ref="Q12">IF(INDEX(results_spb!$A$1:$Y$100,
          MATCH(1, (results_spb!$A$1:$A$100 = table_summary!$B12) * (results_spb!$C$1:$C$100 = table_summary!Q$1), 0),
          MATCH(table_summary!Q$2, results_spb!$1:$1, 0)) = 0,
   "...",
   INDEX(results_spb!$A$1:$Y$100,
         MATCH(1, (results_spb!$A$1:$A$100 = table_summary!$B12) * (results_spb!$C$1:$C$100 = table_summary!Q$1), 0),
         MATCH(table_summary!Q$2, results_spb!$1:$1, 0)))</f>
        <v>...</v>
      </c>
      <c r="R12" s="12"/>
      <c r="S12" s="12" cm="1">
        <f t="array" ref="S12">IF(INDEX(results_spb!$A$1:$Y$100,
          MATCH(1, (results_spb!$A$1:$A$100 = table_summary!$B12) * (results_spb!$C$1:$C$100 = table_summary!S$1), 0),
          MATCH(table_summary!S$2, results_spb!$1:$1, 0)) = 0,
   "...",
   INDEX(results_spb!$A$1:$Y$100,
         MATCH(1, (results_spb!$A$1:$A$100 = table_summary!$B12) * (results_spb!$C$1:$C$100 = table_summary!S$1), 0),
         MATCH(table_summary!S$2, results_spb!$1:$1, 0)))</f>
        <v>2.73</v>
      </c>
      <c r="T12" s="12" cm="1">
        <f t="array" ref="T12">IF(INDEX(results_spb!$A$1:$Y$100,
          MATCH(1, (results_spb!$A$1:$A$100 = table_summary!$B12) * (results_spb!$C$1:$C$100 = table_summary!T$1), 0),
          MATCH(table_summary!T$2, results_spb!$1:$1, 0)) = 0,
   "...",
   INDEX(results_spb!$A$1:$Y$100,
         MATCH(1, (results_spb!$A$1:$A$100 = table_summary!$B12) * (results_spb!$C$1:$C$100 = table_summary!T$1), 0),
         MATCH(table_summary!T$2, results_spb!$1:$1, 0)))</f>
        <v>2.7770000000000001</v>
      </c>
      <c r="U12" s="14"/>
      <c r="V12" s="3">
        <f t="shared" si="0"/>
        <v>0.89474999999999993</v>
      </c>
      <c r="W12" s="3">
        <f t="shared" si="1"/>
        <v>0.51800000000000002</v>
      </c>
      <c r="Y12" s="32"/>
      <c r="Z12" s="39" t="s">
        <v>120</v>
      </c>
      <c r="AA12" s="40"/>
      <c r="AB12" s="40"/>
      <c r="AC12" s="40"/>
      <c r="AD12" s="40"/>
      <c r="AE12" s="41"/>
    </row>
    <row r="13" spans="1:31" ht="15" customHeight="1">
      <c r="A13" s="25" t="s">
        <v>19</v>
      </c>
      <c r="B13" s="22" t="str">
        <f>INDEX(Table1[#All], MATCH($A13, ameco_2024_data!$A:$A, 0), MATCH(B$2, ameco_2024_data!$1:$1, 0))</f>
        <v>Belgium</v>
      </c>
      <c r="C13" s="15">
        <f>INDEX(Table1[#All], MATCH($A13, ameco_2024_data!$A:$A, 0), MATCH(C$2, ameco_2024_data!$1:$1, 0))</f>
        <v>105.0356</v>
      </c>
      <c r="D13" s="12">
        <f>INDEX(Table1[#All], MATCH($A13, ameco_2024_data!$A:$A, 0), MATCH(D$2, ameco_2024_data!$1:$1, 0))</f>
        <v>-4.4116011000000004</v>
      </c>
      <c r="E13" s="12">
        <f>INDEX(Table1[#All], MATCH($A13, ameco_2024_data!$A:$A, 0), MATCH(E$2, ameco_2024_data!$1:$1, 0))</f>
        <v>-1.8693</v>
      </c>
      <c r="F13" s="3"/>
      <c r="G13" s="12" cm="1">
        <f t="array" ref="G13">IF(INDEX(results_spb!$A$1:$Y$100,
          MATCH(1, (results_spb!$A$1:$A$100 = table_summary!$B13) * (results_spb!$C$1:$C$100 = table_summary!G$1), 0),
          MATCH(table_summary!G$2, results_spb!$1:$1, 0)) = 0,
   "...",
   INDEX(results_spb!$A$1:$Y$100,
         MATCH(1, (results_spb!$A$1:$A$100 = table_summary!$B13) * (results_spb!$C$1:$C$100 = table_summary!G$1), 0),
         MATCH(table_summary!G$2, results_spb!$1:$1, 0)))</f>
        <v>1.0920000000000001</v>
      </c>
      <c r="H13" s="12" cm="1">
        <f t="array" ref="H13">IF(INDEX(results_spb!$A$1:$Y$100,
          MATCH(1, (results_spb!$A$1:$A$100 = table_summary!$B13) * (results_spb!$C$1:$C$100 = table_summary!H$1), 0),
          MATCH(table_summary!H$2, results_spb!$1:$1, 0)) = 0,
   "...",
   INDEX(results_spb!$A$1:$Y$100,
         MATCH(1, (results_spb!$A$1:$A$100 = table_summary!$B13) * (results_spb!$C$1:$C$100 = table_summary!H$1), 0),
         MATCH(table_summary!H$2, results_spb!$1:$1, 0)))</f>
        <v>1.135</v>
      </c>
      <c r="I13" s="12"/>
      <c r="J13" s="12" cm="1">
        <f t="array" ref="J13">IF(INDEX(results_spb!$A$1:$Y$100,
          MATCH(1, (results_spb!$A$1:$A$100 = table_summary!$B13) * (results_spb!$C$1:$C$100 = table_summary!J$1), 0),
          MATCH(table_summary!J$2, results_spb!$1:$1, 0)) = 0,
   "...",
   INDEX(results_spb!$A$1:$Y$100,
         MATCH(1, (results_spb!$A$1:$A$100 = table_summary!$B13) * (results_spb!$C$1:$C$100 = table_summary!J$1), 0),
         MATCH(table_summary!J$2, results_spb!$1:$1, 0)))</f>
        <v>0.81399999999999995</v>
      </c>
      <c r="K13" s="12" cm="1">
        <f t="array" ref="K13">IF(INDEX(results_spb!$A$1:$Y$100,
          MATCH(1, (results_spb!$A$1:$A$100 = table_summary!$B13) * (results_spb!$C$1:$C$100 = table_summary!K$1), 0),
          MATCH(table_summary!K$2, results_spb!$1:$1, 0)) = 0,
   "...",
   INDEX(results_spb!$A$1:$Y$100,
         MATCH(1, (results_spb!$A$1:$A$100 = table_summary!$B13) * (results_spb!$C$1:$C$100 = table_summary!K$1), 0),
         MATCH(table_summary!K$2, results_spb!$1:$1, 0)))</f>
        <v>0.92300000000000004</v>
      </c>
      <c r="L13" s="12"/>
      <c r="M13" s="12" t="str" cm="1">
        <f t="array" ref="M13">IF(INDEX(results_spb!$A$1:$Y$100,
          MATCH(1, (results_spb!$A$1:$A$100 = table_summary!$B13) * (results_spb!$C$1:$C$100 = table_summary!M$1), 0),
          MATCH(table_summary!M$2, results_spb!$1:$1, 0)) = 0,
   "...",
   INDEX(results_spb!$A$1:$Y$100,
         MATCH(1, (results_spb!$A$1:$A$100 = table_summary!$B13) * (results_spb!$C$1:$C$100 = table_summary!M$1), 0),
         MATCH(table_summary!M$2, results_spb!$1:$1, 0)))</f>
        <v>...</v>
      </c>
      <c r="N13" s="12" t="str" cm="1">
        <f t="array" ref="N13">IF(INDEX(results_spb!$A$1:$Y$100,
          MATCH(1, (results_spb!$A$1:$A$100 = table_summary!$B13) * (results_spb!$C$1:$C$100 = table_summary!N$1), 0),
          MATCH(table_summary!N$2, results_spb!$1:$1, 0)) = 0,
   "...",
   INDEX(results_spb!$A$1:$Y$100,
         MATCH(1, (results_spb!$A$1:$A$100 = table_summary!$B13) * (results_spb!$C$1:$C$100 = table_summary!N$1), 0),
         MATCH(table_summary!N$2, results_spb!$1:$1, 0)))</f>
        <v>...</v>
      </c>
      <c r="O13" s="12"/>
      <c r="P13" s="12" t="str" cm="1">
        <f t="array" ref="P13">IF(INDEX(results_spb!$A$1:$Y$100,
          MATCH(1, (results_spb!$A$1:$A$100 = table_summary!$B13) * (results_spb!$C$1:$C$100 = table_summary!P$1), 0),
          MATCH(table_summary!P$2, results_spb!$1:$1, 0)) = 0,
   "...",
   INDEX(results_spb!$A$1:$Y$100,
         MATCH(1, (results_spb!$A$1:$A$100 = table_summary!$B13) * (results_spb!$C$1:$C$100 = table_summary!P$1), 0),
         MATCH(table_summary!P$2, results_spb!$1:$1, 0)))</f>
        <v>...</v>
      </c>
      <c r="Q13" s="12" t="str" cm="1">
        <f t="array" ref="Q13">IF(INDEX(results_spb!$A$1:$Y$100,
          MATCH(1, (results_spb!$A$1:$A$100 = table_summary!$B13) * (results_spb!$C$1:$C$100 = table_summary!Q$1), 0),
          MATCH(table_summary!Q$2, results_spb!$1:$1, 0)) = 0,
   "...",
   INDEX(results_spb!$A$1:$Y$100,
         MATCH(1, (results_spb!$A$1:$A$100 = table_summary!$B13) * (results_spb!$C$1:$C$100 = table_summary!Q$1), 0),
         MATCH(table_summary!Q$2, results_spb!$1:$1, 0)))</f>
        <v>...</v>
      </c>
      <c r="R13" s="12"/>
      <c r="S13" s="12" cm="1">
        <f t="array" ref="S13">IF(INDEX(results_spb!$A$1:$Y$100,
          MATCH(1, (results_spb!$A$1:$A$100 = table_summary!$B13) * (results_spb!$C$1:$C$100 = table_summary!S$1), 0),
          MATCH(table_summary!S$2, results_spb!$1:$1, 0)) = 0,
   "...",
   INDEX(results_spb!$A$1:$Y$100,
         MATCH(1, (results_spb!$A$1:$A$100 = table_summary!$B13) * (results_spb!$C$1:$C$100 = table_summary!S$1), 0),
         MATCH(table_summary!S$2, results_spb!$1:$1, 0)))</f>
        <v>1.0920000000000001</v>
      </c>
      <c r="T13" s="12" cm="1">
        <f t="array" ref="T13">IF(INDEX(results_spb!$A$1:$Y$100,
          MATCH(1, (results_spb!$A$1:$A$100 = table_summary!$B13) * (results_spb!$C$1:$C$100 = table_summary!T$1), 0),
          MATCH(table_summary!T$2, results_spb!$1:$1, 0)) = 0,
   "...",
   INDEX(results_spb!$A$1:$Y$100,
         MATCH(1, (results_spb!$A$1:$A$100 = table_summary!$B13) * (results_spb!$C$1:$C$100 = table_summary!T$1), 0),
         MATCH(table_summary!T$2, results_spb!$1:$1, 0)))</f>
        <v>1.1299999999999999</v>
      </c>
      <c r="U13" s="14"/>
      <c r="V13" s="3">
        <f t="shared" si="0"/>
        <v>0.74032500000000001</v>
      </c>
      <c r="W13" s="3">
        <f t="shared" si="1"/>
        <v>0.42847142857142856</v>
      </c>
      <c r="Y13" s="33"/>
      <c r="Z13" s="39" t="s">
        <v>121</v>
      </c>
      <c r="AA13" s="40"/>
      <c r="AB13" s="40"/>
      <c r="AC13" s="40"/>
      <c r="AD13" s="40"/>
      <c r="AE13" s="41"/>
    </row>
    <row r="14" spans="1:31" ht="15" customHeight="1">
      <c r="A14" s="25" t="s">
        <v>20</v>
      </c>
      <c r="B14" s="22" t="str">
        <f>INDEX(Table1[#All], MATCH($A14, ameco_2024_data!$A:$A, 0), MATCH(B$2, ameco_2024_data!$1:$1, 0))</f>
        <v>Portugal</v>
      </c>
      <c r="C14" s="15">
        <f>INDEX(Table1[#All], MATCH($A14, ameco_2024_data!$A:$A, 0), MATCH(C$2, ameco_2024_data!$1:$1, 0))</f>
        <v>95.631399999999999</v>
      </c>
      <c r="D14" s="12">
        <f>INDEX(Table1[#All], MATCH($A14, ameco_2024_data!$A:$A, 0), MATCH(D$2, ameco_2024_data!$1:$1, 0))</f>
        <v>0.43677359999999998</v>
      </c>
      <c r="E14" s="12">
        <f>INDEX(Table1[#All], MATCH($A14, ameco_2024_data!$A:$A, 0), MATCH(E$2, ameco_2024_data!$1:$1, 0))</f>
        <v>2.2021000000000002</v>
      </c>
      <c r="F14" s="3"/>
      <c r="G14" s="12" cm="1">
        <f t="array" ref="G14">IF(INDEX(results_spb!$A$1:$Y$100,
          MATCH(1, (results_spb!$A$1:$A$100 = table_summary!$B14) * (results_spb!$C$1:$C$100 = table_summary!G$1), 0),
          MATCH(table_summary!G$2, results_spb!$1:$1, 0)) = 0,
   "...",
   INDEX(results_spb!$A$1:$Y$100,
         MATCH(1, (results_spb!$A$1:$A$100 = table_summary!$B14) * (results_spb!$C$1:$C$100 = table_summary!G$1), 0),
         MATCH(table_summary!G$2, results_spb!$1:$1, 0)))</f>
        <v>2.5659999999999998</v>
      </c>
      <c r="H14" s="12" cm="1">
        <f t="array" ref="H14">IF(INDEX(results_spb!$A$1:$Y$100,
          MATCH(1, (results_spb!$A$1:$A$100 = table_summary!$B14) * (results_spb!$C$1:$C$100 = table_summary!H$1), 0),
          MATCH(table_summary!H$2, results_spb!$1:$1, 0)) = 0,
   "...",
   INDEX(results_spb!$A$1:$Y$100,
         MATCH(1, (results_spb!$A$1:$A$100 = table_summary!$B14) * (results_spb!$C$1:$C$100 = table_summary!H$1), 0),
         MATCH(table_summary!H$2, results_spb!$1:$1, 0)))</f>
        <v>2.2890000000000001</v>
      </c>
      <c r="I14" s="12"/>
      <c r="J14" s="12" cm="1">
        <f t="array" ref="J14">IF(INDEX(results_spb!$A$1:$Y$100,
          MATCH(1, (results_spb!$A$1:$A$100 = table_summary!$B14) * (results_spb!$C$1:$C$100 = table_summary!J$1), 0),
          MATCH(table_summary!J$2, results_spb!$1:$1, 0)) = 0,
   "...",
   INDEX(results_spb!$A$1:$Y$100,
         MATCH(1, (results_spb!$A$1:$A$100 = table_summary!$B14) * (results_spb!$C$1:$C$100 = table_summary!J$1), 0),
         MATCH(table_summary!J$2, results_spb!$1:$1, 0)))</f>
        <v>1.6819999999999999</v>
      </c>
      <c r="K14" s="12" cm="1">
        <f t="array" ref="K14">IF(INDEX(results_spb!$A$1:$Y$100,
          MATCH(1, (results_spb!$A$1:$A$100 = table_summary!$B14) * (results_spb!$C$1:$C$100 = table_summary!K$1), 0),
          MATCH(table_summary!K$2, results_spb!$1:$1, 0)) = 0,
   "...",
   INDEX(results_spb!$A$1:$Y$100,
         MATCH(1, (results_spb!$A$1:$A$100 = table_summary!$B14) * (results_spb!$C$1:$C$100 = table_summary!K$1), 0),
         MATCH(table_summary!K$2, results_spb!$1:$1, 0)))</f>
        <v>1.4610000000000001</v>
      </c>
      <c r="L14" s="12"/>
      <c r="M14" s="12" t="str" cm="1">
        <f t="array" ref="M14">IF(INDEX(results_spb!$A$1:$Y$100,
          MATCH(1, (results_spb!$A$1:$A$100 = table_summary!$B14) * (results_spb!$C$1:$C$100 = table_summary!M$1), 0),
          MATCH(table_summary!M$2, results_spb!$1:$1, 0)) = 0,
   "...",
   INDEX(results_spb!$A$1:$Y$100,
         MATCH(1, (results_spb!$A$1:$A$100 = table_summary!$B14) * (results_spb!$C$1:$C$100 = table_summary!M$1), 0),
         MATCH(table_summary!M$2, results_spb!$1:$1, 0)))</f>
        <v>...</v>
      </c>
      <c r="N14" s="12" t="str" cm="1">
        <f t="array" ref="N14">IF(INDEX(results_spb!$A$1:$Y$100,
          MATCH(1, (results_spb!$A$1:$A$100 = table_summary!$B14) * (results_spb!$C$1:$C$100 = table_summary!N$1), 0),
          MATCH(table_summary!N$2, results_spb!$1:$1, 0)) = 0,
   "...",
   INDEX(results_spb!$A$1:$Y$100,
         MATCH(1, (results_spb!$A$1:$A$100 = table_summary!$B14) * (results_spb!$C$1:$C$100 = table_summary!N$1), 0),
         MATCH(table_summary!N$2, results_spb!$1:$1, 0)))</f>
        <v>...</v>
      </c>
      <c r="O14" s="12"/>
      <c r="P14" s="12" t="str" cm="1">
        <f t="array" ref="P14">IF(INDEX(results_spb!$A$1:$Y$100,
          MATCH(1, (results_spb!$A$1:$A$100 = table_summary!$B14) * (results_spb!$C$1:$C$100 = table_summary!P$1), 0),
          MATCH(table_summary!P$2, results_spb!$1:$1, 0)) = 0,
   "...",
   INDEX(results_spb!$A$1:$Y$100,
         MATCH(1, (results_spb!$A$1:$A$100 = table_summary!$B14) * (results_spb!$C$1:$C$100 = table_summary!P$1), 0),
         MATCH(table_summary!P$2, results_spb!$1:$1, 0)))</f>
        <v>...</v>
      </c>
      <c r="Q14" s="12" t="str" cm="1">
        <f t="array" ref="Q14">IF(INDEX(results_spb!$A$1:$Y$100,
          MATCH(1, (results_spb!$A$1:$A$100 = table_summary!$B14) * (results_spb!$C$1:$C$100 = table_summary!Q$1), 0),
          MATCH(table_summary!Q$2, results_spb!$1:$1, 0)) = 0,
   "...",
   INDEX(results_spb!$A$1:$Y$100,
         MATCH(1, (results_spb!$A$1:$A$100 = table_summary!$B14) * (results_spb!$C$1:$C$100 = table_summary!Q$1), 0),
         MATCH(table_summary!Q$2, results_spb!$1:$1, 0)))</f>
        <v>...</v>
      </c>
      <c r="R14" s="12"/>
      <c r="S14" s="12" cm="1">
        <f t="array" ref="S14">IF(INDEX(results_spb!$A$1:$Y$100,
          MATCH(1, (results_spb!$A$1:$A$100 = table_summary!$B14) * (results_spb!$C$1:$C$100 = table_summary!S$1), 0),
          MATCH(table_summary!S$2, results_spb!$1:$1, 0)) = 0,
   "...",
   INDEX(results_spb!$A$1:$Y$100,
         MATCH(1, (results_spb!$A$1:$A$100 = table_summary!$B14) * (results_spb!$C$1:$C$100 = table_summary!S$1), 0),
         MATCH(table_summary!S$2, results_spb!$1:$1, 0)))</f>
        <v>2.5659999999999998</v>
      </c>
      <c r="T14" s="12" cm="1">
        <f t="array" ref="T14">IF(INDEX(results_spb!$A$1:$Y$100,
          MATCH(1, (results_spb!$A$1:$A$100 = table_summary!$B14) * (results_spb!$C$1:$C$100 = table_summary!T$1), 0),
          MATCH(table_summary!T$2, results_spb!$1:$1, 0)) = 0,
   "...",
   INDEX(results_spb!$A$1:$Y$100,
         MATCH(1, (results_spb!$A$1:$A$100 = table_summary!$B14) * (results_spb!$C$1:$C$100 = table_summary!T$1), 0),
         MATCH(table_summary!T$2, results_spb!$1:$1, 0)))</f>
        <v>2.2890000000000001</v>
      </c>
      <c r="U14" s="14"/>
      <c r="V14" s="3">
        <f t="shared" si="0"/>
        <v>9.0974999999999917E-2</v>
      </c>
      <c r="W14" s="3">
        <f t="shared" si="1"/>
        <v>1.2414285714285711E-2</v>
      </c>
    </row>
    <row r="15" spans="1:31">
      <c r="A15" s="25" t="s">
        <v>21</v>
      </c>
      <c r="B15" s="22" t="str">
        <f>INDEX(Table1[#All], MATCH($A15, ameco_2024_data!$A:$A, 0), MATCH(B$2, ameco_2024_data!$1:$1, 0))</f>
        <v>Finland</v>
      </c>
      <c r="C15" s="15">
        <f>INDEX(Table1[#All], MATCH($A15, ameco_2024_data!$A:$A, 0), MATCH(C$2, ameco_2024_data!$1:$1, 0))</f>
        <v>80.487399999999994</v>
      </c>
      <c r="D15" s="12">
        <f>INDEX(Table1[#All], MATCH($A15, ameco_2024_data!$A:$A, 0), MATCH(D$2, ameco_2024_data!$1:$1, 0))</f>
        <v>-3.4097268999999999</v>
      </c>
      <c r="E15" s="12">
        <f>INDEX(Table1[#All], MATCH($A15, ameco_2024_data!$A:$A, 0), MATCH(E$2, ameco_2024_data!$1:$1, 0))</f>
        <v>-0.53010000000000002</v>
      </c>
      <c r="F15" s="3"/>
      <c r="G15" s="12" cm="1">
        <f t="array" ref="G15">IF(INDEX(results_spb!$A$1:$Y$100,
          MATCH(1, (results_spb!$A$1:$A$100 = table_summary!$B15) * (results_spb!$C$1:$C$100 = table_summary!G$1), 0),
          MATCH(table_summary!G$2, results_spb!$1:$1, 0)) = 0,
   "...",
   INDEX(results_spb!$A$1:$Y$100,
         MATCH(1, (results_spb!$A$1:$A$100 = table_summary!$B15) * (results_spb!$C$1:$C$100 = table_summary!G$1), 0),
         MATCH(table_summary!G$2, results_spb!$1:$1, 0)))</f>
        <v>1.381</v>
      </c>
      <c r="H15" s="12" cm="1">
        <f t="array" ref="H15">IF(INDEX(results_spb!$A$1:$Y$100,
          MATCH(1, (results_spb!$A$1:$A$100 = table_summary!$B15) * (results_spb!$C$1:$C$100 = table_summary!H$1), 0),
          MATCH(table_summary!H$2, results_spb!$1:$1, 0)) = 0,
   "...",
   INDEX(results_spb!$A$1:$Y$100,
         MATCH(1, (results_spb!$A$1:$A$100 = table_summary!$B15) * (results_spb!$C$1:$C$100 = table_summary!H$1), 0),
         MATCH(table_summary!H$2, results_spb!$1:$1, 0)))</f>
        <v>0.98</v>
      </c>
      <c r="I15" s="12"/>
      <c r="J15" s="12" cm="1">
        <f t="array" ref="J15">IF(INDEX(results_spb!$A$1:$Y$100,
          MATCH(1, (results_spb!$A$1:$A$100 = table_summary!$B15) * (results_spb!$C$1:$C$100 = table_summary!J$1), 0),
          MATCH(table_summary!J$2, results_spb!$1:$1, 0)) = 0,
   "...",
   INDEX(results_spb!$A$1:$Y$100,
         MATCH(1, (results_spb!$A$1:$A$100 = table_summary!$B15) * (results_spb!$C$1:$C$100 = table_summary!J$1), 0),
         MATCH(table_summary!J$2, results_spb!$1:$1, 0)))</f>
        <v>-0.38400000000000001</v>
      </c>
      <c r="K15" s="12" cm="1">
        <f t="array" ref="K15">IF(INDEX(results_spb!$A$1:$Y$100,
          MATCH(1, (results_spb!$A$1:$A$100 = table_summary!$B15) * (results_spb!$C$1:$C$100 = table_summary!K$1), 0),
          MATCH(table_summary!K$2, results_spb!$1:$1, 0)) = 0,
   "...",
   INDEX(results_spb!$A$1:$Y$100,
         MATCH(1, (results_spb!$A$1:$A$100 = table_summary!$B15) * (results_spb!$C$1:$C$100 = table_summary!K$1), 0),
         MATCH(table_summary!K$2, results_spb!$1:$1, 0)))</f>
        <v>-0.61499999999999999</v>
      </c>
      <c r="L15" s="12"/>
      <c r="M15" s="12" cm="1">
        <f t="array" ref="M15">IF(INDEX(results_spb!$A$1:$Y$100,
          MATCH(1, (results_spb!$A$1:$A$100 = table_summary!$B15) * (results_spb!$C$1:$C$100 = table_summary!M$1), 0),
          MATCH(table_summary!M$2, results_spb!$1:$1, 0)) = 0,
   "...",
   INDEX(results_spb!$A$1:$Y$100,
         MATCH(1, (results_spb!$A$1:$A$100 = table_summary!$B15) * (results_spb!$C$1:$C$100 = table_summary!M$1), 0),
         MATCH(table_summary!M$2, results_spb!$1:$1, 0)))</f>
        <v>4.3099999999999996</v>
      </c>
      <c r="N15" s="12" cm="1">
        <f t="array" ref="N15">IF(INDEX(results_spb!$A$1:$Y$100,
          MATCH(1, (results_spb!$A$1:$A$100 = table_summary!$B15) * (results_spb!$C$1:$C$100 = table_summary!N$1), 0),
          MATCH(table_summary!N$2, results_spb!$1:$1, 0)) = 0,
   "...",
   INDEX(results_spb!$A$1:$Y$100,
         MATCH(1, (results_spb!$A$1:$A$100 = table_summary!$B15) * (results_spb!$C$1:$C$100 = table_summary!N$1), 0),
         MATCH(table_summary!N$2, results_spb!$1:$1, 0)))</f>
        <v>3.3210000000000002</v>
      </c>
      <c r="O15" s="12"/>
      <c r="P15" s="12" t="str" cm="1">
        <f t="array" ref="P15">IF(INDEX(results_spb!$A$1:$Y$100,
          MATCH(1, (results_spb!$A$1:$A$100 = table_summary!$B15) * (results_spb!$C$1:$C$100 = table_summary!P$1), 0),
          MATCH(table_summary!P$2, results_spb!$1:$1, 0)) = 0,
   "...",
   INDEX(results_spb!$A$1:$Y$100,
         MATCH(1, (results_spb!$A$1:$A$100 = table_summary!$B15) * (results_spb!$C$1:$C$100 = table_summary!P$1), 0),
         MATCH(table_summary!P$2, results_spb!$1:$1, 0)))</f>
        <v>...</v>
      </c>
      <c r="Q15" s="12" t="str" cm="1">
        <f t="array" ref="Q15">IF(INDEX(results_spb!$A$1:$Y$100,
          MATCH(1, (results_spb!$A$1:$A$100 = table_summary!$B15) * (results_spb!$C$1:$C$100 = table_summary!Q$1), 0),
          MATCH(table_summary!Q$2, results_spb!$1:$1, 0)) = 0,
   "...",
   INDEX(results_spb!$A$1:$Y$100,
         MATCH(1, (results_spb!$A$1:$A$100 = table_summary!$B15) * (results_spb!$C$1:$C$100 = table_summary!Q$1), 0),
         MATCH(table_summary!Q$2, results_spb!$1:$1, 0)))</f>
        <v>...</v>
      </c>
      <c r="R15" s="12"/>
      <c r="S15" s="12" cm="1">
        <f t="array" ref="S15">IF(INDEX(results_spb!$A$1:$Y$100,
          MATCH(1, (results_spb!$A$1:$A$100 = table_summary!$B15) * (results_spb!$C$1:$C$100 = table_summary!S$1), 0),
          MATCH(table_summary!S$2, results_spb!$1:$1, 0)) = 0,
   "...",
   INDEX(results_spb!$A$1:$Y$100,
         MATCH(1, (results_spb!$A$1:$A$100 = table_summary!$B15) * (results_spb!$C$1:$C$100 = table_summary!S$1), 0),
         MATCH(table_summary!S$2, results_spb!$1:$1, 0)))</f>
        <v>4.3099999999999996</v>
      </c>
      <c r="T15" s="12" cm="1">
        <f t="array" ref="T15">IF(INDEX(results_spb!$A$1:$Y$100,
          MATCH(1, (results_spb!$A$1:$A$100 = table_summary!$B15) * (results_spb!$C$1:$C$100 = table_summary!T$1), 0),
          MATCH(table_summary!T$2, results_spb!$1:$1, 0)) = 0,
   "...",
   INDEX(results_spb!$A$1:$Y$100,
         MATCH(1, (results_spb!$A$1:$A$100 = table_summary!$B15) * (results_spb!$C$1:$C$100 = table_summary!T$1), 0),
         MATCH(table_summary!T$2, results_spb!$1:$1, 0)))</f>
        <v>3.3210000000000002</v>
      </c>
      <c r="U15" s="14"/>
      <c r="V15" s="3">
        <f t="shared" si="0"/>
        <v>1.2100249999999999</v>
      </c>
      <c r="W15" s="3">
        <f t="shared" si="1"/>
        <v>0.5501571428571429</v>
      </c>
    </row>
    <row r="16" spans="1:31">
      <c r="A16" s="25" t="s">
        <v>22</v>
      </c>
      <c r="B16" s="22" t="str">
        <f>INDEX(Table1[#All], MATCH($A16, ameco_2024_data!$A:$A, 0), MATCH(B$2, ameco_2024_data!$1:$1, 0))</f>
        <v>Austria</v>
      </c>
      <c r="C16" s="15">
        <f>INDEX(Table1[#All], MATCH($A16, ameco_2024_data!$A:$A, 0), MATCH(C$2, ameco_2024_data!$1:$1, 0))</f>
        <v>77.693899999999999</v>
      </c>
      <c r="D16" s="12">
        <f>INDEX(Table1[#All], MATCH($A16, ameco_2024_data!$A:$A, 0), MATCH(D$2, ameco_2024_data!$1:$1, 0))</f>
        <v>-3.0652172000000002</v>
      </c>
      <c r="E16" s="12">
        <f>INDEX(Table1[#All], MATCH($A16, ameco_2024_data!$A:$A, 0), MATCH(E$2, ameco_2024_data!$1:$1, 0))</f>
        <v>-1.1266</v>
      </c>
      <c r="F16" s="3"/>
      <c r="G16" s="12" cm="1">
        <f t="array" ref="G16">IF(INDEX(results_spb!$A$1:$Y$100,
          MATCH(1, (results_spb!$A$1:$A$100 = table_summary!$B16) * (results_spb!$C$1:$C$100 = table_summary!G$1), 0),
          MATCH(table_summary!G$2, results_spb!$1:$1, 0)) = 0,
   "...",
   INDEX(results_spb!$A$1:$Y$100,
         MATCH(1, (results_spb!$A$1:$A$100 = table_summary!$B16) * (results_spb!$C$1:$C$100 = table_summary!G$1), 0),
         MATCH(table_summary!G$2, results_spb!$1:$1, 0)))</f>
        <v>0.78100000000000003</v>
      </c>
      <c r="H16" s="12" cm="1">
        <f t="array" ref="H16">IF(INDEX(results_spb!$A$1:$Y$100,
          MATCH(1, (results_spb!$A$1:$A$100 = table_summary!$B16) * (results_spb!$C$1:$C$100 = table_summary!H$1), 0),
          MATCH(table_summary!H$2, results_spb!$1:$1, 0)) = 0,
   "...",
   INDEX(results_spb!$A$1:$Y$100,
         MATCH(1, (results_spb!$A$1:$A$100 = table_summary!$B16) * (results_spb!$C$1:$C$100 = table_summary!H$1), 0),
         MATCH(table_summary!H$2, results_spb!$1:$1, 0)))</f>
        <v>0.71299999999999997</v>
      </c>
      <c r="I16" s="12"/>
      <c r="J16" s="12" cm="1">
        <f t="array" ref="J16">IF(INDEX(results_spb!$A$1:$Y$100,
          MATCH(1, (results_spb!$A$1:$A$100 = table_summary!$B16) * (results_spb!$C$1:$C$100 = table_summary!J$1), 0),
          MATCH(table_summary!J$2, results_spb!$1:$1, 0)) = 0,
   "...",
   INDEX(results_spb!$A$1:$Y$100,
         MATCH(1, (results_spb!$A$1:$A$100 = table_summary!$B16) * (results_spb!$C$1:$C$100 = table_summary!J$1), 0),
         MATCH(table_summary!J$2, results_spb!$1:$1, 0)))</f>
        <v>-8.2000000000000003E-2</v>
      </c>
      <c r="K16" s="12" cm="1">
        <f t="array" ref="K16">IF(INDEX(results_spb!$A$1:$Y$100,
          MATCH(1, (results_spb!$A$1:$A$100 = table_summary!$B16) * (results_spb!$C$1:$C$100 = table_summary!K$1), 0),
          MATCH(table_summary!K$2, results_spb!$1:$1, 0)) = 0,
   "...",
   INDEX(results_spb!$A$1:$Y$100,
         MATCH(1, (results_spb!$A$1:$A$100 = table_summary!$B16) * (results_spb!$C$1:$C$100 = table_summary!K$1), 0),
         MATCH(table_summary!K$2, results_spb!$1:$1, 0)))</f>
        <v>-0.23899999999999999</v>
      </c>
      <c r="L16" s="12"/>
      <c r="M16" s="12" t="str" cm="1">
        <f t="array" ref="M16">IF(INDEX(results_spb!$A$1:$Y$100,
          MATCH(1, (results_spb!$A$1:$A$100 = table_summary!$B16) * (results_spb!$C$1:$C$100 = table_summary!M$1), 0),
          MATCH(table_summary!M$2, results_spb!$1:$1, 0)) = 0,
   "...",
   INDEX(results_spb!$A$1:$Y$100,
         MATCH(1, (results_spb!$A$1:$A$100 = table_summary!$B16) * (results_spb!$C$1:$C$100 = table_summary!M$1), 0),
         MATCH(table_summary!M$2, results_spb!$1:$1, 0)))</f>
        <v>...</v>
      </c>
      <c r="N16" s="12" t="str" cm="1">
        <f t="array" ref="N16">IF(INDEX(results_spb!$A$1:$Y$100,
          MATCH(1, (results_spb!$A$1:$A$100 = table_summary!$B16) * (results_spb!$C$1:$C$100 = table_summary!N$1), 0),
          MATCH(table_summary!N$2, results_spb!$1:$1, 0)) = 0,
   "...",
   INDEX(results_spb!$A$1:$Y$100,
         MATCH(1, (results_spb!$A$1:$A$100 = table_summary!$B16) * (results_spb!$C$1:$C$100 = table_summary!N$1), 0),
         MATCH(table_summary!N$2, results_spb!$1:$1, 0)))</f>
        <v>...</v>
      </c>
      <c r="O16" s="12"/>
      <c r="P16" s="12" t="str" cm="1">
        <f t="array" ref="P16">IF(INDEX(results_spb!$A$1:$Y$100,
          MATCH(1, (results_spb!$A$1:$A$100 = table_summary!$B16) * (results_spb!$C$1:$C$100 = table_summary!P$1), 0),
          MATCH(table_summary!P$2, results_spb!$1:$1, 0)) = 0,
   "...",
   INDEX(results_spb!$A$1:$Y$100,
         MATCH(1, (results_spb!$A$1:$A$100 = table_summary!$B16) * (results_spb!$C$1:$C$100 = table_summary!P$1), 0),
         MATCH(table_summary!P$2, results_spb!$1:$1, 0)))</f>
        <v>...</v>
      </c>
      <c r="Q16" s="12" t="str" cm="1">
        <f t="array" ref="Q16">IF(INDEX(results_spb!$A$1:$Y$100,
          MATCH(1, (results_spb!$A$1:$A$100 = table_summary!$B16) * (results_spb!$C$1:$C$100 = table_summary!Q$1), 0),
          MATCH(table_summary!Q$2, results_spb!$1:$1, 0)) = 0,
   "...",
   INDEX(results_spb!$A$1:$Y$100,
         MATCH(1, (results_spb!$A$1:$A$100 = table_summary!$B16) * (results_spb!$C$1:$C$100 = table_summary!Q$1), 0),
         MATCH(table_summary!Q$2, results_spb!$1:$1, 0)))</f>
        <v>...</v>
      </c>
      <c r="R16" s="12"/>
      <c r="S16" s="12" cm="1">
        <f t="array" ref="S16">IF(INDEX(results_spb!$A$1:$Y$100,
          MATCH(1, (results_spb!$A$1:$A$100 = table_summary!$B16) * (results_spb!$C$1:$C$100 = table_summary!S$1), 0),
          MATCH(table_summary!S$2, results_spb!$1:$1, 0)) = 0,
   "...",
   INDEX(results_spb!$A$1:$Y$100,
         MATCH(1, (results_spb!$A$1:$A$100 = table_summary!$B16) * (results_spb!$C$1:$C$100 = table_summary!S$1), 0),
         MATCH(table_summary!S$2, results_spb!$1:$1, 0)))</f>
        <v>0.78100000000000003</v>
      </c>
      <c r="T16" s="12" cm="1">
        <f t="array" ref="T16">IF(INDEX(results_spb!$A$1:$Y$100,
          MATCH(1, (results_spb!$A$1:$A$100 = table_summary!$B16) * (results_spb!$C$1:$C$100 = table_summary!T$1), 0),
          MATCH(table_summary!T$2, results_spb!$1:$1, 0)) = 0,
   "...",
   INDEX(results_spb!$A$1:$Y$100,
         MATCH(1, (results_spb!$A$1:$A$100 = table_summary!$B16) * (results_spb!$C$1:$C$100 = table_summary!T$1), 0),
         MATCH(table_summary!T$2, results_spb!$1:$1, 0)))</f>
        <v>0.71299999999999997</v>
      </c>
      <c r="U16" s="14"/>
      <c r="V16" s="3">
        <f t="shared" si="0"/>
        <v>0.47689999999999999</v>
      </c>
      <c r="W16" s="3">
        <f t="shared" si="1"/>
        <v>0.26279999999999998</v>
      </c>
    </row>
    <row r="17" spans="1:23">
      <c r="A17" s="25" t="s">
        <v>24</v>
      </c>
      <c r="B17" s="22" t="str">
        <f>INDEX(Table1[#All], MATCH($A17, ameco_2024_data!$A:$A, 0), MATCH(B$2, ameco_2024_data!$1:$1, 0))</f>
        <v>Hungary</v>
      </c>
      <c r="C17" s="15">
        <f>INDEX(Table1[#All], MATCH($A17, ameco_2024_data!$A:$A, 0), MATCH(C$2, ameco_2024_data!$1:$1, 0))</f>
        <v>74.287999999999997</v>
      </c>
      <c r="D17" s="12">
        <f>INDEX(Table1[#All], MATCH($A17, ameco_2024_data!$A:$A, 0), MATCH(D$2, ameco_2024_data!$1:$1, 0))</f>
        <v>-5.4353331000000003</v>
      </c>
      <c r="E17" s="12">
        <f>INDEX(Table1[#All], MATCH($A17, ameco_2024_data!$A:$A, 0), MATCH(E$2, ameco_2024_data!$1:$1, 0))</f>
        <v>3.49E-2</v>
      </c>
      <c r="F17" s="3"/>
      <c r="G17" s="12" cm="1">
        <f t="array" ref="G17">IF(INDEX(results_spb!$A$1:$Y$100,
          MATCH(1, (results_spb!$A$1:$A$100 = table_summary!$B17) * (results_spb!$C$1:$C$100 = table_summary!G$1), 0),
          MATCH(table_summary!G$2, results_spb!$1:$1, 0)) = 0,
   "...",
   INDEX(results_spb!$A$1:$Y$100,
         MATCH(1, (results_spb!$A$1:$A$100 = table_summary!$B17) * (results_spb!$C$1:$C$100 = table_summary!G$1), 0),
         MATCH(table_summary!G$2, results_spb!$1:$1, 0)))</f>
        <v>3.0489999999999999</v>
      </c>
      <c r="H17" s="12" cm="1">
        <f t="array" ref="H17">IF(INDEX(results_spb!$A$1:$Y$100,
          MATCH(1, (results_spb!$A$1:$A$100 = table_summary!$B17) * (results_spb!$C$1:$C$100 = table_summary!H$1), 0),
          MATCH(table_summary!H$2, results_spb!$1:$1, 0)) = 0,
   "...",
   INDEX(results_spb!$A$1:$Y$100,
         MATCH(1, (results_spb!$A$1:$A$100 = table_summary!$B17) * (results_spb!$C$1:$C$100 = table_summary!H$1), 0),
         MATCH(table_summary!H$2, results_spb!$1:$1, 0)))</f>
        <v>3.3130000000000002</v>
      </c>
      <c r="I17" s="12"/>
      <c r="J17" s="12" cm="1">
        <f t="array" ref="J17">IF(INDEX(results_spb!$A$1:$Y$100,
          MATCH(1, (results_spb!$A$1:$A$100 = table_summary!$B17) * (results_spb!$C$1:$C$100 = table_summary!J$1), 0),
          MATCH(table_summary!J$2, results_spb!$1:$1, 0)) = 0,
   "...",
   INDEX(results_spb!$A$1:$Y$100,
         MATCH(1, (results_spb!$A$1:$A$100 = table_summary!$B17) * (results_spb!$C$1:$C$100 = table_summary!J$1), 0),
         MATCH(table_summary!J$2, results_spb!$1:$1, 0)))</f>
        <v>2.3159999999999998</v>
      </c>
      <c r="K17" s="12" cm="1">
        <f t="array" ref="K17">IF(INDEX(results_spb!$A$1:$Y$100,
          MATCH(1, (results_spb!$A$1:$A$100 = table_summary!$B17) * (results_spb!$C$1:$C$100 = table_summary!K$1), 0),
          MATCH(table_summary!K$2, results_spb!$1:$1, 0)) = 0,
   "...",
   INDEX(results_spb!$A$1:$Y$100,
         MATCH(1, (results_spb!$A$1:$A$100 = table_summary!$B17) * (results_spb!$C$1:$C$100 = table_summary!K$1), 0),
         MATCH(table_summary!K$2, results_spb!$1:$1, 0)))</f>
        <v>2.762</v>
      </c>
      <c r="L17" s="12"/>
      <c r="M17" s="12" t="str" cm="1">
        <f t="array" ref="M17">IF(INDEX(results_spb!$A$1:$Y$100,
          MATCH(1, (results_spb!$A$1:$A$100 = table_summary!$B17) * (results_spb!$C$1:$C$100 = table_summary!M$1), 0),
          MATCH(table_summary!M$2, results_spb!$1:$1, 0)) = 0,
   "...",
   INDEX(results_spb!$A$1:$Y$100,
         MATCH(1, (results_spb!$A$1:$A$100 = table_summary!$B17) * (results_spb!$C$1:$C$100 = table_summary!M$1), 0),
         MATCH(table_summary!M$2, results_spb!$1:$1, 0)))</f>
        <v>...</v>
      </c>
      <c r="N17" s="12" t="str" cm="1">
        <f t="array" ref="N17">IF(INDEX(results_spb!$A$1:$Y$100,
          MATCH(1, (results_spb!$A$1:$A$100 = table_summary!$B17) * (results_spb!$C$1:$C$100 = table_summary!N$1), 0),
          MATCH(table_summary!N$2, results_spb!$1:$1, 0)) = 0,
   "...",
   INDEX(results_spb!$A$1:$Y$100,
         MATCH(1, (results_spb!$A$1:$A$100 = table_summary!$B17) * (results_spb!$C$1:$C$100 = table_summary!N$1), 0),
         MATCH(table_summary!N$2, results_spb!$1:$1, 0)))</f>
        <v>...</v>
      </c>
      <c r="O17" s="12"/>
      <c r="P17" s="12" t="str" cm="1">
        <f t="array" ref="P17">IF(INDEX(results_spb!$A$1:$Y$100,
          MATCH(1, (results_spb!$A$1:$A$100 = table_summary!$B17) * (results_spb!$C$1:$C$100 = table_summary!P$1), 0),
          MATCH(table_summary!P$2, results_spb!$1:$1, 0)) = 0,
   "...",
   INDEX(results_spb!$A$1:$Y$100,
         MATCH(1, (results_spb!$A$1:$A$100 = table_summary!$B17) * (results_spb!$C$1:$C$100 = table_summary!P$1), 0),
         MATCH(table_summary!P$2, results_spb!$1:$1, 0)))</f>
        <v>...</v>
      </c>
      <c r="Q17" s="12" t="str" cm="1">
        <f t="array" ref="Q17">IF(INDEX(results_spb!$A$1:$Y$100,
          MATCH(1, (results_spb!$A$1:$A$100 = table_summary!$B17) * (results_spb!$C$1:$C$100 = table_summary!Q$1), 0),
          MATCH(table_summary!Q$2, results_spb!$1:$1, 0)) = 0,
   "...",
   INDEX(results_spb!$A$1:$Y$100,
         MATCH(1, (results_spb!$A$1:$A$100 = table_summary!$B17) * (results_spb!$C$1:$C$100 = table_summary!Q$1), 0),
         MATCH(table_summary!Q$2, results_spb!$1:$1, 0)))</f>
        <v>...</v>
      </c>
      <c r="R17" s="12"/>
      <c r="S17" s="12" cm="1">
        <f t="array" ref="S17">IF(INDEX(results_spb!$A$1:$Y$100,
          MATCH(1, (results_spb!$A$1:$A$100 = table_summary!$B17) * (results_spb!$C$1:$C$100 = table_summary!S$1), 0),
          MATCH(table_summary!S$2, results_spb!$1:$1, 0)) = 0,
   "...",
   INDEX(results_spb!$A$1:$Y$100,
         MATCH(1, (results_spb!$A$1:$A$100 = table_summary!$B17) * (results_spb!$C$1:$C$100 = table_summary!S$1), 0),
         MATCH(table_summary!S$2, results_spb!$1:$1, 0)))</f>
        <v>3.0489999999999999</v>
      </c>
      <c r="T17" s="12" cm="1">
        <f t="array" ref="T17">IF(INDEX(results_spb!$A$1:$Y$100,
          MATCH(1, (results_spb!$A$1:$A$100 = table_summary!$B17) * (results_spb!$C$1:$C$100 = table_summary!T$1), 0),
          MATCH(table_summary!T$2, results_spb!$1:$1, 0)) = 0,
   "...",
   INDEX(results_spb!$A$1:$Y$100,
         MATCH(1, (results_spb!$A$1:$A$100 = table_summary!$B17) * (results_spb!$C$1:$C$100 = table_summary!T$1), 0),
         MATCH(table_summary!T$2, results_spb!$1:$1, 0)))</f>
        <v>3.3090000000000002</v>
      </c>
      <c r="U17" s="14"/>
      <c r="V17" s="3">
        <f t="shared" si="0"/>
        <v>0.753525</v>
      </c>
      <c r="W17" s="3">
        <f t="shared" si="1"/>
        <v>0.46772857142857144</v>
      </c>
    </row>
    <row r="18" spans="1:23">
      <c r="A18" s="25" t="s">
        <v>23</v>
      </c>
      <c r="B18" s="22" t="str">
        <f>INDEX(Table1[#All], MATCH($A18, ameco_2024_data!$A:$A, 0), MATCH(B$2, ameco_2024_data!$1:$1, 0))</f>
        <v>Cyprus</v>
      </c>
      <c r="C18" s="15">
        <f>INDEX(Table1[#All], MATCH($A18, ameco_2024_data!$A:$A, 0), MATCH(C$2, ameco_2024_data!$1:$1, 0))</f>
        <v>70.579899999999995</v>
      </c>
      <c r="D18" s="12">
        <f>INDEX(Table1[#All], MATCH($A18, ameco_2024_data!$A:$A, 0), MATCH(D$2, ameco_2024_data!$1:$1, 0))</f>
        <v>2.9141295</v>
      </c>
      <c r="E18" s="12">
        <f>INDEX(Table1[#All], MATCH($A18, ameco_2024_data!$A:$A, 0), MATCH(E$2, ameco_2024_data!$1:$1, 0))</f>
        <v>3.4824000000000002</v>
      </c>
      <c r="F18" s="3"/>
      <c r="G18" s="12" cm="1">
        <f t="array" ref="G18">IF(INDEX(results_spb!$A$1:$Y$100,
          MATCH(1, (results_spb!$A$1:$A$100 = table_summary!$B18) * (results_spb!$C$1:$C$100 = table_summary!G$1), 0),
          MATCH(table_summary!G$2, results_spb!$1:$1, 0)) = 0,
   "...",
   INDEX(results_spb!$A$1:$Y$100,
         MATCH(1, (results_spb!$A$1:$A$100 = table_summary!$B18) * (results_spb!$C$1:$C$100 = table_summary!G$1), 0),
         MATCH(table_summary!G$2, results_spb!$1:$1, 0)))</f>
        <v>0.35399999999999998</v>
      </c>
      <c r="H18" s="12" cm="1">
        <f t="array" ref="H18">IF(INDEX(results_spb!$A$1:$Y$100,
          MATCH(1, (results_spb!$A$1:$A$100 = table_summary!$B18) * (results_spb!$C$1:$C$100 = table_summary!H$1), 0),
          MATCH(table_summary!H$2, results_spb!$1:$1, 0)) = 0,
   "...",
   INDEX(results_spb!$A$1:$Y$100,
         MATCH(1, (results_spb!$A$1:$A$100 = table_summary!$B18) * (results_spb!$C$1:$C$100 = table_summary!H$1), 0),
         MATCH(table_summary!H$2, results_spb!$1:$1, 0)))</f>
        <v>-0.158</v>
      </c>
      <c r="I18" s="12"/>
      <c r="J18" s="12" cm="1">
        <f t="array" ref="J18">IF(INDEX(results_spb!$A$1:$Y$100,
          MATCH(1, (results_spb!$A$1:$A$100 = table_summary!$B18) * (results_spb!$C$1:$C$100 = table_summary!J$1), 0),
          MATCH(table_summary!J$2, results_spb!$1:$1, 0)) = 0,
   "...",
   INDEX(results_spb!$A$1:$Y$100,
         MATCH(1, (results_spb!$A$1:$A$100 = table_summary!$B18) * (results_spb!$C$1:$C$100 = table_summary!J$1), 0),
         MATCH(table_summary!J$2, results_spb!$1:$1, 0)))</f>
        <v>0.70099999999999996</v>
      </c>
      <c r="K18" s="12" cm="1">
        <f t="array" ref="K18">IF(INDEX(results_spb!$A$1:$Y$100,
          MATCH(1, (results_spb!$A$1:$A$100 = table_summary!$B18) * (results_spb!$C$1:$C$100 = table_summary!K$1), 0),
          MATCH(table_summary!K$2, results_spb!$1:$1, 0)) = 0,
   "...",
   INDEX(results_spb!$A$1:$Y$100,
         MATCH(1, (results_spb!$A$1:$A$100 = table_summary!$B18) * (results_spb!$C$1:$C$100 = table_summary!K$1), 0),
         MATCH(table_summary!K$2, results_spb!$1:$1, 0)))</f>
        <v>0.29199999999999998</v>
      </c>
      <c r="L18" s="12"/>
      <c r="M18" s="12" t="str" cm="1">
        <f t="array" ref="M18">IF(INDEX(results_spb!$A$1:$Y$100,
          MATCH(1, (results_spb!$A$1:$A$100 = table_summary!$B18) * (results_spb!$C$1:$C$100 = table_summary!M$1), 0),
          MATCH(table_summary!M$2, results_spb!$1:$1, 0)) = 0,
   "...",
   INDEX(results_spb!$A$1:$Y$100,
         MATCH(1, (results_spb!$A$1:$A$100 = table_summary!$B18) * (results_spb!$C$1:$C$100 = table_summary!M$1), 0),
         MATCH(table_summary!M$2, results_spb!$1:$1, 0)))</f>
        <v>...</v>
      </c>
      <c r="N18" s="12" t="str" cm="1">
        <f t="array" ref="N18">IF(INDEX(results_spb!$A$1:$Y$100,
          MATCH(1, (results_spb!$A$1:$A$100 = table_summary!$B18) * (results_spb!$C$1:$C$100 = table_summary!N$1), 0),
          MATCH(table_summary!N$2, results_spb!$1:$1, 0)) = 0,
   "...",
   INDEX(results_spb!$A$1:$Y$100,
         MATCH(1, (results_spb!$A$1:$A$100 = table_summary!$B18) * (results_spb!$C$1:$C$100 = table_summary!N$1), 0),
         MATCH(table_summary!N$2, results_spb!$1:$1, 0)))</f>
        <v>...</v>
      </c>
      <c r="O18" s="12"/>
      <c r="P18" s="12" t="str" cm="1">
        <f t="array" ref="P18">IF(INDEX(results_spb!$A$1:$Y$100,
          MATCH(1, (results_spb!$A$1:$A$100 = table_summary!$B18) * (results_spb!$C$1:$C$100 = table_summary!P$1), 0),
          MATCH(table_summary!P$2, results_spb!$1:$1, 0)) = 0,
   "...",
   INDEX(results_spb!$A$1:$Y$100,
         MATCH(1, (results_spb!$A$1:$A$100 = table_summary!$B18) * (results_spb!$C$1:$C$100 = table_summary!P$1), 0),
         MATCH(table_summary!P$2, results_spb!$1:$1, 0)))</f>
        <v>...</v>
      </c>
      <c r="Q18" s="12" t="str" cm="1">
        <f t="array" ref="Q18">IF(INDEX(results_spb!$A$1:$Y$100,
          MATCH(1, (results_spb!$A$1:$A$100 = table_summary!$B18) * (results_spb!$C$1:$C$100 = table_summary!Q$1), 0),
          MATCH(table_summary!Q$2, results_spb!$1:$1, 0)) = 0,
   "...",
   INDEX(results_spb!$A$1:$Y$100,
         MATCH(1, (results_spb!$A$1:$A$100 = table_summary!$B18) * (results_spb!$C$1:$C$100 = table_summary!Q$1), 0),
         MATCH(table_summary!Q$2, results_spb!$1:$1, 0)))</f>
        <v>...</v>
      </c>
      <c r="R18" s="12"/>
      <c r="S18" s="12" cm="1">
        <f t="array" ref="S18">IF(INDEX(results_spb!$A$1:$Y$100,
          MATCH(1, (results_spb!$A$1:$A$100 = table_summary!$B18) * (results_spb!$C$1:$C$100 = table_summary!S$1), 0),
          MATCH(table_summary!S$2, results_spb!$1:$1, 0)) = 0,
   "...",
   INDEX(results_spb!$A$1:$Y$100,
         MATCH(1, (results_spb!$A$1:$A$100 = table_summary!$B18) * (results_spb!$C$1:$C$100 = table_summary!S$1), 0),
         MATCH(table_summary!S$2, results_spb!$1:$1, 0)))</f>
        <v>0.70099999999999996</v>
      </c>
      <c r="T18" s="12" cm="1">
        <f t="array" ref="T18">IF(INDEX(results_spb!$A$1:$Y$100,
          MATCH(1, (results_spb!$A$1:$A$100 = table_summary!$B18) * (results_spb!$C$1:$C$100 = table_summary!T$1), 0),
          MATCH(table_summary!T$2, results_spb!$1:$1, 0)) = 0,
   "...",
   INDEX(results_spb!$A$1:$Y$100,
         MATCH(1, (results_spb!$A$1:$A$100 = table_summary!$B18) * (results_spb!$C$1:$C$100 = table_summary!T$1), 0),
         MATCH(table_summary!T$2, results_spb!$1:$1, 0)))</f>
        <v>0.29199999999999998</v>
      </c>
      <c r="U18" s="14"/>
      <c r="V18" s="3">
        <f t="shared" si="0"/>
        <v>-0.69535000000000002</v>
      </c>
      <c r="W18" s="3">
        <f t="shared" si="1"/>
        <v>-0.45577142857142861</v>
      </c>
    </row>
    <row r="19" spans="1:23">
      <c r="A19" s="25" t="s">
        <v>25</v>
      </c>
      <c r="B19" s="22" t="str">
        <f>INDEX(Table1[#All], MATCH($A19, ameco_2024_data!$A:$A, 0), MATCH(B$2, ameco_2024_data!$1:$1, 0))</f>
        <v>Slovenia</v>
      </c>
      <c r="C19" s="15">
        <f>INDEX(Table1[#All], MATCH($A19, ameco_2024_data!$A:$A, 0), MATCH(C$2, ameco_2024_data!$1:$1, 0))</f>
        <v>68.073499999999996</v>
      </c>
      <c r="D19" s="12">
        <f>INDEX(Table1[#All], MATCH($A19, ameco_2024_data!$A:$A, 0), MATCH(D$2, ameco_2024_data!$1:$1, 0))</f>
        <v>-2.8026968999999999</v>
      </c>
      <c r="E19" s="12">
        <f>INDEX(Table1[#All], MATCH($A19, ameco_2024_data!$A:$A, 0), MATCH(E$2, ameco_2024_data!$1:$1, 0))</f>
        <v>-1.2446999999999999</v>
      </c>
      <c r="F19" s="3"/>
      <c r="G19" s="12" cm="1">
        <f t="array" ref="G19">IF(INDEX(results_spb!$A$1:$Y$100,
          MATCH(1, (results_spb!$A$1:$A$100 = table_summary!$B19) * (results_spb!$C$1:$C$100 = table_summary!G$1), 0),
          MATCH(table_summary!G$2, results_spb!$1:$1, 0)) = 0,
   "...",
   INDEX(results_spb!$A$1:$Y$100,
         MATCH(1, (results_spb!$A$1:$A$100 = table_summary!$B19) * (results_spb!$C$1:$C$100 = table_summary!G$1), 0),
         MATCH(table_summary!G$2, results_spb!$1:$1, 0)))</f>
        <v>0.51500000000000001</v>
      </c>
      <c r="H19" s="12" cm="1">
        <f t="array" ref="H19">IF(INDEX(results_spb!$A$1:$Y$100,
          MATCH(1, (results_spb!$A$1:$A$100 = table_summary!$B19) * (results_spb!$C$1:$C$100 = table_summary!H$1), 0),
          MATCH(table_summary!H$2, results_spb!$1:$1, 0)) = 0,
   "...",
   INDEX(results_spb!$A$1:$Y$100,
         MATCH(1, (results_spb!$A$1:$A$100 = table_summary!$B19) * (results_spb!$C$1:$C$100 = table_summary!H$1), 0),
         MATCH(table_summary!H$2, results_spb!$1:$1, 0)))</f>
        <v>0.51</v>
      </c>
      <c r="I19" s="12"/>
      <c r="J19" s="12" cm="1">
        <f t="array" ref="J19">IF(INDEX(results_spb!$A$1:$Y$100,
          MATCH(1, (results_spb!$A$1:$A$100 = table_summary!$B19) * (results_spb!$C$1:$C$100 = table_summary!J$1), 0),
          MATCH(table_summary!J$2, results_spb!$1:$1, 0)) = 0,
   "...",
   INDEX(results_spb!$A$1:$Y$100,
         MATCH(1, (results_spb!$A$1:$A$100 = table_summary!$B19) * (results_spb!$C$1:$C$100 = table_summary!J$1), 0),
         MATCH(table_summary!J$2, results_spb!$1:$1, 0)))</f>
        <v>0.372</v>
      </c>
      <c r="K19" s="12" cm="1">
        <f t="array" ref="K19">IF(INDEX(results_spb!$A$1:$Y$100,
          MATCH(1, (results_spb!$A$1:$A$100 = table_summary!$B19) * (results_spb!$C$1:$C$100 = table_summary!K$1), 0),
          MATCH(table_summary!K$2, results_spb!$1:$1, 0)) = 0,
   "...",
   INDEX(results_spb!$A$1:$Y$100,
         MATCH(1, (results_spb!$A$1:$A$100 = table_summary!$B19) * (results_spb!$C$1:$C$100 = table_summary!K$1), 0),
         MATCH(table_summary!K$2, results_spb!$1:$1, 0)))</f>
        <v>0.43</v>
      </c>
      <c r="L19" s="12"/>
      <c r="M19" s="12" t="str" cm="1">
        <f t="array" ref="M19">IF(INDEX(results_spb!$A$1:$Y$100,
          MATCH(1, (results_spb!$A$1:$A$100 = table_summary!$B19) * (results_spb!$C$1:$C$100 = table_summary!M$1), 0),
          MATCH(table_summary!M$2, results_spb!$1:$1, 0)) = 0,
   "...",
   INDEX(results_spb!$A$1:$Y$100,
         MATCH(1, (results_spb!$A$1:$A$100 = table_summary!$B19) * (results_spb!$C$1:$C$100 = table_summary!M$1), 0),
         MATCH(table_summary!M$2, results_spb!$1:$1, 0)))</f>
        <v>...</v>
      </c>
      <c r="N19" s="12" t="str" cm="1">
        <f t="array" ref="N19">IF(INDEX(results_spb!$A$1:$Y$100,
          MATCH(1, (results_spb!$A$1:$A$100 = table_summary!$B19) * (results_spb!$C$1:$C$100 = table_summary!N$1), 0),
          MATCH(table_summary!N$2, results_spb!$1:$1, 0)) = 0,
   "...",
   INDEX(results_spb!$A$1:$Y$100,
         MATCH(1, (results_spb!$A$1:$A$100 = table_summary!$B19) * (results_spb!$C$1:$C$100 = table_summary!N$1), 0),
         MATCH(table_summary!N$2, results_spb!$1:$1, 0)))</f>
        <v>...</v>
      </c>
      <c r="O19" s="12"/>
      <c r="P19" s="12" t="str" cm="1">
        <f t="array" ref="P19">IF(INDEX(results_spb!$A$1:$Y$100,
          MATCH(1, (results_spb!$A$1:$A$100 = table_summary!$B19) * (results_spb!$C$1:$C$100 = table_summary!P$1), 0),
          MATCH(table_summary!P$2, results_spb!$1:$1, 0)) = 0,
   "...",
   INDEX(results_spb!$A$1:$Y$100,
         MATCH(1, (results_spb!$A$1:$A$100 = table_summary!$B19) * (results_spb!$C$1:$C$100 = table_summary!P$1), 0),
         MATCH(table_summary!P$2, results_spb!$1:$1, 0)))</f>
        <v>...</v>
      </c>
      <c r="Q19" s="12" t="str" cm="1">
        <f t="array" ref="Q19">IF(INDEX(results_spb!$A$1:$Y$100,
          MATCH(1, (results_spb!$A$1:$A$100 = table_summary!$B19) * (results_spb!$C$1:$C$100 = table_summary!Q$1), 0),
          MATCH(table_summary!Q$2, results_spb!$1:$1, 0)) = 0,
   "...",
   INDEX(results_spb!$A$1:$Y$100,
         MATCH(1, (results_spb!$A$1:$A$100 = table_summary!$B19) * (results_spb!$C$1:$C$100 = table_summary!Q$1), 0),
         MATCH(table_summary!Q$2, results_spb!$1:$1, 0)))</f>
        <v>...</v>
      </c>
      <c r="R19" s="12"/>
      <c r="S19" s="12" cm="1">
        <f t="array" ref="S19">IF(INDEX(results_spb!$A$1:$Y$100,
          MATCH(1, (results_spb!$A$1:$A$100 = table_summary!$B19) * (results_spb!$C$1:$C$100 = table_summary!S$1), 0),
          MATCH(table_summary!S$2, results_spb!$1:$1, 0)) = 0,
   "...",
   INDEX(results_spb!$A$1:$Y$100,
         MATCH(1, (results_spb!$A$1:$A$100 = table_summary!$B19) * (results_spb!$C$1:$C$100 = table_summary!S$1), 0),
         MATCH(table_summary!S$2, results_spb!$1:$1, 0)))</f>
        <v>0.51500000000000001</v>
      </c>
      <c r="T19" s="12" cm="1">
        <f t="array" ref="T19">IF(INDEX(results_spb!$A$1:$Y$100,
          MATCH(1, (results_spb!$A$1:$A$100 = table_summary!$B19) * (results_spb!$C$1:$C$100 = table_summary!T$1), 0),
          MATCH(table_summary!T$2, results_spb!$1:$1, 0)) = 0,
   "...",
   INDEX(results_spb!$A$1:$Y$100,
         MATCH(1, (results_spb!$A$1:$A$100 = table_summary!$B19) * (results_spb!$C$1:$C$100 = table_summary!T$1), 0),
         MATCH(table_summary!T$2, results_spb!$1:$1, 0)))</f>
        <v>0.51</v>
      </c>
      <c r="U19" s="14"/>
      <c r="V19" s="3">
        <f t="shared" si="0"/>
        <v>0.43992500000000001</v>
      </c>
      <c r="W19" s="3">
        <f t="shared" si="1"/>
        <v>0.25067142857142855</v>
      </c>
    </row>
    <row r="20" spans="1:23">
      <c r="A20" s="25" t="s">
        <v>26</v>
      </c>
      <c r="B20" s="22" t="str">
        <f>INDEX(Table1[#All], MATCH($A20, ameco_2024_data!$A:$A, 0), MATCH(B$2, ameco_2024_data!$1:$1, 0))</f>
        <v>Germany</v>
      </c>
      <c r="C20" s="15">
        <f>INDEX(Table1[#All], MATCH($A20, ameco_2024_data!$A:$A, 0), MATCH(C$2, ameco_2024_data!$1:$1, 0))</f>
        <v>62.934399999999997</v>
      </c>
      <c r="D20" s="12">
        <f>INDEX(Table1[#All], MATCH($A20, ameco_2024_data!$A:$A, 0), MATCH(D$2, ameco_2024_data!$1:$1, 0))</f>
        <v>-1.5621991</v>
      </c>
      <c r="E20" s="12">
        <f>INDEX(Table1[#All], MATCH($A20, ameco_2024_data!$A:$A, 0), MATCH(E$2, ameco_2024_data!$1:$1, 0))</f>
        <v>-2.1899999999999999E-2</v>
      </c>
      <c r="F20" s="3"/>
      <c r="G20" s="12" cm="1">
        <f t="array" ref="G20">IF(INDEX(results_spb!$A$1:$Y$100,
          MATCH(1, (results_spb!$A$1:$A$100 = table_summary!$B20) * (results_spb!$C$1:$C$100 = table_summary!G$1), 0),
          MATCH(table_summary!G$2, results_spb!$1:$1, 0)) = 0,
   "...",
   INDEX(results_spb!$A$1:$Y$100,
         MATCH(1, (results_spb!$A$1:$A$100 = table_summary!$B20) * (results_spb!$C$1:$C$100 = table_summary!G$1), 0),
         MATCH(table_summary!G$2, results_spb!$1:$1, 0)))</f>
        <v>0.41699999999999998</v>
      </c>
      <c r="H20" s="12" cm="1">
        <f t="array" ref="H20">IF(INDEX(results_spb!$A$1:$Y$100,
          MATCH(1, (results_spb!$A$1:$A$100 = table_summary!$B20) * (results_spb!$C$1:$C$100 = table_summary!H$1), 0),
          MATCH(table_summary!H$2, results_spb!$1:$1, 0)) = 0,
   "...",
   INDEX(results_spb!$A$1:$Y$100,
         MATCH(1, (results_spb!$A$1:$A$100 = table_summary!$B20) * (results_spb!$C$1:$C$100 = table_summary!H$1), 0),
         MATCH(table_summary!H$2, results_spb!$1:$1, 0)))</f>
        <v>0.14899999999999999</v>
      </c>
      <c r="I20" s="12"/>
      <c r="J20" s="12" cm="1">
        <f t="array" ref="J20">IF(INDEX(results_spb!$A$1:$Y$100,
          MATCH(1, (results_spb!$A$1:$A$100 = table_summary!$B20) * (results_spb!$C$1:$C$100 = table_summary!J$1), 0),
          MATCH(table_summary!J$2, results_spb!$1:$1, 0)) = 0,
   "...",
   INDEX(results_spb!$A$1:$Y$100,
         MATCH(1, (results_spb!$A$1:$A$100 = table_summary!$B20) * (results_spb!$C$1:$C$100 = table_summary!J$1), 0),
         MATCH(table_summary!J$2, results_spb!$1:$1, 0)))</f>
        <v>-0.48799999999999999</v>
      </c>
      <c r="K20" s="12" cm="1">
        <f t="array" ref="K20">IF(INDEX(results_spb!$A$1:$Y$100,
          MATCH(1, (results_spb!$A$1:$A$100 = table_summary!$B20) * (results_spb!$C$1:$C$100 = table_summary!K$1), 0),
          MATCH(table_summary!K$2, results_spb!$1:$1, 0)) = 0,
   "...",
   INDEX(results_spb!$A$1:$Y$100,
         MATCH(1, (results_spb!$A$1:$A$100 = table_summary!$B20) * (results_spb!$C$1:$C$100 = table_summary!K$1), 0),
         MATCH(table_summary!K$2, results_spb!$1:$1, 0)))</f>
        <v>-0.7</v>
      </c>
      <c r="L20" s="12"/>
      <c r="M20" s="12" t="str" cm="1">
        <f t="array" ref="M20">IF(INDEX(results_spb!$A$1:$Y$100,
          MATCH(1, (results_spb!$A$1:$A$100 = table_summary!$B20) * (results_spb!$C$1:$C$100 = table_summary!M$1), 0),
          MATCH(table_summary!M$2, results_spb!$1:$1, 0)) = 0,
   "...",
   INDEX(results_spb!$A$1:$Y$100,
         MATCH(1, (results_spb!$A$1:$A$100 = table_summary!$B20) * (results_spb!$C$1:$C$100 = table_summary!M$1), 0),
         MATCH(table_summary!M$2, results_spb!$1:$1, 0)))</f>
        <v>...</v>
      </c>
      <c r="N20" s="12" t="str" cm="1">
        <f t="array" ref="N20">IF(INDEX(results_spb!$A$1:$Y$100,
          MATCH(1, (results_spb!$A$1:$A$100 = table_summary!$B20) * (results_spb!$C$1:$C$100 = table_summary!N$1), 0),
          MATCH(table_summary!N$2, results_spb!$1:$1, 0)) = 0,
   "...",
   INDEX(results_spb!$A$1:$Y$100,
         MATCH(1, (results_spb!$A$1:$A$100 = table_summary!$B20) * (results_spb!$C$1:$C$100 = table_summary!N$1), 0),
         MATCH(table_summary!N$2, results_spb!$1:$1, 0)))</f>
        <v>...</v>
      </c>
      <c r="O20" s="12"/>
      <c r="P20" s="12" t="str" cm="1">
        <f t="array" ref="P20">IF(INDEX(results_spb!$A$1:$Y$100,
          MATCH(1, (results_spb!$A$1:$A$100 = table_summary!$B20) * (results_spb!$C$1:$C$100 = table_summary!P$1), 0),
          MATCH(table_summary!P$2, results_spb!$1:$1, 0)) = 0,
   "...",
   INDEX(results_spb!$A$1:$Y$100,
         MATCH(1, (results_spb!$A$1:$A$100 = table_summary!$B20) * (results_spb!$C$1:$C$100 = table_summary!P$1), 0),
         MATCH(table_summary!P$2, results_spb!$1:$1, 0)))</f>
        <v>...</v>
      </c>
      <c r="Q20" s="12" t="str" cm="1">
        <f t="array" ref="Q20">IF(INDEX(results_spb!$A$1:$Y$100,
          MATCH(1, (results_spb!$A$1:$A$100 = table_summary!$B20) * (results_spb!$C$1:$C$100 = table_summary!Q$1), 0),
          MATCH(table_summary!Q$2, results_spb!$1:$1, 0)) = 0,
   "...",
   INDEX(results_spb!$A$1:$Y$100,
         MATCH(1, (results_spb!$A$1:$A$100 = table_summary!$B20) * (results_spb!$C$1:$C$100 = table_summary!Q$1), 0),
         MATCH(table_summary!Q$2, results_spb!$1:$1, 0)))</f>
        <v>...</v>
      </c>
      <c r="R20" s="12"/>
      <c r="S20" s="12" cm="1">
        <f t="array" ref="S20">IF(INDEX(results_spb!$A$1:$Y$100,
          MATCH(1, (results_spb!$A$1:$A$100 = table_summary!$B20) * (results_spb!$C$1:$C$100 = table_summary!S$1), 0),
          MATCH(table_summary!S$2, results_spb!$1:$1, 0)) = 0,
   "...",
   INDEX(results_spb!$A$1:$Y$100,
         MATCH(1, (results_spb!$A$1:$A$100 = table_summary!$B20) * (results_spb!$C$1:$C$100 = table_summary!S$1), 0),
         MATCH(table_summary!S$2, results_spb!$1:$1, 0)))</f>
        <v>0.41699999999999998</v>
      </c>
      <c r="T20" s="12" cm="1">
        <f t="array" ref="T20">IF(INDEX(results_spb!$A$1:$Y$100,
          MATCH(1, (results_spb!$A$1:$A$100 = table_summary!$B20) * (results_spb!$C$1:$C$100 = table_summary!T$1), 0),
          MATCH(table_summary!T$2, results_spb!$1:$1, 0)) = 0,
   "...",
   INDEX(results_spb!$A$1:$Y$100,
         MATCH(1, (results_spb!$A$1:$A$100 = table_summary!$B20) * (results_spb!$C$1:$C$100 = table_summary!T$1), 0),
         MATCH(table_summary!T$2, results_spb!$1:$1, 0)))</f>
        <v>0.14899999999999999</v>
      </c>
      <c r="U20" s="14"/>
      <c r="V20" s="3">
        <f t="shared" si="0"/>
        <v>0.10972499999999999</v>
      </c>
      <c r="W20" s="3">
        <f t="shared" si="1"/>
        <v>2.4414285714285715E-2</v>
      </c>
    </row>
    <row r="21" spans="1:23">
      <c r="A21" s="25" t="s">
        <v>27</v>
      </c>
      <c r="B21" s="22" t="str">
        <f>INDEX(Table1[#All], MATCH($A21, ameco_2024_data!$A:$A, 0), MATCH(B$2, ameco_2024_data!$1:$1, 0))</f>
        <v>Croatia</v>
      </c>
      <c r="C21" s="15">
        <f>INDEX(Table1[#All], MATCH($A21, ameco_2024_data!$A:$A, 0), MATCH(C$2, ameco_2024_data!$1:$1, 0))</f>
        <v>59.525199999999998</v>
      </c>
      <c r="D21" s="12">
        <f>INDEX(Table1[#All], MATCH($A21, ameco_2024_data!$A:$A, 0), MATCH(D$2, ameco_2024_data!$1:$1, 0))</f>
        <v>-2.6152508000000001</v>
      </c>
      <c r="E21" s="12">
        <f>INDEX(Table1[#All], MATCH($A21, ameco_2024_data!$A:$A, 0), MATCH(E$2, ameco_2024_data!$1:$1, 0))</f>
        <v>-1.9611000000000001</v>
      </c>
      <c r="G21" s="12" cm="1">
        <f t="array" ref="G21">IF(INDEX(results_spb!$A$1:$Y$100,
          MATCH(1, (results_spb!$A$1:$A$100 = table_summary!$B21) * (results_spb!$C$1:$C$100 = table_summary!G$1), 0),
          MATCH(table_summary!G$2, results_spb!$1:$1, 0)) = 0,
   "...",
   INDEX(results_spb!$A$1:$Y$100,
         MATCH(1, (results_spb!$A$1:$A$100 = table_summary!$B21) * (results_spb!$C$1:$C$100 = table_summary!G$1), 0),
         MATCH(table_summary!G$2, results_spb!$1:$1, 0)))</f>
        <v>0.34599999999999997</v>
      </c>
      <c r="H21" s="12" cm="1">
        <f t="array" ref="H21">IF(INDEX(results_spb!$A$1:$Y$100,
          MATCH(1, (results_spb!$A$1:$A$100 = table_summary!$B21) * (results_spb!$C$1:$C$100 = table_summary!H$1), 0),
          MATCH(table_summary!H$2, results_spb!$1:$1, 0)) = 0,
   "...",
   INDEX(results_spb!$A$1:$Y$100,
         MATCH(1, (results_spb!$A$1:$A$100 = table_summary!$B21) * (results_spb!$C$1:$C$100 = table_summary!H$1), 0),
         MATCH(table_summary!H$2, results_spb!$1:$1, 0)))</f>
        <v>0.54800000000000004</v>
      </c>
      <c r="J21" s="12" cm="1">
        <f t="array" ref="J21">IF(INDEX(results_spb!$A$1:$Y$100,
          MATCH(1, (results_spb!$A$1:$A$100 = table_summary!$B21) * (results_spb!$C$1:$C$100 = table_summary!J$1), 0),
          MATCH(table_summary!J$2, results_spb!$1:$1, 0)) = 0,
   "...",
   INDEX(results_spb!$A$1:$Y$100,
         MATCH(1, (results_spb!$A$1:$A$100 = table_summary!$B21) * (results_spb!$C$1:$C$100 = table_summary!J$1), 0),
         MATCH(table_summary!J$2, results_spb!$1:$1, 0)))</f>
        <v>-1.0189999999999999</v>
      </c>
      <c r="K21" s="12" cm="1">
        <f t="array" ref="K21">IF(INDEX(results_spb!$A$1:$Y$100,
          MATCH(1, (results_spb!$A$1:$A$100 = table_summary!$B21) * (results_spb!$C$1:$C$100 = table_summary!K$1), 0),
          MATCH(table_summary!K$2, results_spb!$1:$1, 0)) = 0,
   "...",
   INDEX(results_spb!$A$1:$Y$100,
         MATCH(1, (results_spb!$A$1:$A$100 = table_summary!$B21) * (results_spb!$C$1:$C$100 = table_summary!K$1), 0),
         MATCH(table_summary!K$2, results_spb!$1:$1, 0)))</f>
        <v>-0.93200000000000005</v>
      </c>
      <c r="M21" s="12" t="str" cm="1">
        <f t="array" ref="M21">IF(INDEX(results_spb!$A$1:$Y$100,
          MATCH(1, (results_spb!$A$1:$A$100 = table_summary!$B21) * (results_spb!$C$1:$C$100 = table_summary!M$1), 0),
          MATCH(table_summary!M$2, results_spb!$1:$1, 0)) = 0,
   "...",
   INDEX(results_spb!$A$1:$Y$100,
         MATCH(1, (results_spb!$A$1:$A$100 = table_summary!$B21) * (results_spb!$C$1:$C$100 = table_summary!M$1), 0),
         MATCH(table_summary!M$2, results_spb!$1:$1, 0)))</f>
        <v>...</v>
      </c>
      <c r="N21" s="12" t="str" cm="1">
        <f t="array" ref="N21">IF(INDEX(results_spb!$A$1:$Y$100,
          MATCH(1, (results_spb!$A$1:$A$100 = table_summary!$B21) * (results_spb!$C$1:$C$100 = table_summary!N$1), 0),
          MATCH(table_summary!N$2, results_spb!$1:$1, 0)) = 0,
   "...",
   INDEX(results_spb!$A$1:$Y$100,
         MATCH(1, (results_spb!$A$1:$A$100 = table_summary!$B21) * (results_spb!$C$1:$C$100 = table_summary!N$1), 0),
         MATCH(table_summary!N$2, results_spb!$1:$1, 0)))</f>
        <v>...</v>
      </c>
      <c r="O21" s="14"/>
      <c r="P21" s="12" t="str" cm="1">
        <f t="array" ref="P21">IF(INDEX(results_spb!$A$1:$Y$100,
          MATCH(1, (results_spb!$A$1:$A$100 = table_summary!$B21) * (results_spb!$C$1:$C$100 = table_summary!P$1), 0),
          MATCH(table_summary!P$2, results_spb!$1:$1, 0)) = 0,
   "...",
   INDEX(results_spb!$A$1:$Y$100,
         MATCH(1, (results_spb!$A$1:$A$100 = table_summary!$B21) * (results_spb!$C$1:$C$100 = table_summary!P$1), 0),
         MATCH(table_summary!P$2, results_spb!$1:$1, 0)))</f>
        <v>...</v>
      </c>
      <c r="Q21" s="12" t="str" cm="1">
        <f t="array" ref="Q21">IF(INDEX(results_spb!$A$1:$Y$100,
          MATCH(1, (results_spb!$A$1:$A$100 = table_summary!$B21) * (results_spb!$C$1:$C$100 = table_summary!Q$1), 0),
          MATCH(table_summary!Q$2, results_spb!$1:$1, 0)) = 0,
   "...",
   INDEX(results_spb!$A$1:$Y$100,
         MATCH(1, (results_spb!$A$1:$A$100 = table_summary!$B21) * (results_spb!$C$1:$C$100 = table_summary!Q$1), 0),
         MATCH(table_summary!Q$2, results_spb!$1:$1, 0)))</f>
        <v>...</v>
      </c>
      <c r="R21" s="14"/>
      <c r="S21" s="12" cm="1">
        <f t="array" ref="S21">IF(INDEX(results_spb!$A$1:$Y$100,
          MATCH(1, (results_spb!$A$1:$A$100 = table_summary!$B21) * (results_spb!$C$1:$C$100 = table_summary!S$1), 0),
          MATCH(table_summary!S$2, results_spb!$1:$1, 0)) = 0,
   "...",
   INDEX(results_spb!$A$1:$Y$100,
         MATCH(1, (results_spb!$A$1:$A$100 = table_summary!$B21) * (results_spb!$C$1:$C$100 = table_summary!S$1), 0),
         MATCH(table_summary!S$2, results_spb!$1:$1, 0)))</f>
        <v>0.34599999999999997</v>
      </c>
      <c r="T21" s="12" cm="1">
        <f t="array" ref="T21">IF(INDEX(results_spb!$A$1:$Y$100,
          MATCH(1, (results_spb!$A$1:$A$100 = table_summary!$B21) * (results_spb!$C$1:$C$100 = table_summary!T$1), 0),
          MATCH(table_summary!T$2, results_spb!$1:$1, 0)) = 0,
   "...",
   INDEX(results_spb!$A$1:$Y$100,
         MATCH(1, (results_spb!$A$1:$A$100 = table_summary!$B21) * (results_spb!$C$1:$C$100 = table_summary!T$1), 0),
         MATCH(table_summary!T$2, results_spb!$1:$1, 0)))</f>
        <v>0.54800000000000004</v>
      </c>
      <c r="U21" s="14"/>
      <c r="V21" s="3">
        <f t="shared" si="0"/>
        <v>0.57677500000000004</v>
      </c>
      <c r="W21" s="3">
        <f t="shared" si="1"/>
        <v>0.35844285714285717</v>
      </c>
    </row>
    <row r="22" spans="1:23">
      <c r="A22" s="25" t="s">
        <v>28</v>
      </c>
      <c r="B22" s="22" t="str">
        <f>INDEX(Table1[#All], MATCH($A22, ameco_2024_data!$A:$A, 0), MATCH(B$2, ameco_2024_data!$1:$1, 0))</f>
        <v>Slovakia</v>
      </c>
      <c r="C22" s="15">
        <f>INDEX(Table1[#All], MATCH($A22, ameco_2024_data!$A:$A, 0), MATCH(C$2, ameco_2024_data!$1:$1, 0))</f>
        <v>58.478900000000003</v>
      </c>
      <c r="D22" s="12">
        <f>INDEX(Table1[#All], MATCH($A22, ameco_2024_data!$A:$A, 0), MATCH(D$2, ameco_2024_data!$1:$1, 0))</f>
        <v>-5.8555194000000004</v>
      </c>
      <c r="E22" s="12">
        <f>INDEX(Table1[#All], MATCH($A22, ameco_2024_data!$A:$A, 0), MATCH(E$2, ameco_2024_data!$1:$1, 0))</f>
        <v>-4.2629000000000001</v>
      </c>
      <c r="G22" s="12" cm="1">
        <f t="array" ref="G22">IF(INDEX(results_spb!$A$1:$Y$100,
          MATCH(1, (results_spb!$A$1:$A$100 = table_summary!$B22) * (results_spb!$C$1:$C$100 = table_summary!G$1), 0),
          MATCH(table_summary!G$2, results_spb!$1:$1, 0)) = 0,
   "...",
   INDEX(results_spb!$A$1:$Y$100,
         MATCH(1, (results_spb!$A$1:$A$100 = table_summary!$B22) * (results_spb!$C$1:$C$100 = table_summary!G$1), 0),
         MATCH(table_summary!G$2, results_spb!$1:$1, 0)))</f>
        <v>0.83399999999999996</v>
      </c>
      <c r="H22" s="12" cm="1">
        <f t="array" ref="H22">IF(INDEX(results_spb!$A$1:$Y$100,
          MATCH(1, (results_spb!$A$1:$A$100 = table_summary!$B22) * (results_spb!$C$1:$C$100 = table_summary!H$1), 0),
          MATCH(table_summary!H$2, results_spb!$1:$1, 0)) = 0,
   "...",
   INDEX(results_spb!$A$1:$Y$100,
         MATCH(1, (results_spb!$A$1:$A$100 = table_summary!$B22) * (results_spb!$C$1:$C$100 = table_summary!H$1), 0),
         MATCH(table_summary!H$2, results_spb!$1:$1, 0)))</f>
        <v>1.1439999999999999</v>
      </c>
      <c r="J22" s="12" cm="1">
        <f t="array" ref="J22">IF(INDEX(results_spb!$A$1:$Y$100,
          MATCH(1, (results_spb!$A$1:$A$100 = table_summary!$B22) * (results_spb!$C$1:$C$100 = table_summary!J$1), 0),
          MATCH(table_summary!J$2, results_spb!$1:$1, 0)) = 0,
   "...",
   INDEX(results_spb!$A$1:$Y$100,
         MATCH(1, (results_spb!$A$1:$A$100 = table_summary!$B22) * (results_spb!$C$1:$C$100 = table_summary!J$1), 0),
         MATCH(table_summary!J$2, results_spb!$1:$1, 0)))</f>
        <v>0.42699999999999999</v>
      </c>
      <c r="K22" s="12" cm="1">
        <f t="array" ref="K22">IF(INDEX(results_spb!$A$1:$Y$100,
          MATCH(1, (results_spb!$A$1:$A$100 = table_summary!$B22) * (results_spb!$C$1:$C$100 = table_summary!K$1), 0),
          MATCH(table_summary!K$2, results_spb!$1:$1, 0)) = 0,
   "...",
   INDEX(results_spb!$A$1:$Y$100,
         MATCH(1, (results_spb!$A$1:$A$100 = table_summary!$B22) * (results_spb!$C$1:$C$100 = table_summary!K$1), 0),
         MATCH(table_summary!K$2, results_spb!$1:$1, 0)))</f>
        <v>0.56499999999999995</v>
      </c>
      <c r="M22" s="12" t="str" cm="1">
        <f t="array" ref="M22">IF(INDEX(results_spb!$A$1:$Y$100,
          MATCH(1, (results_spb!$A$1:$A$100 = table_summary!$B22) * (results_spb!$C$1:$C$100 = table_summary!M$1), 0),
          MATCH(table_summary!M$2, results_spb!$1:$1, 0)) = 0,
   "...",
   INDEX(results_spb!$A$1:$Y$100,
         MATCH(1, (results_spb!$A$1:$A$100 = table_summary!$B22) * (results_spb!$C$1:$C$100 = table_summary!M$1), 0),
         MATCH(table_summary!M$2, results_spb!$1:$1, 0)))</f>
        <v>...</v>
      </c>
      <c r="N22" s="12" t="str" cm="1">
        <f t="array" ref="N22">IF(INDEX(results_spb!$A$1:$Y$100,
          MATCH(1, (results_spb!$A$1:$A$100 = table_summary!$B22) * (results_spb!$C$1:$C$100 = table_summary!N$1), 0),
          MATCH(table_summary!N$2, results_spb!$1:$1, 0)) = 0,
   "...",
   INDEX(results_spb!$A$1:$Y$100,
         MATCH(1, (results_spb!$A$1:$A$100 = table_summary!$B22) * (results_spb!$C$1:$C$100 = table_summary!N$1), 0),
         MATCH(table_summary!N$2, results_spb!$1:$1, 0)))</f>
        <v>...</v>
      </c>
      <c r="O22" s="14"/>
      <c r="P22" s="12" t="str" cm="1">
        <f t="array" ref="P22">IF(INDEX(results_spb!$A$1:$Y$100,
          MATCH(1, (results_spb!$A$1:$A$100 = table_summary!$B22) * (results_spb!$C$1:$C$100 = table_summary!P$1), 0),
          MATCH(table_summary!P$2, results_spb!$1:$1, 0)) = 0,
   "...",
   INDEX(results_spb!$A$1:$Y$100,
         MATCH(1, (results_spb!$A$1:$A$100 = table_summary!$B22) * (results_spb!$C$1:$C$100 = table_summary!P$1), 0),
         MATCH(table_summary!P$2, results_spb!$1:$1, 0)))</f>
        <v>...</v>
      </c>
      <c r="Q22" s="12" t="str" cm="1">
        <f t="array" ref="Q22">IF(INDEX(results_spb!$A$1:$Y$100,
          MATCH(1, (results_spb!$A$1:$A$100 = table_summary!$B22) * (results_spb!$C$1:$C$100 = table_summary!Q$1), 0),
          MATCH(table_summary!Q$2, results_spb!$1:$1, 0)) = 0,
   "...",
   INDEX(results_spb!$A$1:$Y$100,
         MATCH(1, (results_spb!$A$1:$A$100 = table_summary!$B22) * (results_spb!$C$1:$C$100 = table_summary!Q$1), 0),
         MATCH(table_summary!Q$2, results_spb!$1:$1, 0)))</f>
        <v>...</v>
      </c>
      <c r="R22" s="14"/>
      <c r="S22" s="12" cm="1">
        <f t="array" ref="S22">IF(INDEX(results_spb!$A$1:$Y$100,
          MATCH(1, (results_spb!$A$1:$A$100 = table_summary!$B22) * (results_spb!$C$1:$C$100 = table_summary!S$1), 0),
          MATCH(table_summary!S$2, results_spb!$1:$1, 0)) = 0,
   "...",
   INDEX(results_spb!$A$1:$Y$100,
         MATCH(1, (results_spb!$A$1:$A$100 = table_summary!$B22) * (results_spb!$C$1:$C$100 = table_summary!S$1), 0),
         MATCH(table_summary!S$2, results_spb!$1:$1, 0)))</f>
        <v>0.83399999999999996</v>
      </c>
      <c r="T22" s="12" cm="1">
        <f t="array" ref="T22">IF(INDEX(results_spb!$A$1:$Y$100,
          MATCH(1, (results_spb!$A$1:$A$100 = table_summary!$B22) * (results_spb!$C$1:$C$100 = table_summary!T$1), 0),
          MATCH(table_summary!T$2, results_spb!$1:$1, 0)) = 0,
   "...",
   INDEX(results_spb!$A$1:$Y$100,
         MATCH(1, (results_spb!$A$1:$A$100 = table_summary!$B22) * (results_spb!$C$1:$C$100 = table_summary!T$1), 0),
         MATCH(table_summary!T$2, results_spb!$1:$1, 0)))</f>
        <v>1.1439999999999999</v>
      </c>
      <c r="U22" s="14"/>
      <c r="V22" s="3">
        <f t="shared" si="0"/>
        <v>1.2742249999999999</v>
      </c>
      <c r="W22" s="3">
        <f t="shared" si="1"/>
        <v>0.77241428571428572</v>
      </c>
    </row>
    <row r="23" spans="1:23">
      <c r="A23" s="25" t="s">
        <v>30</v>
      </c>
      <c r="B23" s="22" t="str">
        <f>INDEX(Table1[#All], MATCH($A23, ameco_2024_data!$A:$A, 0), MATCH(B$2, ameco_2024_data!$1:$1, 0))</f>
        <v>Poland</v>
      </c>
      <c r="C23" s="15">
        <f>INDEX(Table1[#All], MATCH($A23, ameco_2024_data!$A:$A, 0), MATCH(C$2, ameco_2024_data!$1:$1, 0))</f>
        <v>53.659399999999998</v>
      </c>
      <c r="D23" s="12">
        <f>INDEX(Table1[#All], MATCH($A23, ameco_2024_data!$A:$A, 0), MATCH(D$2, ameco_2024_data!$1:$1, 0))</f>
        <v>-5.3969597</v>
      </c>
      <c r="E23" s="12">
        <f>INDEX(Table1[#All], MATCH($A23, ameco_2024_data!$A:$A, 0), MATCH(E$2, ameco_2024_data!$1:$1, 0))</f>
        <v>-2.6137000000000001</v>
      </c>
      <c r="G23" s="12" cm="1">
        <f t="array" ref="G23">IF(INDEX(results_spb!$A$1:$Y$100,
          MATCH(1, (results_spb!$A$1:$A$100 = table_summary!$B23) * (results_spb!$C$1:$C$100 = table_summary!G$1), 0),
          MATCH(table_summary!G$2, results_spb!$1:$1, 0)) = 0,
   "...",
   INDEX(results_spb!$A$1:$Y$100,
         MATCH(1, (results_spb!$A$1:$A$100 = table_summary!$B23) * (results_spb!$C$1:$C$100 = table_summary!G$1), 0),
         MATCH(table_summary!G$2, results_spb!$1:$1, 0)))</f>
        <v>0.60899999999999999</v>
      </c>
      <c r="H23" s="12" cm="1">
        <f t="array" ref="H23">IF(INDEX(results_spb!$A$1:$Y$100,
          MATCH(1, (results_spb!$A$1:$A$100 = table_summary!$B23) * (results_spb!$C$1:$C$100 = table_summary!H$1), 0),
          MATCH(table_summary!H$2, results_spb!$1:$1, 0)) = 0,
   "...",
   INDEX(results_spb!$A$1:$Y$100,
         MATCH(1, (results_spb!$A$1:$A$100 = table_summary!$B23) * (results_spb!$C$1:$C$100 = table_summary!H$1), 0),
         MATCH(table_summary!H$2, results_spb!$1:$1, 0)))</f>
        <v>0.81699999999999995</v>
      </c>
      <c r="J23" s="12" cm="1">
        <f t="array" ref="J23">IF(INDEX(results_spb!$A$1:$Y$100,
          MATCH(1, (results_spb!$A$1:$A$100 = table_summary!$B23) * (results_spb!$C$1:$C$100 = table_summary!J$1), 0),
          MATCH(table_summary!J$2, results_spb!$1:$1, 0)) = 0,
   "...",
   INDEX(results_spb!$A$1:$Y$100,
         MATCH(1, (results_spb!$A$1:$A$100 = table_summary!$B23) * (results_spb!$C$1:$C$100 = table_summary!J$1), 0),
         MATCH(table_summary!J$2, results_spb!$1:$1, 0)))</f>
        <v>0.49199999999999999</v>
      </c>
      <c r="K23" s="12" cm="1">
        <f t="array" ref="K23">IF(INDEX(results_spb!$A$1:$Y$100,
          MATCH(1, (results_spb!$A$1:$A$100 = table_summary!$B23) * (results_spb!$C$1:$C$100 = table_summary!K$1), 0),
          MATCH(table_summary!K$2, results_spb!$1:$1, 0)) = 0,
   "...",
   INDEX(results_spb!$A$1:$Y$100,
         MATCH(1, (results_spb!$A$1:$A$100 = table_summary!$B23) * (results_spb!$C$1:$C$100 = table_summary!K$1), 0),
         MATCH(table_summary!K$2, results_spb!$1:$1, 0)))</f>
        <v>0.53300000000000003</v>
      </c>
      <c r="M23" s="12" t="str" cm="1">
        <f t="array" ref="M23">IF(INDEX(results_spb!$A$1:$Y$100,
          MATCH(1, (results_spb!$A$1:$A$100 = table_summary!$B23) * (results_spb!$C$1:$C$100 = table_summary!M$1), 0),
          MATCH(table_summary!M$2, results_spb!$1:$1, 0)) = 0,
   "...",
   INDEX(results_spb!$A$1:$Y$100,
         MATCH(1, (results_spb!$A$1:$A$100 = table_summary!$B23) * (results_spb!$C$1:$C$100 = table_summary!M$1), 0),
         MATCH(table_summary!M$2, results_spb!$1:$1, 0)))</f>
        <v>...</v>
      </c>
      <c r="N23" s="12" t="str" cm="1">
        <f t="array" ref="N23">IF(INDEX(results_spb!$A$1:$Y$100,
          MATCH(1, (results_spb!$A$1:$A$100 = table_summary!$B23) * (results_spb!$C$1:$C$100 = table_summary!N$1), 0),
          MATCH(table_summary!N$2, results_spb!$1:$1, 0)) = 0,
   "...",
   INDEX(results_spb!$A$1:$Y$100,
         MATCH(1, (results_spb!$A$1:$A$100 = table_summary!$B23) * (results_spb!$C$1:$C$100 = table_summary!N$1), 0),
         MATCH(table_summary!N$2, results_spb!$1:$1, 0)))</f>
        <v>...</v>
      </c>
      <c r="O23" s="14"/>
      <c r="P23" s="12" t="str" cm="1">
        <f t="array" ref="P23">IF(INDEX(results_spb!$A$1:$Y$100,
          MATCH(1, (results_spb!$A$1:$A$100 = table_summary!$B23) * (results_spb!$C$1:$C$100 = table_summary!P$1), 0),
          MATCH(table_summary!P$2, results_spb!$1:$1, 0)) = 0,
   "...",
   INDEX(results_spb!$A$1:$Y$100,
         MATCH(1, (results_spb!$A$1:$A$100 = table_summary!$B23) * (results_spb!$C$1:$C$100 = table_summary!P$1), 0),
         MATCH(table_summary!P$2, results_spb!$1:$1, 0)))</f>
        <v>...</v>
      </c>
      <c r="Q23" s="12" cm="1">
        <f t="array" ref="Q23">IF(INDEX(results_spb!$A$1:$Y$100,
          MATCH(1, (results_spb!$A$1:$A$100 = table_summary!$B23) * (results_spb!$C$1:$C$100 = table_summary!Q$1), 0),
          MATCH(table_summary!Q$2, results_spb!$1:$1, 0)) = 0,
   "...",
   INDEX(results_spb!$A$1:$Y$100,
         MATCH(1, (results_spb!$A$1:$A$100 = table_summary!$B23) * (results_spb!$C$1:$C$100 = table_summary!Q$1), 0),
         MATCH(table_summary!Q$2, results_spb!$1:$1, 0)))</f>
        <v>0.89500000000000002</v>
      </c>
      <c r="R23" s="14"/>
      <c r="S23" s="12" cm="1">
        <f t="array" ref="S23">IF(INDEX(results_spb!$A$1:$Y$100,
          MATCH(1, (results_spb!$A$1:$A$100 = table_summary!$B23) * (results_spb!$C$1:$C$100 = table_summary!S$1), 0),
          MATCH(table_summary!S$2, results_spb!$1:$1, 0)) = 0,
   "...",
   INDEX(results_spb!$A$1:$Y$100,
         MATCH(1, (results_spb!$A$1:$A$100 = table_summary!$B23) * (results_spb!$C$1:$C$100 = table_summary!S$1), 0),
         MATCH(table_summary!S$2, results_spb!$1:$1, 0)))</f>
        <v>0.60899999999999999</v>
      </c>
      <c r="T23" s="12" cm="1">
        <f t="array" ref="T23">IF(INDEX(results_spb!$A$1:$Y$100,
          MATCH(1, (results_spb!$A$1:$A$100 = table_summary!$B23) * (results_spb!$C$1:$C$100 = table_summary!T$1), 0),
          MATCH(table_summary!T$2, results_spb!$1:$1, 0)) = 0,
   "...",
   INDEX(results_spb!$A$1:$Y$100,
         MATCH(1, (results_spb!$A$1:$A$100 = table_summary!$B23) * (results_spb!$C$1:$C$100 = table_summary!T$1), 0),
         MATCH(table_summary!T$2, results_spb!$1:$1, 0)))</f>
        <v>0.89500000000000002</v>
      </c>
      <c r="U23" s="14"/>
      <c r="V23" s="3">
        <f t="shared" si="0"/>
        <v>0.80567500000000003</v>
      </c>
      <c r="W23" s="3">
        <f t="shared" si="1"/>
        <v>0.50124285714285721</v>
      </c>
    </row>
    <row r="24" spans="1:23">
      <c r="A24" s="25" t="s">
        <v>29</v>
      </c>
      <c r="B24" s="22" t="str">
        <f>INDEX(Table1[#All], MATCH($A24, ameco_2024_data!$A:$A, 0), MATCH(B$2, ameco_2024_data!$1:$1, 0))</f>
        <v>Malta</v>
      </c>
      <c r="C24" s="15">
        <f>INDEX(Table1[#All], MATCH($A24, ameco_2024_data!$A:$A, 0), MATCH(C$2, ameco_2024_data!$1:$1, 0))</f>
        <v>52.027200000000001</v>
      </c>
      <c r="D24" s="12">
        <f>INDEX(Table1[#All], MATCH($A24, ameco_2024_data!$A:$A, 0), MATCH(D$2, ameco_2024_data!$1:$1, 0))</f>
        <v>-4.3425624999999997</v>
      </c>
      <c r="E24" s="12">
        <f>INDEX(Table1[#All], MATCH($A24, ameco_2024_data!$A:$A, 0), MATCH(E$2, ameco_2024_data!$1:$1, 0))</f>
        <v>-2.8972000000000002</v>
      </c>
      <c r="G24" s="12" cm="1">
        <f t="array" ref="G24">IF(INDEX(results_spb!$A$1:$Y$100,
          MATCH(1, (results_spb!$A$1:$A$100 = table_summary!$B24) * (results_spb!$C$1:$C$100 = table_summary!G$1), 0),
          MATCH(table_summary!G$2, results_spb!$1:$1, 0)) = 0,
   "...",
   INDEX(results_spb!$A$1:$Y$100,
         MATCH(1, (results_spb!$A$1:$A$100 = table_summary!$B24) * (results_spb!$C$1:$C$100 = table_summary!G$1), 0),
         MATCH(table_summary!G$2, results_spb!$1:$1, 0)))</f>
        <v>-1.88</v>
      </c>
      <c r="H24" s="12" cm="1">
        <f t="array" ref="H24">IF(INDEX(results_spb!$A$1:$Y$100,
          MATCH(1, (results_spb!$A$1:$A$100 = table_summary!$B24) * (results_spb!$C$1:$C$100 = table_summary!H$1), 0),
          MATCH(table_summary!H$2, results_spb!$1:$1, 0)) = 0,
   "...",
   INDEX(results_spb!$A$1:$Y$100,
         MATCH(1, (results_spb!$A$1:$A$100 = table_summary!$B24) * (results_spb!$C$1:$C$100 = table_summary!H$1), 0),
         MATCH(table_summary!H$2, results_spb!$1:$1, 0)))</f>
        <v>-1.341</v>
      </c>
      <c r="J24" s="12" cm="1">
        <f t="array" ref="J24">IF(INDEX(results_spb!$A$1:$Y$100,
          MATCH(1, (results_spb!$A$1:$A$100 = table_summary!$B24) * (results_spb!$C$1:$C$100 = table_summary!J$1), 0),
          MATCH(table_summary!J$2, results_spb!$1:$1, 0)) = 0,
   "...",
   INDEX(results_spb!$A$1:$Y$100,
         MATCH(1, (results_spb!$A$1:$A$100 = table_summary!$B24) * (results_spb!$C$1:$C$100 = table_summary!J$1), 0),
         MATCH(table_summary!J$2, results_spb!$1:$1, 0)))</f>
        <v>-1.2529999999999999</v>
      </c>
      <c r="K24" s="12" cm="1">
        <f t="array" ref="K24">IF(INDEX(results_spb!$A$1:$Y$100,
          MATCH(1, (results_spb!$A$1:$A$100 = table_summary!$B24) * (results_spb!$C$1:$C$100 = table_summary!K$1), 0),
          MATCH(table_summary!K$2, results_spb!$1:$1, 0)) = 0,
   "...",
   INDEX(results_spb!$A$1:$Y$100,
         MATCH(1, (results_spb!$A$1:$A$100 = table_summary!$B24) * (results_spb!$C$1:$C$100 = table_summary!K$1), 0),
         MATCH(table_summary!K$2, results_spb!$1:$1, 0)))</f>
        <v>-1</v>
      </c>
      <c r="M24" s="12" t="str" cm="1">
        <f t="array" ref="M24">IF(INDEX(results_spb!$A$1:$Y$100,
          MATCH(1, (results_spb!$A$1:$A$100 = table_summary!$B24) * (results_spb!$C$1:$C$100 = table_summary!M$1), 0),
          MATCH(table_summary!M$2, results_spb!$1:$1, 0)) = 0,
   "...",
   INDEX(results_spb!$A$1:$Y$100,
         MATCH(1, (results_spb!$A$1:$A$100 = table_summary!$B24) * (results_spb!$C$1:$C$100 = table_summary!M$1), 0),
         MATCH(table_summary!M$2, results_spb!$1:$1, 0)))</f>
        <v>...</v>
      </c>
      <c r="N24" s="12" t="str" cm="1">
        <f t="array" ref="N24">IF(INDEX(results_spb!$A$1:$Y$100,
          MATCH(1, (results_spb!$A$1:$A$100 = table_summary!$B24) * (results_spb!$C$1:$C$100 = table_summary!N$1), 0),
          MATCH(table_summary!N$2, results_spb!$1:$1, 0)) = 0,
   "...",
   INDEX(results_spb!$A$1:$Y$100,
         MATCH(1, (results_spb!$A$1:$A$100 = table_summary!$B24) * (results_spb!$C$1:$C$100 = table_summary!N$1), 0),
         MATCH(table_summary!N$2, results_spb!$1:$1, 0)))</f>
        <v>...</v>
      </c>
      <c r="O24" s="14"/>
      <c r="P24" s="12" cm="1">
        <f t="array" ref="P24">IF(INDEX(results_spb!$A$1:$Y$100,
          MATCH(1, (results_spb!$A$1:$A$100 = table_summary!$B24) * (results_spb!$C$1:$C$100 = table_summary!P$1), 0),
          MATCH(table_summary!P$2, results_spb!$1:$1, 0)) = 0,
   "...",
   INDEX(results_spb!$A$1:$Y$100,
         MATCH(1, (results_spb!$A$1:$A$100 = table_summary!$B24) * (results_spb!$C$1:$C$100 = table_summary!P$1), 0),
         MATCH(table_summary!P$2, results_spb!$1:$1, 0)))</f>
        <v>-0.996</v>
      </c>
      <c r="Q24" s="12" t="str" cm="1">
        <f t="array" ref="Q24">IF(INDEX(results_spb!$A$1:$Y$100,
          MATCH(1, (results_spb!$A$1:$A$100 = table_summary!$B24) * (results_spb!$C$1:$C$100 = table_summary!Q$1), 0),
          MATCH(table_summary!Q$2, results_spb!$1:$1, 0)) = 0,
   "...",
   INDEX(results_spb!$A$1:$Y$100,
         MATCH(1, (results_spb!$A$1:$A$100 = table_summary!$B24) * (results_spb!$C$1:$C$100 = table_summary!Q$1), 0),
         MATCH(table_summary!Q$2, results_spb!$1:$1, 0)))</f>
        <v>...</v>
      </c>
      <c r="R24" s="14"/>
      <c r="S24" s="12" cm="1">
        <f t="array" ref="S24">IF(INDEX(results_spb!$A$1:$Y$100,
          MATCH(1, (results_spb!$A$1:$A$100 = table_summary!$B24) * (results_spb!$C$1:$C$100 = table_summary!S$1), 0),
          MATCH(table_summary!S$2, results_spb!$1:$1, 0)) = 0,
   "...",
   INDEX(results_spb!$A$1:$Y$100,
         MATCH(1, (results_spb!$A$1:$A$100 = table_summary!$B24) * (results_spb!$C$1:$C$100 = table_summary!S$1), 0),
         MATCH(table_summary!S$2, results_spb!$1:$1, 0)))</f>
        <v>-0.996</v>
      </c>
      <c r="T24" s="12" cm="1">
        <f t="array" ref="T24">IF(INDEX(results_spb!$A$1:$Y$100,
          MATCH(1, (results_spb!$A$1:$A$100 = table_summary!$B24) * (results_spb!$C$1:$C$100 = table_summary!T$1), 0),
          MATCH(table_summary!T$2, results_spb!$1:$1, 0)) = 0,
   "...",
   INDEX(results_spb!$A$1:$Y$100,
         MATCH(1, (results_spb!$A$1:$A$100 = table_summary!$B24) * (results_spb!$C$1:$C$100 = table_summary!T$1), 0),
         MATCH(table_summary!T$2, results_spb!$1:$1, 0)))</f>
        <v>-1.05</v>
      </c>
      <c r="U24" s="14"/>
      <c r="V24" s="3">
        <f t="shared" si="0"/>
        <v>0.47530000000000006</v>
      </c>
      <c r="W24" s="3">
        <f t="shared" si="1"/>
        <v>0.26388571428571433</v>
      </c>
    </row>
    <row r="25" spans="1:23">
      <c r="A25" s="25" t="s">
        <v>31</v>
      </c>
      <c r="B25" s="22" t="str">
        <f>INDEX(Table1[#All], MATCH($A25, ameco_2024_data!$A:$A, 0), MATCH(B$2, ameco_2024_data!$1:$1, 0))</f>
        <v>Romania</v>
      </c>
      <c r="C25" s="15">
        <f>INDEX(Table1[#All], MATCH($A25, ameco_2024_data!$A:$A, 0), MATCH(C$2, ameco_2024_data!$1:$1, 0))</f>
        <v>50.9101</v>
      </c>
      <c r="D25" s="12">
        <f>INDEX(Table1[#All], MATCH($A25, ameco_2024_data!$A:$A, 0), MATCH(D$2, ameco_2024_data!$1:$1, 0))</f>
        <v>-6.8675120999999999</v>
      </c>
      <c r="E25" s="12">
        <f>INDEX(Table1[#All], MATCH($A25, ameco_2024_data!$A:$A, 0), MATCH(E$2, ameco_2024_data!$1:$1, 0))</f>
        <v>-4.4069000000000003</v>
      </c>
      <c r="G25" s="12" cm="1">
        <f t="array" ref="G25">IF(INDEX(results_spb!$A$1:$Y$100,
          MATCH(1, (results_spb!$A$1:$A$100 = table_summary!$B25) * (results_spb!$C$1:$C$100 = table_summary!G$1), 0),
          MATCH(table_summary!G$2, results_spb!$1:$1, 0)) = 0,
   "...",
   INDEX(results_spb!$A$1:$Y$100,
         MATCH(1, (results_spb!$A$1:$A$100 = table_summary!$B25) * (results_spb!$C$1:$C$100 = table_summary!G$1), 0),
         MATCH(table_summary!G$2, results_spb!$1:$1, 0)))</f>
        <v>5.8999999999999997E-2</v>
      </c>
      <c r="H25" s="12" cm="1">
        <f t="array" ref="H25">IF(INDEX(results_spb!$A$1:$Y$100,
          MATCH(1, (results_spb!$A$1:$A$100 = table_summary!$B25) * (results_spb!$C$1:$C$100 = table_summary!H$1), 0),
          MATCH(table_summary!H$2, results_spb!$1:$1, 0)) = 0,
   "...",
   INDEX(results_spb!$A$1:$Y$100,
         MATCH(1, (results_spb!$A$1:$A$100 = table_summary!$B25) * (results_spb!$C$1:$C$100 = table_summary!H$1), 0),
         MATCH(table_summary!H$2, results_spb!$1:$1, 0)))</f>
        <v>0.83899999999999997</v>
      </c>
      <c r="J25" s="12" cm="1">
        <f t="array" ref="J25">IF(INDEX(results_spb!$A$1:$Y$100,
          MATCH(1, (results_spb!$A$1:$A$100 = table_summary!$B25) * (results_spb!$C$1:$C$100 = table_summary!J$1), 0),
          MATCH(table_summary!J$2, results_spb!$1:$1, 0)) = 0,
   "...",
   INDEX(results_spb!$A$1:$Y$100,
         MATCH(1, (results_spb!$A$1:$A$100 = table_summary!$B25) * (results_spb!$C$1:$C$100 = table_summary!J$1), 0),
         MATCH(table_summary!J$2, results_spb!$1:$1, 0)))</f>
        <v>0.129</v>
      </c>
      <c r="K25" s="12" cm="1">
        <f t="array" ref="K25">IF(INDEX(results_spb!$A$1:$Y$100,
          MATCH(1, (results_spb!$A$1:$A$100 = table_summary!$B25) * (results_spb!$C$1:$C$100 = table_summary!K$1), 0),
          MATCH(table_summary!K$2, results_spb!$1:$1, 0)) = 0,
   "...",
   INDEX(results_spb!$A$1:$Y$100,
         MATCH(1, (results_spb!$A$1:$A$100 = table_summary!$B25) * (results_spb!$C$1:$C$100 = table_summary!K$1), 0),
         MATCH(table_summary!K$2, results_spb!$1:$1, 0)))</f>
        <v>0.36</v>
      </c>
      <c r="M25" s="12" t="str" cm="1">
        <f t="array" ref="M25">IF(INDEX(results_spb!$A$1:$Y$100,
          MATCH(1, (results_spb!$A$1:$A$100 = table_summary!$B25) * (results_spb!$C$1:$C$100 = table_summary!M$1), 0),
          MATCH(table_summary!M$2, results_spb!$1:$1, 0)) = 0,
   "...",
   INDEX(results_spb!$A$1:$Y$100,
         MATCH(1, (results_spb!$A$1:$A$100 = table_summary!$B25) * (results_spb!$C$1:$C$100 = table_summary!M$1), 0),
         MATCH(table_summary!M$2, results_spb!$1:$1, 0)))</f>
        <v>...</v>
      </c>
      <c r="N25" s="12" t="str" cm="1">
        <f t="array" ref="N25">IF(INDEX(results_spb!$A$1:$Y$100,
          MATCH(1, (results_spb!$A$1:$A$100 = table_summary!$B25) * (results_spb!$C$1:$C$100 = table_summary!N$1), 0),
          MATCH(table_summary!N$2, results_spb!$1:$1, 0)) = 0,
   "...",
   INDEX(results_spb!$A$1:$Y$100,
         MATCH(1, (results_spb!$A$1:$A$100 = table_summary!$B25) * (results_spb!$C$1:$C$100 = table_summary!N$1), 0),
         MATCH(table_summary!N$2, results_spb!$1:$1, 0)))</f>
        <v>...</v>
      </c>
      <c r="O25" s="14"/>
      <c r="P25" s="12" t="str" cm="1">
        <f t="array" ref="P25">IF(INDEX(results_spb!$A$1:$Y$100,
          MATCH(1, (results_spb!$A$1:$A$100 = table_summary!$B25) * (results_spb!$C$1:$C$100 = table_summary!P$1), 0),
          MATCH(table_summary!P$2, results_spb!$1:$1, 0)) = 0,
   "...",
   INDEX(results_spb!$A$1:$Y$100,
         MATCH(1, (results_spb!$A$1:$A$100 = table_summary!$B25) * (results_spb!$C$1:$C$100 = table_summary!P$1), 0),
         MATCH(table_summary!P$2, results_spb!$1:$1, 0)))</f>
        <v>...</v>
      </c>
      <c r="Q25" s="12" t="str" cm="1">
        <f t="array" ref="Q25">IF(INDEX(results_spb!$A$1:$Y$100,
          MATCH(1, (results_spb!$A$1:$A$100 = table_summary!$B25) * (results_spb!$C$1:$C$100 = table_summary!Q$1), 0),
          MATCH(table_summary!Q$2, results_spb!$1:$1, 0)) = 0,
   "...",
   INDEX(results_spb!$A$1:$Y$100,
         MATCH(1, (results_spb!$A$1:$A$100 = table_summary!$B25) * (results_spb!$C$1:$C$100 = table_summary!Q$1), 0),
         MATCH(table_summary!Q$2, results_spb!$1:$1, 0)))</f>
        <v>...</v>
      </c>
      <c r="R25" s="14"/>
      <c r="S25" s="12" cm="1">
        <f t="array" ref="S25">IF(INDEX(results_spb!$A$1:$Y$100,
          MATCH(1, (results_spb!$A$1:$A$100 = table_summary!$B25) * (results_spb!$C$1:$C$100 = table_summary!S$1), 0),
          MATCH(table_summary!S$2, results_spb!$1:$1, 0)) = 0,
   "...",
   INDEX(results_spb!$A$1:$Y$100,
         MATCH(1, (results_spb!$A$1:$A$100 = table_summary!$B25) * (results_spb!$C$1:$C$100 = table_summary!S$1), 0),
         MATCH(table_summary!S$2, results_spb!$1:$1, 0)))</f>
        <v>0.129</v>
      </c>
      <c r="T25" s="12" cm="1">
        <f t="array" ref="T25">IF(INDEX(results_spb!$A$1:$Y$100,
          MATCH(1, (results_spb!$A$1:$A$100 = table_summary!$B25) * (results_spb!$C$1:$C$100 = table_summary!T$1), 0),
          MATCH(table_summary!T$2, results_spb!$1:$1, 0)) = 0,
   "...",
   INDEX(results_spb!$A$1:$Y$100,
         MATCH(1, (results_spb!$A$1:$A$100 = table_summary!$B25) * (results_spb!$C$1:$C$100 = table_summary!T$1), 0),
         MATCH(table_summary!T$2, results_spb!$1:$1, 0)))</f>
        <v>0.83899999999999997</v>
      </c>
      <c r="U25" s="14"/>
      <c r="V25" s="3">
        <f t="shared" si="0"/>
        <v>1.133975</v>
      </c>
      <c r="W25" s="3">
        <f t="shared" si="1"/>
        <v>0.74941428571428581</v>
      </c>
    </row>
    <row r="26" spans="1:23">
      <c r="A26" s="25" t="s">
        <v>40</v>
      </c>
      <c r="B26" s="22" t="str">
        <f>INDEX(Table1[#All], MATCH($A26, ameco_2024_data!$A:$A, 0), MATCH(B$2, ameco_2024_data!$1:$1, 0))</f>
        <v>Netherlands</v>
      </c>
      <c r="C26" s="15">
        <f>INDEX(Table1[#All], MATCH($A26, ameco_2024_data!$A:$A, 0), MATCH(C$2, ameco_2024_data!$1:$1, 0))</f>
        <v>47.061199999999999</v>
      </c>
      <c r="D26" s="12">
        <f>INDEX(Table1[#All], MATCH($A26, ameco_2024_data!$A:$A, 0), MATCH(D$2, ameco_2024_data!$1:$1, 0))</f>
        <v>-1.9866604000000001</v>
      </c>
      <c r="E26" s="12">
        <f>INDEX(Table1[#All], MATCH($A26, ameco_2024_data!$A:$A, 0), MATCH(E$2, ameco_2024_data!$1:$1, 0))</f>
        <v>-0.64170000000000005</v>
      </c>
      <c r="G26" s="12" cm="1">
        <f t="array" ref="G26">IF(INDEX(results_spb!$A$1:$Y$100,
          MATCH(1, (results_spb!$A$1:$A$100 = table_summary!$B26) * (results_spb!$C$1:$C$100 = table_summary!G$1), 0),
          MATCH(table_summary!G$2, results_spb!$1:$1, 0)) = 0,
   "...",
   INDEX(results_spb!$A$1:$Y$100,
         MATCH(1, (results_spb!$A$1:$A$100 = table_summary!$B26) * (results_spb!$C$1:$C$100 = table_summary!G$1), 0),
         MATCH(table_summary!G$2, results_spb!$1:$1, 0)))</f>
        <v>-0.55700000000000005</v>
      </c>
      <c r="H26" s="12" cm="1">
        <f t="array" ref="H26">IF(INDEX(results_spb!$A$1:$Y$100,
          MATCH(1, (results_spb!$A$1:$A$100 = table_summary!$B26) * (results_spb!$C$1:$C$100 = table_summary!H$1), 0),
          MATCH(table_summary!H$2, results_spb!$1:$1, 0)) = 0,
   "...",
   INDEX(results_spb!$A$1:$Y$100,
         MATCH(1, (results_spb!$A$1:$A$100 = table_summary!$B26) * (results_spb!$C$1:$C$100 = table_summary!H$1), 0),
         MATCH(table_summary!H$2, results_spb!$1:$1, 0)))</f>
        <v>-0.623</v>
      </c>
      <c r="J26" s="12" cm="1">
        <f t="array" ref="J26">IF(INDEX(results_spb!$A$1:$Y$100,
          MATCH(1, (results_spb!$A$1:$A$100 = table_summary!$B26) * (results_spb!$C$1:$C$100 = table_summary!J$1), 0),
          MATCH(table_summary!J$2, results_spb!$1:$1, 0)) = 0,
   "...",
   INDEX(results_spb!$A$1:$Y$100,
         MATCH(1, (results_spb!$A$1:$A$100 = table_summary!$B26) * (results_spb!$C$1:$C$100 = table_summary!J$1), 0),
         MATCH(table_summary!J$2, results_spb!$1:$1, 0)))</f>
        <v>-0.28000000000000003</v>
      </c>
      <c r="K26" s="12" cm="1">
        <f t="array" ref="K26">IF(INDEX(results_spb!$A$1:$Y$100,
          MATCH(1, (results_spb!$A$1:$A$100 = table_summary!$B26) * (results_spb!$C$1:$C$100 = table_summary!K$1), 0),
          MATCH(table_summary!K$2, results_spb!$1:$1, 0)) = 0,
   "...",
   INDEX(results_spb!$A$1:$Y$100,
         MATCH(1, (results_spb!$A$1:$A$100 = table_summary!$B26) * (results_spb!$C$1:$C$100 = table_summary!K$1), 0),
         MATCH(table_summary!K$2, results_spb!$1:$1, 0)))</f>
        <v>-0.39200000000000002</v>
      </c>
      <c r="M26" s="12" t="str" cm="1">
        <f t="array" ref="M26">IF(INDEX(results_spb!$A$1:$Y$100,
          MATCH(1, (results_spb!$A$1:$A$100 = table_summary!$B26) * (results_spb!$C$1:$C$100 = table_summary!M$1), 0),
          MATCH(table_summary!M$2, results_spb!$1:$1, 0)) = 0,
   "...",
   INDEX(results_spb!$A$1:$Y$100,
         MATCH(1, (results_spb!$A$1:$A$100 = table_summary!$B26) * (results_spb!$C$1:$C$100 = table_summary!M$1), 0),
         MATCH(table_summary!M$2, results_spb!$1:$1, 0)))</f>
        <v>...</v>
      </c>
      <c r="N26" s="12" t="str" cm="1">
        <f t="array" ref="N26">IF(INDEX(results_spb!$A$1:$Y$100,
          MATCH(1, (results_spb!$A$1:$A$100 = table_summary!$B26) * (results_spb!$C$1:$C$100 = table_summary!N$1), 0),
          MATCH(table_summary!N$2, results_spb!$1:$1, 0)) = 0,
   "...",
   INDEX(results_spb!$A$1:$Y$100,
         MATCH(1, (results_spb!$A$1:$A$100 = table_summary!$B26) * (results_spb!$C$1:$C$100 = table_summary!N$1), 0),
         MATCH(table_summary!N$2, results_spb!$1:$1, 0)))</f>
        <v>...</v>
      </c>
      <c r="O26" s="14"/>
      <c r="P26" s="12" t="str" cm="1">
        <f t="array" ref="P26">IF(INDEX(results_spb!$A$1:$Y$100,
          MATCH(1, (results_spb!$A$1:$A$100 = table_summary!$B26) * (results_spb!$C$1:$C$100 = table_summary!P$1), 0),
          MATCH(table_summary!P$2, results_spb!$1:$1, 0)) = 0,
   "...",
   INDEX(results_spb!$A$1:$Y$100,
         MATCH(1, (results_spb!$A$1:$A$100 = table_summary!$B26) * (results_spb!$C$1:$C$100 = table_summary!P$1), 0),
         MATCH(table_summary!P$2, results_spb!$1:$1, 0)))</f>
        <v>...</v>
      </c>
      <c r="Q26" s="12" t="str" cm="1">
        <f t="array" ref="Q26">IF(INDEX(results_spb!$A$1:$Y$100,
          MATCH(1, (results_spb!$A$1:$A$100 = table_summary!$B26) * (results_spb!$C$1:$C$100 = table_summary!Q$1), 0),
          MATCH(table_summary!Q$2, results_spb!$1:$1, 0)) = 0,
   "...",
   INDEX(results_spb!$A$1:$Y$100,
         MATCH(1, (results_spb!$A$1:$A$100 = table_summary!$B26) * (results_spb!$C$1:$C$100 = table_summary!Q$1), 0),
         MATCH(table_summary!Q$2, results_spb!$1:$1, 0)))</f>
        <v>...</v>
      </c>
      <c r="R26" s="14"/>
      <c r="S26" s="12" cm="1">
        <f t="array" ref="S26">IF(INDEX(results_spb!$A$1:$Y$100,
          MATCH(1, (results_spb!$A$1:$A$100 = table_summary!$B26) * (results_spb!$C$1:$C$100 = table_summary!S$1), 0),
          MATCH(table_summary!S$2, results_spb!$1:$1, 0)) = 0,
   "...",
   INDEX(results_spb!$A$1:$Y$100,
         MATCH(1, (results_spb!$A$1:$A$100 = table_summary!$B26) * (results_spb!$C$1:$C$100 = table_summary!S$1), 0),
         MATCH(table_summary!S$2, results_spb!$1:$1, 0)))</f>
        <v>-0.28000000000000003</v>
      </c>
      <c r="T26" s="12" cm="1">
        <f t="array" ref="T26">IF(INDEX(results_spb!$A$1:$Y$100,
          MATCH(1, (results_spb!$A$1:$A$100 = table_summary!$B26) * (results_spb!$C$1:$C$100 = table_summary!T$1), 0),
          MATCH(table_summary!T$2, results_spb!$1:$1, 0)) = 0,
   "...",
   INDEX(results_spb!$A$1:$Y$100,
         MATCH(1, (results_spb!$A$1:$A$100 = table_summary!$B26) * (results_spb!$C$1:$C$100 = table_summary!T$1), 0),
         MATCH(table_summary!T$2, results_spb!$1:$1, 0)))</f>
        <v>-0.39200000000000002</v>
      </c>
      <c r="U26" s="14"/>
      <c r="V26" s="3">
        <f t="shared" si="0"/>
        <v>9.0425000000000005E-2</v>
      </c>
      <c r="W26" s="3">
        <f t="shared" si="1"/>
        <v>3.5671428571428576E-2</v>
      </c>
    </row>
    <row r="27" spans="1:23">
      <c r="A27" s="25" t="s">
        <v>35</v>
      </c>
      <c r="B27" s="22" t="str">
        <f>INDEX(Table1[#All], MATCH($A27, ameco_2024_data!$A:$A, 0), MATCH(B$2, ameco_2024_data!$1:$1, 0))</f>
        <v>Czechia</v>
      </c>
      <c r="C27" s="15">
        <f>INDEX(Table1[#All], MATCH($A27, ameco_2024_data!$A:$A, 0), MATCH(C$2, ameco_2024_data!$1:$1, 0))</f>
        <v>45.2331</v>
      </c>
      <c r="D27" s="12">
        <f>INDEX(Table1[#All], MATCH($A27, ameco_2024_data!$A:$A, 0), MATCH(D$2, ameco_2024_data!$1:$1, 0))</f>
        <v>-2.3887532999999999</v>
      </c>
      <c r="E27" s="12">
        <f>INDEX(Table1[#All], MATCH($A27, ameco_2024_data!$A:$A, 0), MATCH(E$2, ameco_2024_data!$1:$1, 0))</f>
        <v>-9.01E-2</v>
      </c>
      <c r="G27" s="12" cm="1">
        <f t="array" ref="G27">IF(INDEX(results_spb!$A$1:$Y$100,
          MATCH(1, (results_spb!$A$1:$A$100 = table_summary!$B27) * (results_spb!$C$1:$C$100 = table_summary!G$1), 0),
          MATCH(table_summary!G$2, results_spb!$1:$1, 0)) = 0,
   "...",
   INDEX(results_spb!$A$1:$Y$100,
         MATCH(1, (results_spb!$A$1:$A$100 = table_summary!$B27) * (results_spb!$C$1:$C$100 = table_summary!G$1), 0),
         MATCH(table_summary!G$2, results_spb!$1:$1, 0)))</f>
        <v>-0.20300000000000001</v>
      </c>
      <c r="H27" s="12" cm="1">
        <f t="array" ref="H27">IF(INDEX(results_spb!$A$1:$Y$100,
          MATCH(1, (results_spb!$A$1:$A$100 = table_summary!$B27) * (results_spb!$C$1:$C$100 = table_summary!H$1), 0),
          MATCH(table_summary!H$2, results_spb!$1:$1, 0)) = 0,
   "...",
   INDEX(results_spb!$A$1:$Y$100,
         MATCH(1, (results_spb!$A$1:$A$100 = table_summary!$B27) * (results_spb!$C$1:$C$100 = table_summary!H$1), 0),
         MATCH(table_summary!H$2, results_spb!$1:$1, 0)))</f>
        <v>-5.1999999999999998E-2</v>
      </c>
      <c r="J27" s="12" cm="1">
        <f t="array" ref="J27">IF(INDEX(results_spb!$A$1:$Y$100,
          MATCH(1, (results_spb!$A$1:$A$100 = table_summary!$B27) * (results_spb!$C$1:$C$100 = table_summary!J$1), 0),
          MATCH(table_summary!J$2, results_spb!$1:$1, 0)) = 0,
   "...",
   INDEX(results_spb!$A$1:$Y$100,
         MATCH(1, (results_spb!$A$1:$A$100 = table_summary!$B27) * (results_spb!$C$1:$C$100 = table_summary!J$1), 0),
         MATCH(table_summary!J$2, results_spb!$1:$1, 0)))</f>
        <v>0.33100000000000002</v>
      </c>
      <c r="K27" s="12" cm="1">
        <f t="array" ref="K27">IF(INDEX(results_spb!$A$1:$Y$100,
          MATCH(1, (results_spb!$A$1:$A$100 = table_summary!$B27) * (results_spb!$C$1:$C$100 = table_summary!K$1), 0),
          MATCH(table_summary!K$2, results_spb!$1:$1, 0)) = 0,
   "...",
   INDEX(results_spb!$A$1:$Y$100,
         MATCH(1, (results_spb!$A$1:$A$100 = table_summary!$B27) * (results_spb!$C$1:$C$100 = table_summary!K$1), 0),
         MATCH(table_summary!K$2, results_spb!$1:$1, 0)))</f>
        <v>0.61699999999999999</v>
      </c>
      <c r="M27" s="12" t="str" cm="1">
        <f t="array" ref="M27">IF(INDEX(results_spb!$A$1:$Y$100,
          MATCH(1, (results_spb!$A$1:$A$100 = table_summary!$B27) * (results_spb!$C$1:$C$100 = table_summary!M$1), 0),
          MATCH(table_summary!M$2, results_spb!$1:$1, 0)) = 0,
   "...",
   INDEX(results_spb!$A$1:$Y$100,
         MATCH(1, (results_spb!$A$1:$A$100 = table_summary!$B27) * (results_spb!$C$1:$C$100 = table_summary!M$1), 0),
         MATCH(table_summary!M$2, results_spb!$1:$1, 0)))</f>
        <v>...</v>
      </c>
      <c r="N27" s="12" t="str" cm="1">
        <f t="array" ref="N27">IF(INDEX(results_spb!$A$1:$Y$100,
          MATCH(1, (results_spb!$A$1:$A$100 = table_summary!$B27) * (results_spb!$C$1:$C$100 = table_summary!N$1), 0),
          MATCH(table_summary!N$2, results_spb!$1:$1, 0)) = 0,
   "...",
   INDEX(results_spb!$A$1:$Y$100,
         MATCH(1, (results_spb!$A$1:$A$100 = table_summary!$B27) * (results_spb!$C$1:$C$100 = table_summary!N$1), 0),
         MATCH(table_summary!N$2, results_spb!$1:$1, 0)))</f>
        <v>...</v>
      </c>
      <c r="O27" s="14"/>
      <c r="P27" s="12" t="str" cm="1">
        <f t="array" ref="P27">IF(INDEX(results_spb!$A$1:$Y$100,
          MATCH(1, (results_spb!$A$1:$A$100 = table_summary!$B27) * (results_spb!$C$1:$C$100 = table_summary!P$1), 0),
          MATCH(table_summary!P$2, results_spb!$1:$1, 0)) = 0,
   "...",
   INDEX(results_spb!$A$1:$Y$100,
         MATCH(1, (results_spb!$A$1:$A$100 = table_summary!$B27) * (results_spb!$C$1:$C$100 = table_summary!P$1), 0),
         MATCH(table_summary!P$2, results_spb!$1:$1, 0)))</f>
        <v>...</v>
      </c>
      <c r="Q27" s="12" t="str" cm="1">
        <f t="array" ref="Q27">IF(INDEX(results_spb!$A$1:$Y$100,
          MATCH(1, (results_spb!$A$1:$A$100 = table_summary!$B27) * (results_spb!$C$1:$C$100 = table_summary!Q$1), 0),
          MATCH(table_summary!Q$2, results_spb!$1:$1, 0)) = 0,
   "...",
   INDEX(results_spb!$A$1:$Y$100,
         MATCH(1, (results_spb!$A$1:$A$100 = table_summary!$B27) * (results_spb!$C$1:$C$100 = table_summary!Q$1), 0),
         MATCH(table_summary!Q$2, results_spb!$1:$1, 0)))</f>
        <v>...</v>
      </c>
      <c r="R27" s="14"/>
      <c r="S27" s="12" cm="1">
        <f t="array" ref="S27">IF(INDEX(results_spb!$A$1:$Y$100,
          MATCH(1, (results_spb!$A$1:$A$100 = table_summary!$B27) * (results_spb!$C$1:$C$100 = table_summary!S$1), 0),
          MATCH(table_summary!S$2, results_spb!$1:$1, 0)) = 0,
   "...",
   INDEX(results_spb!$A$1:$Y$100,
         MATCH(1, (results_spb!$A$1:$A$100 = table_summary!$B27) * (results_spb!$C$1:$C$100 = table_summary!S$1), 0),
         MATCH(table_summary!S$2, results_spb!$1:$1, 0)))</f>
        <v>0.33100000000000002</v>
      </c>
      <c r="T27" s="12" cm="1">
        <f t="array" ref="T27">IF(INDEX(results_spb!$A$1:$Y$100,
          MATCH(1, (results_spb!$A$1:$A$100 = table_summary!$B27) * (results_spb!$C$1:$C$100 = table_summary!T$1), 0),
          MATCH(table_summary!T$2, results_spb!$1:$1, 0)) = 0,
   "...",
   INDEX(results_spb!$A$1:$Y$100,
         MATCH(1, (results_spb!$A$1:$A$100 = table_summary!$B27) * (results_spb!$C$1:$C$100 = table_summary!T$1), 0),
         MATCH(table_summary!T$2, results_spb!$1:$1, 0)))</f>
        <v>0.61699999999999999</v>
      </c>
      <c r="U27" s="14"/>
      <c r="V27" s="3">
        <f t="shared" si="0"/>
        <v>0.10527500000000001</v>
      </c>
      <c r="W27" s="3">
        <f t="shared" si="1"/>
        <v>0.10101428571428571</v>
      </c>
    </row>
    <row r="28" spans="1:23">
      <c r="A28" s="25" t="s">
        <v>39</v>
      </c>
      <c r="B28" s="22" t="str">
        <f>INDEX(Table1[#All], MATCH($A28, ameco_2024_data!$A:$A, 0), MATCH(B$2, ameco_2024_data!$1:$1, 0))</f>
        <v>Latvia</v>
      </c>
      <c r="C28" s="15">
        <f>INDEX(Table1[#All], MATCH($A28, ameco_2024_data!$A:$A, 0), MATCH(C$2, ameco_2024_data!$1:$1, 0))</f>
        <v>44.530799999999999</v>
      </c>
      <c r="D28" s="12">
        <f>INDEX(Table1[#All], MATCH($A28, ameco_2024_data!$A:$A, 0), MATCH(D$2, ameco_2024_data!$1:$1, 0))</f>
        <v>-2.8062051000000001</v>
      </c>
      <c r="E28" s="12">
        <f>INDEX(Table1[#All], MATCH($A28, ameco_2024_data!$A:$A, 0), MATCH(E$2, ameco_2024_data!$1:$1, 0))</f>
        <v>-1.3625</v>
      </c>
      <c r="G28" s="12" cm="1">
        <f t="array" ref="G28">IF(INDEX(results_spb!$A$1:$Y$100,
          MATCH(1, (results_spb!$A$1:$A$100 = table_summary!$B28) * (results_spb!$C$1:$C$100 = table_summary!G$1), 0),
          MATCH(table_summary!G$2, results_spb!$1:$1, 0)) = 0,
   "...",
   INDEX(results_spb!$A$1:$Y$100,
         MATCH(1, (results_spb!$A$1:$A$100 = table_summary!$B28) * (results_spb!$C$1:$C$100 = table_summary!G$1), 0),
         MATCH(table_summary!G$2, results_spb!$1:$1, 0)))</f>
        <v>-0.95199999999999996</v>
      </c>
      <c r="H28" s="12" cm="1">
        <f t="array" ref="H28">IF(INDEX(results_spb!$A$1:$Y$100,
          MATCH(1, (results_spb!$A$1:$A$100 = table_summary!$B28) * (results_spb!$C$1:$C$100 = table_summary!H$1), 0),
          MATCH(table_summary!H$2, results_spb!$1:$1, 0)) = 0,
   "...",
   INDEX(results_spb!$A$1:$Y$100,
         MATCH(1, (results_spb!$A$1:$A$100 = table_summary!$B28) * (results_spb!$C$1:$C$100 = table_summary!H$1), 0),
         MATCH(table_summary!H$2, results_spb!$1:$1, 0)))</f>
        <v>-0.69399999999999995</v>
      </c>
      <c r="J28" s="12" cm="1">
        <f t="array" ref="J28">IF(INDEX(results_spb!$A$1:$Y$100,
          MATCH(1, (results_spb!$A$1:$A$100 = table_summary!$B28) * (results_spb!$C$1:$C$100 = table_summary!J$1), 0),
          MATCH(table_summary!J$2, results_spb!$1:$1, 0)) = 0,
   "...",
   INDEX(results_spb!$A$1:$Y$100,
         MATCH(1, (results_spb!$A$1:$A$100 = table_summary!$B28) * (results_spb!$C$1:$C$100 = table_summary!J$1), 0),
         MATCH(table_summary!J$2, results_spb!$1:$1, 0)))</f>
        <v>-1.165</v>
      </c>
      <c r="K28" s="12" cm="1">
        <f t="array" ref="K28">IF(INDEX(results_spb!$A$1:$Y$100,
          MATCH(1, (results_spb!$A$1:$A$100 = table_summary!$B28) * (results_spb!$C$1:$C$100 = table_summary!K$1), 0),
          MATCH(table_summary!K$2, results_spb!$1:$1, 0)) = 0,
   "...",
   INDEX(results_spb!$A$1:$Y$100,
         MATCH(1, (results_spb!$A$1:$A$100 = table_summary!$B28) * (results_spb!$C$1:$C$100 = table_summary!K$1), 0),
         MATCH(table_summary!K$2, results_spb!$1:$1, 0)))</f>
        <v>-1.159</v>
      </c>
      <c r="M28" s="12" t="str" cm="1">
        <f t="array" ref="M28">IF(INDEX(results_spb!$A$1:$Y$100,
          MATCH(1, (results_spb!$A$1:$A$100 = table_summary!$B28) * (results_spb!$C$1:$C$100 = table_summary!M$1), 0),
          MATCH(table_summary!M$2, results_spb!$1:$1, 0)) = 0,
   "...",
   INDEX(results_spb!$A$1:$Y$100,
         MATCH(1, (results_spb!$A$1:$A$100 = table_summary!$B28) * (results_spb!$C$1:$C$100 = table_summary!M$1), 0),
         MATCH(table_summary!M$2, results_spb!$1:$1, 0)))</f>
        <v>...</v>
      </c>
      <c r="N28" s="12" t="str" cm="1">
        <f t="array" ref="N28">IF(INDEX(results_spb!$A$1:$Y$100,
          MATCH(1, (results_spb!$A$1:$A$100 = table_summary!$B28) * (results_spb!$C$1:$C$100 = table_summary!N$1), 0),
          MATCH(table_summary!N$2, results_spb!$1:$1, 0)) = 0,
   "...",
   INDEX(results_spb!$A$1:$Y$100,
         MATCH(1, (results_spb!$A$1:$A$100 = table_summary!$B28) * (results_spb!$C$1:$C$100 = table_summary!N$1), 0),
         MATCH(table_summary!N$2, results_spb!$1:$1, 0)))</f>
        <v>...</v>
      </c>
      <c r="O28" s="14"/>
      <c r="P28" s="12" t="str" cm="1">
        <f t="array" ref="P28">IF(INDEX(results_spb!$A$1:$Y$100,
          MATCH(1, (results_spb!$A$1:$A$100 = table_summary!$B28) * (results_spb!$C$1:$C$100 = table_summary!P$1), 0),
          MATCH(table_summary!P$2, results_spb!$1:$1, 0)) = 0,
   "...",
   INDEX(results_spb!$A$1:$Y$100,
         MATCH(1, (results_spb!$A$1:$A$100 = table_summary!$B28) * (results_spb!$C$1:$C$100 = table_summary!P$1), 0),
         MATCH(table_summary!P$2, results_spb!$1:$1, 0)))</f>
        <v>...</v>
      </c>
      <c r="Q28" s="12" t="str" cm="1">
        <f t="array" ref="Q28">IF(INDEX(results_spb!$A$1:$Y$100,
          MATCH(1, (results_spb!$A$1:$A$100 = table_summary!$B28) * (results_spb!$C$1:$C$100 = table_summary!Q$1), 0),
          MATCH(table_summary!Q$2, results_spb!$1:$1, 0)) = 0,
   "...",
   INDEX(results_spb!$A$1:$Y$100,
         MATCH(1, (results_spb!$A$1:$A$100 = table_summary!$B28) * (results_spb!$C$1:$C$100 = table_summary!Q$1), 0),
         MATCH(table_summary!Q$2, results_spb!$1:$1, 0)))</f>
        <v>...</v>
      </c>
      <c r="R28" s="14"/>
      <c r="S28" s="12" cm="1">
        <f t="array" ref="S28">IF(INDEX(results_spb!$A$1:$Y$100,
          MATCH(1, (results_spb!$A$1:$A$100 = table_summary!$B28) * (results_spb!$C$1:$C$100 = table_summary!S$1), 0),
          MATCH(table_summary!S$2, results_spb!$1:$1, 0)) = 0,
   "...",
   INDEX(results_spb!$A$1:$Y$100,
         MATCH(1, (results_spb!$A$1:$A$100 = table_summary!$B28) * (results_spb!$C$1:$C$100 = table_summary!S$1), 0),
         MATCH(table_summary!S$2, results_spb!$1:$1, 0)))</f>
        <v>-0.95199999999999996</v>
      </c>
      <c r="T28" s="12" cm="1">
        <f t="array" ref="T28">IF(INDEX(results_spb!$A$1:$Y$100,
          MATCH(1, (results_spb!$A$1:$A$100 = table_summary!$B28) * (results_spb!$C$1:$C$100 = table_summary!T$1), 0),
          MATCH(table_summary!T$2, results_spb!$1:$1, 0)) = 0,
   "...",
   INDEX(results_spb!$A$1:$Y$100,
         MATCH(1, (results_spb!$A$1:$A$100 = table_summary!$B28) * (results_spb!$C$1:$C$100 = table_summary!T$1), 0),
         MATCH(table_summary!T$2, results_spb!$1:$1, 0)))</f>
        <v>-0.69399999999999995</v>
      </c>
      <c r="U28" s="14"/>
      <c r="V28" s="3">
        <f t="shared" si="0"/>
        <v>0.10262500000000002</v>
      </c>
      <c r="W28" s="3">
        <f t="shared" si="1"/>
        <v>9.5500000000000015E-2</v>
      </c>
    </row>
    <row r="29" spans="1:23">
      <c r="A29" s="25" t="s">
        <v>37</v>
      </c>
      <c r="B29" s="22" t="str">
        <f>INDEX(Table1[#All], MATCH($A29, ameco_2024_data!$A:$A, 0), MATCH(B$2, ameco_2024_data!$1:$1, 0))</f>
        <v>Ireland</v>
      </c>
      <c r="C29" s="15">
        <f>INDEX(Table1[#All], MATCH($A29, ameco_2024_data!$A:$A, 0), MATCH(C$2, ameco_2024_data!$1:$1, 0))</f>
        <v>42.488799999999998</v>
      </c>
      <c r="D29" s="12">
        <f>INDEX(Table1[#All], MATCH($A29, ameco_2024_data!$A:$A, 0), MATCH(D$2, ameco_2024_data!$1:$1, 0))</f>
        <v>1.256939</v>
      </c>
      <c r="E29" s="12">
        <f>INDEX(Table1[#All], MATCH($A29, ameco_2024_data!$A:$A, 0), MATCH(E$2, ameco_2024_data!$1:$1, 0))</f>
        <v>2.5287999999999999</v>
      </c>
      <c r="G29" s="12" cm="1">
        <f t="array" ref="G29">IF(INDEX(results_spb!$A$1:$Y$100,
          MATCH(1, (results_spb!$A$1:$A$100 = table_summary!$B29) * (results_spb!$C$1:$C$100 = table_summary!G$1), 0),
          MATCH(table_summary!G$2, results_spb!$1:$1, 0)) = 0,
   "...",
   INDEX(results_spb!$A$1:$Y$100,
         MATCH(1, (results_spb!$A$1:$A$100 = table_summary!$B29) * (results_spb!$C$1:$C$100 = table_summary!G$1), 0),
         MATCH(table_summary!G$2, results_spb!$1:$1, 0)))</f>
        <v>-1.9890000000000001</v>
      </c>
      <c r="H29" s="12" cm="1">
        <f t="array" ref="H29">IF(INDEX(results_spb!$A$1:$Y$100,
          MATCH(1, (results_spb!$A$1:$A$100 = table_summary!$B29) * (results_spb!$C$1:$C$100 = table_summary!H$1), 0),
          MATCH(table_summary!H$2, results_spb!$1:$1, 0)) = 0,
   "...",
   INDEX(results_spb!$A$1:$Y$100,
         MATCH(1, (results_spb!$A$1:$A$100 = table_summary!$B29) * (results_spb!$C$1:$C$100 = table_summary!H$1), 0),
         MATCH(table_summary!H$2, results_spb!$1:$1, 0)))</f>
        <v>-2.0419999999999998</v>
      </c>
      <c r="J29" s="12" cm="1">
        <f t="array" ref="J29">IF(INDEX(results_spb!$A$1:$Y$100,
          MATCH(1, (results_spb!$A$1:$A$100 = table_summary!$B29) * (results_spb!$C$1:$C$100 = table_summary!J$1), 0),
          MATCH(table_summary!J$2, results_spb!$1:$1, 0)) = 0,
   "...",
   INDEX(results_spb!$A$1:$Y$100,
         MATCH(1, (results_spb!$A$1:$A$100 = table_summary!$B29) * (results_spb!$C$1:$C$100 = table_summary!J$1), 0),
         MATCH(table_summary!J$2, results_spb!$1:$1, 0)))</f>
        <v>-0.626</v>
      </c>
      <c r="K29" s="12" cm="1">
        <f t="array" ref="K29">IF(INDEX(results_spb!$A$1:$Y$100,
          MATCH(1, (results_spb!$A$1:$A$100 = table_summary!$B29) * (results_spb!$C$1:$C$100 = table_summary!K$1), 0),
          MATCH(table_summary!K$2, results_spb!$1:$1, 0)) = 0,
   "...",
   INDEX(results_spb!$A$1:$Y$100,
         MATCH(1, (results_spb!$A$1:$A$100 = table_summary!$B29) * (results_spb!$C$1:$C$100 = table_summary!K$1), 0),
         MATCH(table_summary!K$2, results_spb!$1:$1, 0)))</f>
        <v>-0.59699999999999998</v>
      </c>
      <c r="M29" s="12" t="str" cm="1">
        <f t="array" ref="M29">IF(INDEX(results_spb!$A$1:$Y$100,
          MATCH(1, (results_spb!$A$1:$A$100 = table_summary!$B29) * (results_spb!$C$1:$C$100 = table_summary!M$1), 0),
          MATCH(table_summary!M$2, results_spb!$1:$1, 0)) = 0,
   "...",
   INDEX(results_spb!$A$1:$Y$100,
         MATCH(1, (results_spb!$A$1:$A$100 = table_summary!$B29) * (results_spb!$C$1:$C$100 = table_summary!M$1), 0),
         MATCH(table_summary!M$2, results_spb!$1:$1, 0)))</f>
        <v>...</v>
      </c>
      <c r="N29" s="12" t="str" cm="1">
        <f t="array" ref="N29">IF(INDEX(results_spb!$A$1:$Y$100,
          MATCH(1, (results_spb!$A$1:$A$100 = table_summary!$B29) * (results_spb!$C$1:$C$100 = table_summary!N$1), 0),
          MATCH(table_summary!N$2, results_spb!$1:$1, 0)) = 0,
   "...",
   INDEX(results_spb!$A$1:$Y$100,
         MATCH(1, (results_spb!$A$1:$A$100 = table_summary!$B29) * (results_spb!$C$1:$C$100 = table_summary!N$1), 0),
         MATCH(table_summary!N$2, results_spb!$1:$1, 0)))</f>
        <v>...</v>
      </c>
      <c r="O29" s="14"/>
      <c r="P29" s="12" t="str" cm="1">
        <f t="array" ref="P29">IF(INDEX(results_spb!$A$1:$Y$100,
          MATCH(1, (results_spb!$A$1:$A$100 = table_summary!$B29) * (results_spb!$C$1:$C$100 = table_summary!P$1), 0),
          MATCH(table_summary!P$2, results_spb!$1:$1, 0)) = 0,
   "...",
   INDEX(results_spb!$A$1:$Y$100,
         MATCH(1, (results_spb!$A$1:$A$100 = table_summary!$B29) * (results_spb!$C$1:$C$100 = table_summary!P$1), 0),
         MATCH(table_summary!P$2, results_spb!$1:$1, 0)))</f>
        <v>...</v>
      </c>
      <c r="Q29" s="12" t="str" cm="1">
        <f t="array" ref="Q29">IF(INDEX(results_spb!$A$1:$Y$100,
          MATCH(1, (results_spb!$A$1:$A$100 = table_summary!$B29) * (results_spb!$C$1:$C$100 = table_summary!Q$1), 0),
          MATCH(table_summary!Q$2, results_spb!$1:$1, 0)) = 0,
   "...",
   INDEX(results_spb!$A$1:$Y$100,
         MATCH(1, (results_spb!$A$1:$A$100 = table_summary!$B29) * (results_spb!$C$1:$C$100 = table_summary!Q$1), 0),
         MATCH(table_summary!Q$2, results_spb!$1:$1, 0)))</f>
        <v>...</v>
      </c>
      <c r="R29" s="14"/>
      <c r="S29" s="12" cm="1">
        <f t="array" ref="S29">IF(INDEX(results_spb!$A$1:$Y$100,
          MATCH(1, (results_spb!$A$1:$A$100 = table_summary!$B29) * (results_spb!$C$1:$C$100 = table_summary!S$1), 0),
          MATCH(table_summary!S$2, results_spb!$1:$1, 0)) = 0,
   "...",
   INDEX(results_spb!$A$1:$Y$100,
         MATCH(1, (results_spb!$A$1:$A$100 = table_summary!$B29) * (results_spb!$C$1:$C$100 = table_summary!S$1), 0),
         MATCH(table_summary!S$2, results_spb!$1:$1, 0)))</f>
        <v>-0.626</v>
      </c>
      <c r="T29" s="12" cm="1">
        <f t="array" ref="T29">IF(INDEX(results_spb!$A$1:$Y$100,
          MATCH(1, (results_spb!$A$1:$A$100 = table_summary!$B29) * (results_spb!$C$1:$C$100 = table_summary!T$1), 0),
          MATCH(table_summary!T$2, results_spb!$1:$1, 0)) = 0,
   "...",
   INDEX(results_spb!$A$1:$Y$100,
         MATCH(1, (results_spb!$A$1:$A$100 = table_summary!$B29) * (results_spb!$C$1:$C$100 = table_summary!T$1), 0),
         MATCH(table_summary!T$2, results_spb!$1:$1, 0)))</f>
        <v>-0.59699999999999998</v>
      </c>
      <c r="U29" s="14"/>
      <c r="V29" s="3">
        <f t="shared" si="0"/>
        <v>-0.78869999999999996</v>
      </c>
      <c r="W29" s="3">
        <f t="shared" si="1"/>
        <v>-0.44654285714285713</v>
      </c>
    </row>
    <row r="30" spans="1:23">
      <c r="A30" s="25" t="s">
        <v>38</v>
      </c>
      <c r="B30" s="22" t="str">
        <f>INDEX(Table1[#All], MATCH($A30, ameco_2024_data!$A:$A, 0), MATCH(B$2, ameco_2024_data!$1:$1, 0))</f>
        <v>Lithuania</v>
      </c>
      <c r="C30" s="15">
        <f>INDEX(Table1[#All], MATCH($A30, ameco_2024_data!$A:$A, 0), MATCH(C$2, ameco_2024_data!$1:$1, 0))</f>
        <v>38.924900000000001</v>
      </c>
      <c r="D30" s="12">
        <f>INDEX(Table1[#All], MATCH($A30, ameco_2024_data!$A:$A, 0), MATCH(D$2, ameco_2024_data!$1:$1, 0))</f>
        <v>-1.8301745</v>
      </c>
      <c r="E30" s="12">
        <f>INDEX(Table1[#All], MATCH($A30, ameco_2024_data!$A:$A, 0), MATCH(E$2, ameco_2024_data!$1:$1, 0))</f>
        <v>-4.02E-2</v>
      </c>
      <c r="G30" s="12" cm="1">
        <f t="array" ref="G30">IF(INDEX(results_spb!$A$1:$Y$100,
          MATCH(1, (results_spb!$A$1:$A$100 = table_summary!$B30) * (results_spb!$C$1:$C$100 = table_summary!G$1), 0),
          MATCH(table_summary!G$2, results_spb!$1:$1, 0)) = 0,
   "...",
   INDEX(results_spb!$A$1:$Y$100,
         MATCH(1, (results_spb!$A$1:$A$100 = table_summary!$B30) * (results_spb!$C$1:$C$100 = table_summary!G$1), 0),
         MATCH(table_summary!G$2, results_spb!$1:$1, 0)))</f>
        <v>-0.76500000000000001</v>
      </c>
      <c r="H30" s="12" cm="1">
        <f t="array" ref="H30">IF(INDEX(results_spb!$A$1:$Y$100,
          MATCH(1, (results_spb!$A$1:$A$100 = table_summary!$B30) * (results_spb!$C$1:$C$100 = table_summary!H$1), 0),
          MATCH(table_summary!H$2, results_spb!$1:$1, 0)) = 0,
   "...",
   INDEX(results_spb!$A$1:$Y$100,
         MATCH(1, (results_spb!$A$1:$A$100 = table_summary!$B30) * (results_spb!$C$1:$C$100 = table_summary!H$1), 0),
         MATCH(table_summary!H$2, results_spb!$1:$1, 0)))</f>
        <v>-0.77300000000000002</v>
      </c>
      <c r="J30" s="12" cm="1">
        <f t="array" ref="J30">IF(INDEX(results_spb!$A$1:$Y$100,
          MATCH(1, (results_spb!$A$1:$A$100 = table_summary!$B30) * (results_spb!$C$1:$C$100 = table_summary!J$1), 0),
          MATCH(table_summary!J$2, results_spb!$1:$1, 0)) = 0,
   "...",
   INDEX(results_spb!$A$1:$Y$100,
         MATCH(1, (results_spb!$A$1:$A$100 = table_summary!$B30) * (results_spb!$C$1:$C$100 = table_summary!J$1), 0),
         MATCH(table_summary!J$2, results_spb!$1:$1, 0)))</f>
        <v>1.4999999999999999E-2</v>
      </c>
      <c r="K30" s="12" cm="1">
        <f t="array" ref="K30">IF(INDEX(results_spb!$A$1:$Y$100,
          MATCH(1, (results_spb!$A$1:$A$100 = table_summary!$B30) * (results_spb!$C$1:$C$100 = table_summary!K$1), 0),
          MATCH(table_summary!K$2, results_spb!$1:$1, 0)) = 0,
   "...",
   INDEX(results_spb!$A$1:$Y$100,
         MATCH(1, (results_spb!$A$1:$A$100 = table_summary!$B30) * (results_spb!$C$1:$C$100 = table_summary!K$1), 0),
         MATCH(table_summary!K$2, results_spb!$1:$1, 0)))</f>
        <v>-0.155</v>
      </c>
      <c r="M30" s="12" t="str" cm="1">
        <f t="array" ref="M30">IF(INDEX(results_spb!$A$1:$Y$100,
          MATCH(1, (results_spb!$A$1:$A$100 = table_summary!$B30) * (results_spb!$C$1:$C$100 = table_summary!M$1), 0),
          MATCH(table_summary!M$2, results_spb!$1:$1, 0)) = 0,
   "...",
   INDEX(results_spb!$A$1:$Y$100,
         MATCH(1, (results_spb!$A$1:$A$100 = table_summary!$B30) * (results_spb!$C$1:$C$100 = table_summary!M$1), 0),
         MATCH(table_summary!M$2, results_spb!$1:$1, 0)))</f>
        <v>...</v>
      </c>
      <c r="N30" s="12" t="str" cm="1">
        <f t="array" ref="N30">IF(INDEX(results_spb!$A$1:$Y$100,
          MATCH(1, (results_spb!$A$1:$A$100 = table_summary!$B30) * (results_spb!$C$1:$C$100 = table_summary!N$1), 0),
          MATCH(table_summary!N$2, results_spb!$1:$1, 0)) = 0,
   "...",
   INDEX(results_spb!$A$1:$Y$100,
         MATCH(1, (results_spb!$A$1:$A$100 = table_summary!$B30) * (results_spb!$C$1:$C$100 = table_summary!N$1), 0),
         MATCH(table_summary!N$2, results_spb!$1:$1, 0)))</f>
        <v>...</v>
      </c>
      <c r="O30" s="14"/>
      <c r="P30" s="12" t="str" cm="1">
        <f t="array" ref="P30">IF(INDEX(results_spb!$A$1:$Y$100,
          MATCH(1, (results_spb!$A$1:$A$100 = table_summary!$B30) * (results_spb!$C$1:$C$100 = table_summary!P$1), 0),
          MATCH(table_summary!P$2, results_spb!$1:$1, 0)) = 0,
   "...",
   INDEX(results_spb!$A$1:$Y$100,
         MATCH(1, (results_spb!$A$1:$A$100 = table_summary!$B30) * (results_spb!$C$1:$C$100 = table_summary!P$1), 0),
         MATCH(table_summary!P$2, results_spb!$1:$1, 0)))</f>
        <v>...</v>
      </c>
      <c r="Q30" s="12" t="str" cm="1">
        <f t="array" ref="Q30">IF(INDEX(results_spb!$A$1:$Y$100,
          MATCH(1, (results_spb!$A$1:$A$100 = table_summary!$B30) * (results_spb!$C$1:$C$100 = table_summary!Q$1), 0),
          MATCH(table_summary!Q$2, results_spb!$1:$1, 0)) = 0,
   "...",
   INDEX(results_spb!$A$1:$Y$100,
         MATCH(1, (results_spb!$A$1:$A$100 = table_summary!$B30) * (results_spb!$C$1:$C$100 = table_summary!Q$1), 0),
         MATCH(table_summary!Q$2, results_spb!$1:$1, 0)))</f>
        <v>...</v>
      </c>
      <c r="R30" s="14"/>
      <c r="S30" s="12" cm="1">
        <f t="array" ref="S30">IF(INDEX(results_spb!$A$1:$Y$100,
          MATCH(1, (results_spb!$A$1:$A$100 = table_summary!$B30) * (results_spb!$C$1:$C$100 = table_summary!S$1), 0),
          MATCH(table_summary!S$2, results_spb!$1:$1, 0)) = 0,
   "...",
   INDEX(results_spb!$A$1:$Y$100,
         MATCH(1, (results_spb!$A$1:$A$100 = table_summary!$B30) * (results_spb!$C$1:$C$100 = table_summary!S$1), 0),
         MATCH(table_summary!S$2, results_spb!$1:$1, 0)))</f>
        <v>1.4999999999999999E-2</v>
      </c>
      <c r="T30" s="12" cm="1">
        <f t="array" ref="T30">IF(INDEX(results_spb!$A$1:$Y$100,
          MATCH(1, (results_spb!$A$1:$A$100 = table_summary!$B30) * (results_spb!$C$1:$C$100 = table_summary!T$1), 0),
          MATCH(table_summary!T$2, results_spb!$1:$1, 0)) = 0,
   "...",
   INDEX(results_spb!$A$1:$Y$100,
         MATCH(1, (results_spb!$A$1:$A$100 = table_summary!$B30) * (results_spb!$C$1:$C$100 = table_summary!T$1), 0),
         MATCH(table_summary!T$2, results_spb!$1:$1, 0)))</f>
        <v>-0.155</v>
      </c>
      <c r="U30" s="14"/>
      <c r="V30" s="3">
        <f t="shared" si="0"/>
        <v>1.38E-2</v>
      </c>
      <c r="W30" s="3">
        <f t="shared" si="1"/>
        <v>-1.6400000000000001E-2</v>
      </c>
    </row>
    <row r="31" spans="1:23">
      <c r="A31" s="25" t="s">
        <v>41</v>
      </c>
      <c r="B31" s="22" t="str">
        <f>INDEX(Table1[#All], MATCH($A31, ameco_2024_data!$A:$A, 0), MATCH(B$2, ameco_2024_data!$1:$1, 0))</f>
        <v>Sweden</v>
      </c>
      <c r="C31" s="15">
        <f>INDEX(Table1[#All], MATCH($A31, ameco_2024_data!$A:$A, 0), MATCH(C$2, ameco_2024_data!$1:$1, 0))</f>
        <v>31.952200000000001</v>
      </c>
      <c r="D31" s="12">
        <f>INDEX(Table1[#All], MATCH($A31, ameco_2024_data!$A:$A, 0), MATCH(D$2, ameco_2024_data!$1:$1, 0))</f>
        <v>-1.4251468</v>
      </c>
      <c r="E31" s="12">
        <f>INDEX(Table1[#All], MATCH($A31, ameco_2024_data!$A:$A, 0), MATCH(E$2, ameco_2024_data!$1:$1, 0))</f>
        <v>0.69279999999999997</v>
      </c>
      <c r="G31" s="12" cm="1">
        <f t="array" ref="G31">IF(INDEX(results_spb!$A$1:$Y$100,
          MATCH(1, (results_spb!$A$1:$A$100 = table_summary!$B31) * (results_spb!$C$1:$C$100 = table_summary!G$1), 0),
          MATCH(table_summary!G$2, results_spb!$1:$1, 0)) = 0,
   "...",
   INDEX(results_spb!$A$1:$Y$100,
         MATCH(1, (results_spb!$A$1:$A$100 = table_summary!$B31) * (results_spb!$C$1:$C$100 = table_summary!G$1), 0),
         MATCH(table_summary!G$2, results_spb!$1:$1, 0)))</f>
        <v>-2.3170000000000002</v>
      </c>
      <c r="H31" s="12" cm="1">
        <f t="array" ref="H31">IF(INDEX(results_spb!$A$1:$Y$100,
          MATCH(1, (results_spb!$A$1:$A$100 = table_summary!$B31) * (results_spb!$C$1:$C$100 = table_summary!H$1), 0),
          MATCH(table_summary!H$2, results_spb!$1:$1, 0)) = 0,
   "...",
   INDEX(results_spb!$A$1:$Y$100,
         MATCH(1, (results_spb!$A$1:$A$100 = table_summary!$B31) * (results_spb!$C$1:$C$100 = table_summary!H$1), 0),
         MATCH(table_summary!H$2, results_spb!$1:$1, 0)))</f>
        <v>-2.4769999999999999</v>
      </c>
      <c r="J31" s="12" cm="1">
        <f t="array" ref="J31">IF(INDEX(results_spb!$A$1:$Y$100,
          MATCH(1, (results_spb!$A$1:$A$100 = table_summary!$B31) * (results_spb!$C$1:$C$100 = table_summary!J$1), 0),
          MATCH(table_summary!J$2, results_spb!$1:$1, 0)) = 0,
   "...",
   INDEX(results_spb!$A$1:$Y$100,
         MATCH(1, (results_spb!$A$1:$A$100 = table_summary!$B31) * (results_spb!$C$1:$C$100 = table_summary!J$1), 0),
         MATCH(table_summary!J$2, results_spb!$1:$1, 0)))</f>
        <v>-1.0760000000000001</v>
      </c>
      <c r="K31" s="12" cm="1">
        <f t="array" ref="K31">IF(INDEX(results_spb!$A$1:$Y$100,
          MATCH(1, (results_spb!$A$1:$A$100 = table_summary!$B31) * (results_spb!$C$1:$C$100 = table_summary!K$1), 0),
          MATCH(table_summary!K$2, results_spb!$1:$1, 0)) = 0,
   "...",
   INDEX(results_spb!$A$1:$Y$100,
         MATCH(1, (results_spb!$A$1:$A$100 = table_summary!$B31) * (results_spb!$C$1:$C$100 = table_summary!K$1), 0),
         MATCH(table_summary!K$2, results_spb!$1:$1, 0)))</f>
        <v>-1.661</v>
      </c>
      <c r="M31" s="12" t="str" cm="1">
        <f t="array" ref="M31">IF(INDEX(results_spb!$A$1:$Y$100,
          MATCH(1, (results_spb!$A$1:$A$100 = table_summary!$B31) * (results_spb!$C$1:$C$100 = table_summary!M$1), 0),
          MATCH(table_summary!M$2, results_spb!$1:$1, 0)) = 0,
   "...",
   INDEX(results_spb!$A$1:$Y$100,
         MATCH(1, (results_spb!$A$1:$A$100 = table_summary!$B31) * (results_spb!$C$1:$C$100 = table_summary!M$1), 0),
         MATCH(table_summary!M$2, results_spb!$1:$1, 0)))</f>
        <v>...</v>
      </c>
      <c r="N31" s="12" t="str" cm="1">
        <f t="array" ref="N31">IF(INDEX(results_spb!$A$1:$Y$100,
          MATCH(1, (results_spb!$A$1:$A$100 = table_summary!$B31) * (results_spb!$C$1:$C$100 = table_summary!N$1), 0),
          MATCH(table_summary!N$2, results_spb!$1:$1, 0)) = 0,
   "...",
   INDEX(results_spb!$A$1:$Y$100,
         MATCH(1, (results_spb!$A$1:$A$100 = table_summary!$B31) * (results_spb!$C$1:$C$100 = table_summary!N$1), 0),
         MATCH(table_summary!N$2, results_spb!$1:$1, 0)))</f>
        <v>...</v>
      </c>
      <c r="O31" s="14"/>
      <c r="P31" s="12" t="str" cm="1">
        <f t="array" ref="P31">IF(INDEX(results_spb!$A$1:$Y$100,
          MATCH(1, (results_spb!$A$1:$A$100 = table_summary!$B31) * (results_spb!$C$1:$C$100 = table_summary!P$1), 0),
          MATCH(table_summary!P$2, results_spb!$1:$1, 0)) = 0,
   "...",
   INDEX(results_spb!$A$1:$Y$100,
         MATCH(1, (results_spb!$A$1:$A$100 = table_summary!$B31) * (results_spb!$C$1:$C$100 = table_summary!P$1), 0),
         MATCH(table_summary!P$2, results_spb!$1:$1, 0)))</f>
        <v>...</v>
      </c>
      <c r="Q31" s="12" t="str" cm="1">
        <f t="array" ref="Q31">IF(INDEX(results_spb!$A$1:$Y$100,
          MATCH(1, (results_spb!$A$1:$A$100 = table_summary!$B31) * (results_spb!$C$1:$C$100 = table_summary!Q$1), 0),
          MATCH(table_summary!Q$2, results_spb!$1:$1, 0)) = 0,
   "...",
   INDEX(results_spb!$A$1:$Y$100,
         MATCH(1, (results_spb!$A$1:$A$100 = table_summary!$B31) * (results_spb!$C$1:$C$100 = table_summary!Q$1), 0),
         MATCH(table_summary!Q$2, results_spb!$1:$1, 0)))</f>
        <v>...</v>
      </c>
      <c r="R31" s="14"/>
      <c r="S31" s="12" cm="1">
        <f t="array" ref="S31">IF(INDEX(results_spb!$A$1:$Y$100,
          MATCH(1, (results_spb!$A$1:$A$100 = table_summary!$B31) * (results_spb!$C$1:$C$100 = table_summary!S$1), 0),
          MATCH(table_summary!S$2, results_spb!$1:$1, 0)) = 0,
   "...",
   INDEX(results_spb!$A$1:$Y$100,
         MATCH(1, (results_spb!$A$1:$A$100 = table_summary!$B31) * (results_spb!$C$1:$C$100 = table_summary!S$1), 0),
         MATCH(table_summary!S$2, results_spb!$1:$1, 0)))</f>
        <v>-1.0760000000000001</v>
      </c>
      <c r="T31" s="12" cm="1">
        <f t="array" ref="T31">IF(INDEX(results_spb!$A$1:$Y$100,
          MATCH(1, (results_spb!$A$1:$A$100 = table_summary!$B31) * (results_spb!$C$1:$C$100 = table_summary!T$1), 0),
          MATCH(table_summary!T$2, results_spb!$1:$1, 0)) = 0,
   "...",
   INDEX(results_spb!$A$1:$Y$100,
         MATCH(1, (results_spb!$A$1:$A$100 = table_summary!$B31) * (results_spb!$C$1:$C$100 = table_summary!T$1), 0),
         MATCH(table_summary!T$2, results_spb!$1:$1, 0)))</f>
        <v>-1.661</v>
      </c>
      <c r="U31" s="14"/>
      <c r="V31" s="3">
        <f t="shared" si="0"/>
        <v>-0.44220000000000004</v>
      </c>
      <c r="W31" s="3">
        <f t="shared" si="1"/>
        <v>-0.33625714285714287</v>
      </c>
    </row>
    <row r="32" spans="1:23">
      <c r="A32" s="25" t="s">
        <v>71</v>
      </c>
      <c r="B32" s="22" t="str">
        <f>INDEX(Table1[#All], MATCH($A32, ameco_2024_data!$A:$A, 0), MATCH(B$2, ameco_2024_data!$1:$1, 0))</f>
        <v>Luxembourg</v>
      </c>
      <c r="C32" s="15">
        <f>INDEX(Table1[#All], MATCH($A32, ameco_2024_data!$A:$A, 0), MATCH(C$2, ameco_2024_data!$1:$1, 0))</f>
        <v>27.071300000000001</v>
      </c>
      <c r="D32" s="12">
        <f>INDEX(Table1[#All], MATCH($A32, ameco_2024_data!$A:$A, 0), MATCH(D$2, ameco_2024_data!$1:$1, 0))</f>
        <v>-1.6989411000000001</v>
      </c>
      <c r="E32" s="12">
        <f>INDEX(Table1[#All], MATCH($A32, ameco_2024_data!$A:$A, 0), MATCH(E$2, ameco_2024_data!$1:$1, 0))</f>
        <v>9.7699999999999995E-2</v>
      </c>
      <c r="G32" s="12" cm="1">
        <f t="array" ref="G32">IF(INDEX(results_spb!$A$1:$Y$100,
          MATCH(1, (results_spb!$A$1:$A$100 = table_summary!$B32) * (results_spb!$C$1:$C$100 = table_summary!G$1), 0),
          MATCH(table_summary!G$2, results_spb!$1:$1, 0)) = 0,
   "...",
   INDEX(results_spb!$A$1:$Y$100,
         MATCH(1, (results_spb!$A$1:$A$100 = table_summary!$B32) * (results_spb!$C$1:$C$100 = table_summary!G$1), 0),
         MATCH(table_summary!G$2, results_spb!$1:$1, 0)))</f>
        <v>-3.0579999999999998</v>
      </c>
      <c r="H32" s="12" cm="1">
        <f t="array" ref="H32">IF(INDEX(results_spb!$A$1:$Y$100,
          MATCH(1, (results_spb!$A$1:$A$100 = table_summary!$B32) * (results_spb!$C$1:$C$100 = table_summary!H$1), 0),
          MATCH(table_summary!H$2, results_spb!$1:$1, 0)) = 0,
   "...",
   INDEX(results_spb!$A$1:$Y$100,
         MATCH(1, (results_spb!$A$1:$A$100 = table_summary!$B32) * (results_spb!$C$1:$C$100 = table_summary!H$1), 0),
         MATCH(table_summary!H$2, results_spb!$1:$1, 0)))</f>
        <v>-3.0369999999999999</v>
      </c>
      <c r="J32" s="12" cm="1">
        <f t="array" ref="J32">IF(INDEX(results_spb!$A$1:$Y$100,
          MATCH(1, (results_spb!$A$1:$A$100 = table_summary!$B32) * (results_spb!$C$1:$C$100 = table_summary!J$1), 0),
          MATCH(table_summary!J$2, results_spb!$1:$1, 0)) = 0,
   "...",
   INDEX(results_spb!$A$1:$Y$100,
         MATCH(1, (results_spb!$A$1:$A$100 = table_summary!$B32) * (results_spb!$C$1:$C$100 = table_summary!J$1), 0),
         MATCH(table_summary!J$2, results_spb!$1:$1, 0)))</f>
        <v>-0.75</v>
      </c>
      <c r="K32" s="12" cm="1">
        <f t="array" ref="K32">IF(INDEX(results_spb!$A$1:$Y$100,
          MATCH(1, (results_spb!$A$1:$A$100 = table_summary!$B32) * (results_spb!$C$1:$C$100 = table_summary!K$1), 0),
          MATCH(table_summary!K$2, results_spb!$1:$1, 0)) = 0,
   "...",
   INDEX(results_spb!$A$1:$Y$100,
         MATCH(1, (results_spb!$A$1:$A$100 = table_summary!$B32) * (results_spb!$C$1:$C$100 = table_summary!K$1), 0),
         MATCH(table_summary!K$2, results_spb!$1:$1, 0)))</f>
        <v>-0.83799999999999997</v>
      </c>
      <c r="M32" s="12" t="str" cm="1">
        <f t="array" ref="M32">IF(INDEX(results_spb!$A$1:$Y$100,
          MATCH(1, (results_spb!$A$1:$A$100 = table_summary!$B32) * (results_spb!$C$1:$C$100 = table_summary!M$1), 0),
          MATCH(table_summary!M$2, results_spb!$1:$1, 0)) = 0,
   "...",
   INDEX(results_spb!$A$1:$Y$100,
         MATCH(1, (results_spb!$A$1:$A$100 = table_summary!$B32) * (results_spb!$C$1:$C$100 = table_summary!M$1), 0),
         MATCH(table_summary!M$2, results_spb!$1:$1, 0)))</f>
        <v>...</v>
      </c>
      <c r="N32" s="12" t="str" cm="1">
        <f t="array" ref="N32">IF(INDEX(results_spb!$A$1:$Y$100,
          MATCH(1, (results_spb!$A$1:$A$100 = table_summary!$B32) * (results_spb!$C$1:$C$100 = table_summary!N$1), 0),
          MATCH(table_summary!N$2, results_spb!$1:$1, 0)) = 0,
   "...",
   INDEX(results_spb!$A$1:$Y$100,
         MATCH(1, (results_spb!$A$1:$A$100 = table_summary!$B32) * (results_spb!$C$1:$C$100 = table_summary!N$1), 0),
         MATCH(table_summary!N$2, results_spb!$1:$1, 0)))</f>
        <v>...</v>
      </c>
      <c r="O32" s="14"/>
      <c r="P32" s="12" t="str" cm="1">
        <f t="array" ref="P32">IF(INDEX(results_spb!$A$1:$Y$100,
          MATCH(1, (results_spb!$A$1:$A$100 = table_summary!$B32) * (results_spb!$C$1:$C$100 = table_summary!P$1), 0),
          MATCH(table_summary!P$2, results_spb!$1:$1, 0)) = 0,
   "...",
   INDEX(results_spb!$A$1:$Y$100,
         MATCH(1, (results_spb!$A$1:$A$100 = table_summary!$B32) * (results_spb!$C$1:$C$100 = table_summary!P$1), 0),
         MATCH(table_summary!P$2, results_spb!$1:$1, 0)))</f>
        <v>...</v>
      </c>
      <c r="Q32" s="12" t="str" cm="1">
        <f t="array" ref="Q32">IF(INDEX(results_spb!$A$1:$Y$100,
          MATCH(1, (results_spb!$A$1:$A$100 = table_summary!$B32) * (results_spb!$C$1:$C$100 = table_summary!Q$1), 0),
          MATCH(table_summary!Q$2, results_spb!$1:$1, 0)) = 0,
   "...",
   INDEX(results_spb!$A$1:$Y$100,
         MATCH(1, (results_spb!$A$1:$A$100 = table_summary!$B32) * (results_spb!$C$1:$C$100 = table_summary!Q$1), 0),
         MATCH(table_summary!Q$2, results_spb!$1:$1, 0)))</f>
        <v>...</v>
      </c>
      <c r="R32" s="14"/>
      <c r="S32" s="12" cm="1">
        <f t="array" ref="S32">IF(INDEX(results_spb!$A$1:$Y$100,
          MATCH(1, (results_spb!$A$1:$A$100 = table_summary!$B32) * (results_spb!$C$1:$C$100 = table_summary!S$1), 0),
          MATCH(table_summary!S$2, results_spb!$1:$1, 0)) = 0,
   "...",
   INDEX(results_spb!$A$1:$Y$100,
         MATCH(1, (results_spb!$A$1:$A$100 = table_summary!$B32) * (results_spb!$C$1:$C$100 = table_summary!S$1), 0),
         MATCH(table_summary!S$2, results_spb!$1:$1, 0)))</f>
        <v>-0.75</v>
      </c>
      <c r="T32" s="12" cm="1">
        <f t="array" ref="T32">IF(INDEX(results_spb!$A$1:$Y$100,
          MATCH(1, (results_spb!$A$1:$A$100 = table_summary!$B32) * (results_spb!$C$1:$C$100 = table_summary!T$1), 0),
          MATCH(table_summary!T$2, results_spb!$1:$1, 0)) = 0,
   "...",
   INDEX(results_spb!$A$1:$Y$100,
         MATCH(1, (results_spb!$A$1:$A$100 = table_summary!$B32) * (results_spb!$C$1:$C$100 = table_summary!T$1), 0),
         MATCH(table_summary!T$2, results_spb!$1:$1, 0)))</f>
        <v>-0.83799999999999997</v>
      </c>
      <c r="U32" s="14"/>
      <c r="V32" s="3">
        <f t="shared" si="0"/>
        <v>-0.211925</v>
      </c>
      <c r="W32" s="3">
        <f t="shared" si="1"/>
        <v>-0.13367142857142858</v>
      </c>
    </row>
    <row r="33" spans="1:24">
      <c r="A33" s="25" t="s">
        <v>36</v>
      </c>
      <c r="B33" s="22" t="str">
        <f>INDEX(Table1[#All], MATCH($A33, ameco_2024_data!$A:$A, 0), MATCH(B$2, ameco_2024_data!$1:$1, 0))</f>
        <v>Denmark</v>
      </c>
      <c r="C33" s="15">
        <f>INDEX(Table1[#All], MATCH($A33, ameco_2024_data!$A:$A, 0), MATCH(C$2, ameco_2024_data!$1:$1, 0))</f>
        <v>26.5108</v>
      </c>
      <c r="D33" s="12">
        <f>INDEX(Table1[#All], MATCH($A33, ameco_2024_data!$A:$A, 0), MATCH(D$2, ameco_2024_data!$1:$1, 0))</f>
        <v>2.4379778999999999</v>
      </c>
      <c r="E33" s="12">
        <f>INDEX(Table1[#All], MATCH($A33, ameco_2024_data!$A:$A, 0), MATCH(E$2, ameco_2024_data!$1:$1, 0))</f>
        <v>2.9142999999999999</v>
      </c>
      <c r="G33" s="12" cm="1">
        <f t="array" ref="G33">IF(INDEX(results_spb!$A$1:$Y$100,
          MATCH(1, (results_spb!$A$1:$A$100 = table_summary!$B33) * (results_spb!$C$1:$C$100 = table_summary!G$1), 0),
          MATCH(table_summary!G$2, results_spb!$1:$1, 0)) = 0,
   "...",
   INDEX(results_spb!$A$1:$Y$100,
         MATCH(1, (results_spb!$A$1:$A$100 = table_summary!$B33) * (results_spb!$C$1:$C$100 = table_summary!G$1), 0),
         MATCH(table_summary!G$2, results_spb!$1:$1, 0)))</f>
        <v>-2.9159999999999999</v>
      </c>
      <c r="H33" s="12" cm="1">
        <f t="array" ref="H33">IF(INDEX(results_spb!$A$1:$Y$100,
          MATCH(1, (results_spb!$A$1:$A$100 = table_summary!$B33) * (results_spb!$C$1:$C$100 = table_summary!H$1), 0),
          MATCH(table_summary!H$2, results_spb!$1:$1, 0)) = 0,
   "...",
   INDEX(results_spb!$A$1:$Y$100,
         MATCH(1, (results_spb!$A$1:$A$100 = table_summary!$B33) * (results_spb!$C$1:$C$100 = table_summary!H$1), 0),
         MATCH(table_summary!H$2, results_spb!$1:$1, 0)))</f>
        <v>-3.1469999999999998</v>
      </c>
      <c r="J33" s="12" cm="1">
        <f t="array" ref="J33">IF(INDEX(results_spb!$A$1:$Y$100,
          MATCH(1, (results_spb!$A$1:$A$100 = table_summary!$B33) * (results_spb!$C$1:$C$100 = table_summary!J$1), 0),
          MATCH(table_summary!J$2, results_spb!$1:$1, 0)) = 0,
   "...",
   INDEX(results_spb!$A$1:$Y$100,
         MATCH(1, (results_spb!$A$1:$A$100 = table_summary!$B33) * (results_spb!$C$1:$C$100 = table_summary!J$1), 0),
         MATCH(table_summary!J$2, results_spb!$1:$1, 0)))</f>
        <v>-1.1930000000000001</v>
      </c>
      <c r="K33" s="12" cm="1">
        <f t="array" ref="K33">IF(INDEX(results_spb!$A$1:$Y$100,
          MATCH(1, (results_spb!$A$1:$A$100 = table_summary!$B33) * (results_spb!$C$1:$C$100 = table_summary!K$1), 0),
          MATCH(table_summary!K$2, results_spb!$1:$1, 0)) = 0,
   "...",
   INDEX(results_spb!$A$1:$Y$100,
         MATCH(1, (results_spb!$A$1:$A$100 = table_summary!$B33) * (results_spb!$C$1:$C$100 = table_summary!K$1), 0),
         MATCH(table_summary!K$2, results_spb!$1:$1, 0)))</f>
        <v>-1.571</v>
      </c>
      <c r="M33" s="12" t="str" cm="1">
        <f t="array" ref="M33">IF(INDEX(results_spb!$A$1:$Y$100,
          MATCH(1, (results_spb!$A$1:$A$100 = table_summary!$B33) * (results_spb!$C$1:$C$100 = table_summary!M$1), 0),
          MATCH(table_summary!M$2, results_spb!$1:$1, 0)) = 0,
   "...",
   INDEX(results_spb!$A$1:$Y$100,
         MATCH(1, (results_spb!$A$1:$A$100 = table_summary!$B33) * (results_spb!$C$1:$C$100 = table_summary!M$1), 0),
         MATCH(table_summary!M$2, results_spb!$1:$1, 0)))</f>
        <v>...</v>
      </c>
      <c r="N33" s="12" t="str" cm="1">
        <f t="array" ref="N33">IF(INDEX(results_spb!$A$1:$Y$100,
          MATCH(1, (results_spb!$A$1:$A$100 = table_summary!$B33) * (results_spb!$C$1:$C$100 = table_summary!N$1), 0),
          MATCH(table_summary!N$2, results_spb!$1:$1, 0)) = 0,
   "...",
   INDEX(results_spb!$A$1:$Y$100,
         MATCH(1, (results_spb!$A$1:$A$100 = table_summary!$B33) * (results_spb!$C$1:$C$100 = table_summary!N$1), 0),
         MATCH(table_summary!N$2, results_spb!$1:$1, 0)))</f>
        <v>...</v>
      </c>
      <c r="O33" s="14"/>
      <c r="P33" s="12" t="str" cm="1">
        <f t="array" ref="P33">IF(INDEX(results_spb!$A$1:$Y$100,
          MATCH(1, (results_spb!$A$1:$A$100 = table_summary!$B33) * (results_spb!$C$1:$C$100 = table_summary!P$1), 0),
          MATCH(table_summary!P$2, results_spb!$1:$1, 0)) = 0,
   "...",
   INDEX(results_spb!$A$1:$Y$100,
         MATCH(1, (results_spb!$A$1:$A$100 = table_summary!$B33) * (results_spb!$C$1:$C$100 = table_summary!P$1), 0),
         MATCH(table_summary!P$2, results_spb!$1:$1, 0)))</f>
        <v>...</v>
      </c>
      <c r="Q33" s="12" t="str" cm="1">
        <f t="array" ref="Q33">IF(INDEX(results_spb!$A$1:$Y$100,
          MATCH(1, (results_spb!$A$1:$A$100 = table_summary!$B33) * (results_spb!$C$1:$C$100 = table_summary!Q$1), 0),
          MATCH(table_summary!Q$2, results_spb!$1:$1, 0)) = 0,
   "...",
   INDEX(results_spb!$A$1:$Y$100,
         MATCH(1, (results_spb!$A$1:$A$100 = table_summary!$B33) * (results_spb!$C$1:$C$100 = table_summary!Q$1), 0),
         MATCH(table_summary!Q$2, results_spb!$1:$1, 0)))</f>
        <v>...</v>
      </c>
      <c r="R33" s="14"/>
      <c r="S33" s="12" cm="1">
        <f t="array" ref="S33">IF(INDEX(results_spb!$A$1:$Y$100,
          MATCH(1, (results_spb!$A$1:$A$100 = table_summary!$B33) * (results_spb!$C$1:$C$100 = table_summary!S$1), 0),
          MATCH(table_summary!S$2, results_spb!$1:$1, 0)) = 0,
   "...",
   INDEX(results_spb!$A$1:$Y$100,
         MATCH(1, (results_spb!$A$1:$A$100 = table_summary!$B33) * (results_spb!$C$1:$C$100 = table_summary!S$1), 0),
         MATCH(table_summary!S$2, results_spb!$1:$1, 0)))</f>
        <v>-1.1930000000000001</v>
      </c>
      <c r="T33" s="12" cm="1">
        <f t="array" ref="T33">IF(INDEX(results_spb!$A$1:$Y$100,
          MATCH(1, (results_spb!$A$1:$A$100 = table_summary!$B33) * (results_spb!$C$1:$C$100 = table_summary!T$1), 0),
          MATCH(table_summary!T$2, results_spb!$1:$1, 0)) = 0,
   "...",
   INDEX(results_spb!$A$1:$Y$100,
         MATCH(1, (results_spb!$A$1:$A$100 = table_summary!$B33) * (results_spb!$C$1:$C$100 = table_summary!T$1), 0),
         MATCH(table_summary!T$2, results_spb!$1:$1, 0)))</f>
        <v>-1.571</v>
      </c>
      <c r="U33" s="14"/>
      <c r="V33" s="3">
        <f t="shared" si="0"/>
        <v>-1.0268250000000001</v>
      </c>
      <c r="W33" s="3">
        <f t="shared" si="1"/>
        <v>-0.6407571428571428</v>
      </c>
    </row>
    <row r="34" spans="1:24">
      <c r="A34" s="25" t="s">
        <v>32</v>
      </c>
      <c r="B34" s="22" t="str">
        <f>INDEX(Table1[#All], MATCH($A34, ameco_2024_data!$A:$A, 0), MATCH(B$2, ameco_2024_data!$1:$1, 0))</f>
        <v>Bulgaria</v>
      </c>
      <c r="C34" s="15">
        <f>INDEX(Table1[#All], MATCH($A34, ameco_2024_data!$A:$A, 0), MATCH(C$2, ameco_2024_data!$1:$1, 0))</f>
        <v>24.818000000000001</v>
      </c>
      <c r="D34" s="12">
        <f>INDEX(Table1[#All], MATCH($A34, ameco_2024_data!$A:$A, 0), MATCH(D$2, ameco_2024_data!$1:$1, 0))</f>
        <v>-2.7581267999999999</v>
      </c>
      <c r="E34" s="12">
        <f>INDEX(Table1[#All], MATCH($A34, ameco_2024_data!$A:$A, 0), MATCH(E$2, ameco_2024_data!$1:$1, 0))</f>
        <v>-2.3408000000000002</v>
      </c>
      <c r="G34" s="12" cm="1">
        <f t="array" ref="G34">IF(INDEX(results_spb!$A$1:$Y$100,
          MATCH(1, (results_spb!$A$1:$A$100 = table_summary!$B34) * (results_spb!$C$1:$C$100 = table_summary!G$1), 0),
          MATCH(table_summary!G$2, results_spb!$1:$1, 0)) = 0,
   "...",
   INDEX(results_spb!$A$1:$Y$100,
         MATCH(1, (results_spb!$A$1:$A$100 = table_summary!$B34) * (results_spb!$C$1:$C$100 = table_summary!G$1), 0),
         MATCH(table_summary!G$2, results_spb!$1:$1, 0)))</f>
        <v>-3.0289999999999999</v>
      </c>
      <c r="H34" s="12" cm="1">
        <f t="array" ref="H34">IF(INDEX(results_spb!$A$1:$Y$100,
          MATCH(1, (results_spb!$A$1:$A$100 = table_summary!$B34) * (results_spb!$C$1:$C$100 = table_summary!H$1), 0),
          MATCH(table_summary!H$2, results_spb!$1:$1, 0)) = 0,
   "...",
   INDEX(results_spb!$A$1:$Y$100,
         MATCH(1, (results_spb!$A$1:$A$100 = table_summary!$B34) * (results_spb!$C$1:$C$100 = table_summary!H$1), 0),
         MATCH(table_summary!H$2, results_spb!$1:$1, 0)))</f>
        <v>-2.3199999999999998</v>
      </c>
      <c r="J34" s="12" cm="1">
        <f t="array" ref="J34">IF(INDEX(results_spb!$A$1:$Y$100,
          MATCH(1, (results_spb!$A$1:$A$100 = table_summary!$B34) * (results_spb!$C$1:$C$100 = table_summary!J$1), 0),
          MATCH(table_summary!J$2, results_spb!$1:$1, 0)) = 0,
   "...",
   INDEX(results_spb!$A$1:$Y$100,
         MATCH(1, (results_spb!$A$1:$A$100 = table_summary!$B34) * (results_spb!$C$1:$C$100 = table_summary!J$1), 0),
         MATCH(table_summary!J$2, results_spb!$1:$1, 0)))</f>
        <v>-2.2029999999999998</v>
      </c>
      <c r="K34" s="12" cm="1">
        <f t="array" ref="K34">IF(INDEX(results_spb!$A$1:$Y$100,
          MATCH(1, (results_spb!$A$1:$A$100 = table_summary!$B34) * (results_spb!$C$1:$C$100 = table_summary!K$1), 0),
          MATCH(table_summary!K$2, results_spb!$1:$1, 0)) = 0,
   "...",
   INDEX(results_spb!$A$1:$Y$100,
         MATCH(1, (results_spb!$A$1:$A$100 = table_summary!$B34) * (results_spb!$C$1:$C$100 = table_summary!K$1), 0),
         MATCH(table_summary!K$2, results_spb!$1:$1, 0)))</f>
        <v>-1.792</v>
      </c>
      <c r="M34" s="12" t="str" cm="1">
        <f t="array" ref="M34">IF(INDEX(results_spb!$A$1:$Y$100,
          MATCH(1, (results_spb!$A$1:$A$100 = table_summary!$B34) * (results_spb!$C$1:$C$100 = table_summary!M$1), 0),
          MATCH(table_summary!M$2, results_spb!$1:$1, 0)) = 0,
   "...",
   INDEX(results_spb!$A$1:$Y$100,
         MATCH(1, (results_spb!$A$1:$A$100 = table_summary!$B34) * (results_spb!$C$1:$C$100 = table_summary!M$1), 0),
         MATCH(table_summary!M$2, results_spb!$1:$1, 0)))</f>
        <v>...</v>
      </c>
      <c r="N34" s="12" t="str" cm="1">
        <f t="array" ref="N34">IF(INDEX(results_spb!$A$1:$Y$100,
          MATCH(1, (results_spb!$A$1:$A$100 = table_summary!$B34) * (results_spb!$C$1:$C$100 = table_summary!N$1), 0),
          MATCH(table_summary!N$2, results_spb!$1:$1, 0)) = 0,
   "...",
   INDEX(results_spb!$A$1:$Y$100,
         MATCH(1, (results_spb!$A$1:$A$100 = table_summary!$B34) * (results_spb!$C$1:$C$100 = table_summary!N$1), 0),
         MATCH(table_summary!N$2, results_spb!$1:$1, 0)))</f>
        <v>...</v>
      </c>
      <c r="O34" s="14"/>
      <c r="P34" s="12" t="str" cm="1">
        <f t="array" ref="P34">IF(INDEX(results_spb!$A$1:$Y$100,
          MATCH(1, (results_spb!$A$1:$A$100 = table_summary!$B34) * (results_spb!$C$1:$C$100 = table_summary!P$1), 0),
          MATCH(table_summary!P$2, results_spb!$1:$1, 0)) = 0,
   "...",
   INDEX(results_spb!$A$1:$Y$100,
         MATCH(1, (results_spb!$A$1:$A$100 = table_summary!$B34) * (results_spb!$C$1:$C$100 = table_summary!P$1), 0),
         MATCH(table_summary!P$2, results_spb!$1:$1, 0)))</f>
        <v>...</v>
      </c>
      <c r="Q34" s="12" t="str" cm="1">
        <f t="array" ref="Q34">IF(INDEX(results_spb!$A$1:$Y$100,
          MATCH(1, (results_spb!$A$1:$A$100 = table_summary!$B34) * (results_spb!$C$1:$C$100 = table_summary!Q$1), 0),
          MATCH(table_summary!Q$2, results_spb!$1:$1, 0)) = 0,
   "...",
   INDEX(results_spb!$A$1:$Y$100,
         MATCH(1, (results_spb!$A$1:$A$100 = table_summary!$B34) * (results_spb!$C$1:$C$100 = table_summary!Q$1), 0),
         MATCH(table_summary!Q$2, results_spb!$1:$1, 0)))</f>
        <v>...</v>
      </c>
      <c r="R34" s="14"/>
      <c r="S34" s="12" cm="1">
        <f t="array" ref="S34">IF(INDEX(results_spb!$A$1:$Y$100,
          MATCH(1, (results_spb!$A$1:$A$100 = table_summary!$B34) * (results_spb!$C$1:$C$100 = table_summary!S$1), 0),
          MATCH(table_summary!S$2, results_spb!$1:$1, 0)) = 0,
   "...",
   INDEX(results_spb!$A$1:$Y$100,
         MATCH(1, (results_spb!$A$1:$A$100 = table_summary!$B34) * (results_spb!$C$1:$C$100 = table_summary!S$1), 0),
         MATCH(table_summary!S$2, results_spb!$1:$1, 0)))</f>
        <v>-2.2029999999999998</v>
      </c>
      <c r="T34" s="12" cm="1">
        <f t="array" ref="T34">IF(INDEX(results_spb!$A$1:$Y$100,
          MATCH(1, (results_spb!$A$1:$A$100 = table_summary!$B34) * (results_spb!$C$1:$C$100 = table_summary!T$1), 0),
          MATCH(table_summary!T$2, results_spb!$1:$1, 0)) = 0,
   "...",
   INDEX(results_spb!$A$1:$Y$100,
         MATCH(1, (results_spb!$A$1:$A$100 = table_summary!$B34) * (results_spb!$C$1:$C$100 = table_summary!T$1), 0),
         MATCH(table_summary!T$2, results_spb!$1:$1, 0)))</f>
        <v>-1.792</v>
      </c>
      <c r="U34" s="14"/>
      <c r="V34" s="3">
        <f t="shared" si="0"/>
        <v>3.4450000000000092E-2</v>
      </c>
      <c r="W34" s="3">
        <f t="shared" si="1"/>
        <v>7.8400000000000025E-2</v>
      </c>
    </row>
    <row r="35" spans="1:24">
      <c r="A35" s="25" t="s">
        <v>70</v>
      </c>
      <c r="B35" s="23" t="str">
        <f>INDEX(Table1[#All], MATCH($A35, ameco_2024_data!$A:$A, 0), MATCH(B$2, ameco_2024_data!$1:$1, 0))</f>
        <v>Estonia</v>
      </c>
      <c r="C35" s="16">
        <f>INDEX(Table1[#All], MATCH($A35, ameco_2024_data!$A:$A, 0), MATCH(C$2, ameco_2024_data!$1:$1, 0))</f>
        <v>21.383600000000001</v>
      </c>
      <c r="D35" s="13">
        <f>INDEX(Table1[#All], MATCH($A35, ameco_2024_data!$A:$A, 0), MATCH(D$2, ameco_2024_data!$1:$1, 0))</f>
        <v>-3.4372391000000002</v>
      </c>
      <c r="E35" s="13">
        <f>INDEX(Table1[#All], MATCH($A35, ameco_2024_data!$A:$A, 0), MATCH(E$2, ameco_2024_data!$1:$1, 0))</f>
        <v>-0.28839999999999999</v>
      </c>
      <c r="F35" s="1"/>
      <c r="G35" s="13" cm="1">
        <f t="array" ref="G35">IF(INDEX(results_spb!$A$1:$Y$100,
          MATCH(1, (results_spb!$A$1:$A$100 = table_summary!$B35) * (results_spb!$C$1:$C$100 = table_summary!G$1), 0),
          MATCH(table_summary!G$2, results_spb!$1:$1, 0)) = 0,
   "...",
   INDEX(results_spb!$A$1:$Y$100,
         MATCH(1, (results_spb!$A$1:$A$100 = table_summary!$B35) * (results_spb!$C$1:$C$100 = table_summary!G$1), 0),
         MATCH(table_summary!G$2, results_spb!$1:$1, 0)))</f>
        <v>-3.052</v>
      </c>
      <c r="H35" s="13" cm="1">
        <f t="array" ref="H35">IF(INDEX(results_spb!$A$1:$Y$100,
          MATCH(1, (results_spb!$A$1:$A$100 = table_summary!$B35) * (results_spb!$C$1:$C$100 = table_summary!H$1), 0),
          MATCH(table_summary!H$2, results_spb!$1:$1, 0)) = 0,
   "...",
   INDEX(results_spb!$A$1:$Y$100,
         MATCH(1, (results_spb!$A$1:$A$100 = table_summary!$B35) * (results_spb!$C$1:$C$100 = table_summary!H$1), 0),
         MATCH(table_summary!H$2, results_spb!$1:$1, 0)))</f>
        <v>-2.778</v>
      </c>
      <c r="I35" s="1"/>
      <c r="J35" s="13" cm="1">
        <f t="array" ref="J35">IF(INDEX(results_spb!$A$1:$Y$100,
          MATCH(1, (results_spb!$A$1:$A$100 = table_summary!$B35) * (results_spb!$C$1:$C$100 = table_summary!J$1), 0),
          MATCH(table_summary!J$2, results_spb!$1:$1, 0)) = 0,
   "...",
   INDEX(results_spb!$A$1:$Y$100,
         MATCH(1, (results_spb!$A$1:$A$100 = table_summary!$B35) * (results_spb!$C$1:$C$100 = table_summary!J$1), 0),
         MATCH(table_summary!J$2, results_spb!$1:$1, 0)))</f>
        <v>-2.0640000000000001</v>
      </c>
      <c r="K35" s="13" cm="1">
        <f t="array" ref="K35">IF(INDEX(results_spb!$A$1:$Y$100,
          MATCH(1, (results_spb!$A$1:$A$100 = table_summary!$B35) * (results_spb!$C$1:$C$100 = table_summary!K$1), 0),
          MATCH(table_summary!K$2, results_spb!$1:$1, 0)) = 0,
   "...",
   INDEX(results_spb!$A$1:$Y$100,
         MATCH(1, (results_spb!$A$1:$A$100 = table_summary!$B35) * (results_spb!$C$1:$C$100 = table_summary!K$1), 0),
         MATCH(table_summary!K$2, results_spb!$1:$1, 0)))</f>
        <v>-1.931</v>
      </c>
      <c r="L35" s="1"/>
      <c r="M35" s="13" t="str" cm="1">
        <f t="array" ref="M35">IF(INDEX(results_spb!$A$1:$Y$100,
          MATCH(1, (results_spb!$A$1:$A$100 = table_summary!$B35) * (results_spb!$C$1:$C$100 = table_summary!M$1), 0),
          MATCH(table_summary!M$2, results_spb!$1:$1, 0)) = 0,
   "...",
   INDEX(results_spb!$A$1:$Y$100,
         MATCH(1, (results_spb!$A$1:$A$100 = table_summary!$B35) * (results_spb!$C$1:$C$100 = table_summary!M$1), 0),
         MATCH(table_summary!M$2, results_spb!$1:$1, 0)))</f>
        <v>...</v>
      </c>
      <c r="N35" s="13" t="str" cm="1">
        <f t="array" ref="N35">IF(INDEX(results_spb!$A$1:$Y$100,
          MATCH(1, (results_spb!$A$1:$A$100 = table_summary!$B35) * (results_spb!$C$1:$C$100 = table_summary!N$1), 0),
          MATCH(table_summary!N$2, results_spb!$1:$1, 0)) = 0,
   "...",
   INDEX(results_spb!$A$1:$Y$100,
         MATCH(1, (results_spb!$A$1:$A$100 = table_summary!$B35) * (results_spb!$C$1:$C$100 = table_summary!N$1), 0),
         MATCH(table_summary!N$2, results_spb!$1:$1, 0)))</f>
        <v>...</v>
      </c>
      <c r="O35" s="24"/>
      <c r="P35" s="13" cm="1">
        <f t="array" ref="P35">IF(INDEX(results_spb!$A$1:$Y$100,
          MATCH(1, (results_spb!$A$1:$A$100 = table_summary!$B35) * (results_spb!$C$1:$C$100 = table_summary!P$1), 0),
          MATCH(table_summary!P$2, results_spb!$1:$1, 0)) = 0,
   "...",
   INDEX(results_spb!$A$1:$Y$100,
         MATCH(1, (results_spb!$A$1:$A$100 = table_summary!$B35) * (results_spb!$C$1:$C$100 = table_summary!P$1), 0),
         MATCH(table_summary!P$2, results_spb!$1:$1, 0)))</f>
        <v>-2.0640000000000001</v>
      </c>
      <c r="Q35" s="13" t="str" cm="1">
        <f t="array" ref="Q35">IF(INDEX(results_spb!$A$1:$Y$100,
          MATCH(1, (results_spb!$A$1:$A$100 = table_summary!$B35) * (results_spb!$C$1:$C$100 = table_summary!Q$1), 0),
          MATCH(table_summary!Q$2, results_spb!$1:$1, 0)) = 0,
   "...",
   INDEX(results_spb!$A$1:$Y$100,
         MATCH(1, (results_spb!$A$1:$A$100 = table_summary!$B35) * (results_spb!$C$1:$C$100 = table_summary!Q$1), 0),
         MATCH(table_summary!Q$2, results_spb!$1:$1, 0)))</f>
        <v>...</v>
      </c>
      <c r="R35" s="24"/>
      <c r="S35" s="12" cm="1">
        <f t="array" ref="S35">IF(INDEX(results_spb!$A$1:$Y$100,
          MATCH(1, (results_spb!$A$1:$A$100 = table_summary!$B35) * (results_spb!$C$1:$C$100 = table_summary!S$1), 0),
          MATCH(table_summary!S$2, results_spb!$1:$1, 0)) = 0,
   "...",
   INDEX(results_spb!$A$1:$Y$100,
         MATCH(1, (results_spb!$A$1:$A$100 = table_summary!$B35) * (results_spb!$C$1:$C$100 = table_summary!S$1), 0),
         MATCH(table_summary!S$2, results_spb!$1:$1, 0)))</f>
        <v>-2.0640000000000001</v>
      </c>
      <c r="T35" s="12" cm="1">
        <f t="array" ref="T35">IF(INDEX(results_spb!$A$1:$Y$100,
          MATCH(1, (results_spb!$A$1:$A$100 = table_summary!$B35) * (results_spb!$C$1:$C$100 = table_summary!T$1), 0),
          MATCH(table_summary!T$2, results_spb!$1:$1, 0)) = 0,
   "...",
   INDEX(results_spb!$A$1:$Y$100,
         MATCH(1, (results_spb!$A$1:$A$100 = table_summary!$B35) * (results_spb!$C$1:$C$100 = table_summary!T$1), 0),
         MATCH(table_summary!T$2, results_spb!$1:$1, 0)))</f>
        <v>-1.931</v>
      </c>
      <c r="U35" s="24"/>
      <c r="V35" s="9">
        <f t="shared" si="0"/>
        <v>-0.44390000000000002</v>
      </c>
      <c r="W35" s="9">
        <f t="shared" si="1"/>
        <v>-0.23465714285714287</v>
      </c>
    </row>
    <row r="36" spans="1:24" ht="47.25" customHeight="1">
      <c r="B36" s="35" t="s">
        <v>122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</sheetData>
  <mergeCells count="14">
    <mergeCell ref="Z11:AE11"/>
    <mergeCell ref="Z12:AE12"/>
    <mergeCell ref="Z13:AE13"/>
    <mergeCell ref="B36:X36"/>
    <mergeCell ref="S5:T6"/>
    <mergeCell ref="V5:W6"/>
    <mergeCell ref="Y8:AE8"/>
    <mergeCell ref="Z9:AE9"/>
    <mergeCell ref="Z10:AE10"/>
    <mergeCell ref="C5:E6"/>
    <mergeCell ref="G5:H6"/>
    <mergeCell ref="J5:K6"/>
    <mergeCell ref="M5:N6"/>
    <mergeCell ref="P5:Q6"/>
  </mergeCells>
  <conditionalFormatting sqref="G9:G35">
    <cfRule type="cellIs" dxfId="10" priority="26" operator="equal">
      <formula>$S9</formula>
    </cfRule>
  </conditionalFormatting>
  <conditionalFormatting sqref="H9:H35">
    <cfRule type="cellIs" dxfId="9" priority="25" operator="equal">
      <formula>$T9</formula>
    </cfRule>
  </conditionalFormatting>
  <conditionalFormatting sqref="J9:K35">
    <cfRule type="cellIs" dxfId="8" priority="11" operator="equal">
      <formula>S9</formula>
    </cfRule>
  </conditionalFormatting>
  <conditionalFormatting sqref="M9:N35">
    <cfRule type="cellIs" dxfId="7" priority="10" operator="equal">
      <formula>S9</formula>
    </cfRule>
  </conditionalFormatting>
  <conditionalFormatting sqref="P9:Q35">
    <cfRule type="cellIs" dxfId="6" priority="27" operator="lessThanOrEqual">
      <formula>MAX(J9,G9)</formula>
    </cfRule>
    <cfRule type="cellIs" dxfId="5" priority="28" operator="equal">
      <formula>S9</formula>
    </cfRule>
  </conditionalFormatting>
  <conditionalFormatting sqref="S9:T35">
    <cfRule type="expression" dxfId="4" priority="29">
      <formula>AND(P9&lt;=MAX(G9,#REF!,#REF!,#REF!,#REF!,J9),ISNUMBER(P9))</formula>
    </cfRule>
    <cfRule type="cellIs" dxfId="3" priority="30" operator="equal">
      <formula>P9</formula>
    </cfRule>
    <cfRule type="cellIs" dxfId="2" priority="31" operator="equal">
      <formula>M9</formula>
    </cfRule>
    <cfRule type="cellIs" dxfId="1" priority="32" operator="equal">
      <formula>J9</formula>
    </cfRule>
    <cfRule type="cellIs" dxfId="0" priority="34" operator="equal">
      <formula>G9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51C6-625F-4F37-96AC-313D72D9914D}">
  <sheetPr>
    <tabColor theme="7" tint="0.79998168889431442"/>
  </sheetPr>
  <dimension ref="A1:O55"/>
  <sheetViews>
    <sheetView topLeftCell="A38" zoomScale="85" zoomScaleNormal="85" workbookViewId="0">
      <selection activeCell="A2" sqref="A2"/>
    </sheetView>
  </sheetViews>
  <sheetFormatPr defaultColWidth="8.6640625" defaultRowHeight="14.4"/>
  <cols>
    <col min="1" max="1" width="12.5546875" bestFit="1" customWidth="1"/>
    <col min="2" max="2" width="5.109375" bestFit="1" customWidth="1"/>
    <col min="3" max="3" width="19" bestFit="1" customWidth="1"/>
    <col min="4" max="4" width="17.5546875" bestFit="1" customWidth="1"/>
    <col min="5" max="5" width="12.109375" bestFit="1" customWidth="1"/>
    <col min="6" max="6" width="10.6640625" bestFit="1" customWidth="1"/>
    <col min="7" max="7" width="16.109375" bestFit="1" customWidth="1"/>
    <col min="8" max="8" width="10.44140625" bestFit="1" customWidth="1"/>
    <col min="9" max="9" width="12.5546875" bestFit="1" customWidth="1"/>
    <col min="10" max="10" width="17" bestFit="1" customWidth="1"/>
    <col min="11" max="11" width="15.6640625" bestFit="1" customWidth="1"/>
    <col min="12" max="12" width="17.5546875" bestFit="1" customWidth="1"/>
    <col min="13" max="13" width="18.88671875" bestFit="1" customWidth="1"/>
    <col min="14" max="14" width="8.109375" bestFit="1" customWidth="1"/>
    <col min="15" max="15" width="34.6640625" bestFit="1" customWidth="1"/>
  </cols>
  <sheetData>
    <row r="1" spans="1:15">
      <c r="A1" t="str" cm="1">
        <f t="array" ref="A1:O55">[1]Sheet1!$A$1:$O$55</f>
        <v>country</v>
      </c>
      <c r="B1" t="str">
        <v>iso</v>
      </c>
      <c r="C1" t="str">
        <v>adjustment_period</v>
      </c>
      <c r="D1" t="str">
        <v>main_adjustment</v>
      </c>
      <c r="E1" t="str">
        <v>adverse_r_g</v>
      </c>
      <c r="F1" t="str">
        <v>lower_spb</v>
      </c>
      <c r="G1" t="str">
        <v>financial_stress</v>
      </c>
      <c r="H1" t="str">
        <v>stochastic</v>
      </c>
      <c r="I1" t="str">
        <v>binding_dsa</v>
      </c>
      <c r="J1" t="str">
        <v>deficit_reduction</v>
      </c>
      <c r="K1" t="str">
        <v>edp</v>
      </c>
      <c r="L1" t="str">
        <v>debt_safeguard</v>
      </c>
      <c r="M1" t="str">
        <v>deficit_resilience</v>
      </c>
      <c r="N1" t="str">
        <v>binding_safeguard</v>
      </c>
      <c r="O1" t="str">
        <v>binding</v>
      </c>
    </row>
    <row r="2" spans="1:15">
      <c r="A2" t="str">
        <v>Austria</v>
      </c>
      <c r="B2" t="str">
        <v>AUT</v>
      </c>
      <c r="C2">
        <v>4</v>
      </c>
      <c r="D2">
        <v>0.185</v>
      </c>
      <c r="E2">
        <v>0.78100000000000003</v>
      </c>
      <c r="F2">
        <v>0.69099999999999995</v>
      </c>
      <c r="G2">
        <v>0.20799999999999999</v>
      </c>
      <c r="H2">
        <v>0.629</v>
      </c>
      <c r="I2">
        <v>0.78100000000000003</v>
      </c>
      <c r="J2">
        <v>-8.2000000000000003E-2</v>
      </c>
      <c r="K2">
        <v>0</v>
      </c>
      <c r="L2">
        <v>0</v>
      </c>
      <c r="M2">
        <v>0</v>
      </c>
      <c r="N2">
        <v>-8.2000000000000003E-2</v>
      </c>
      <c r="O2">
        <v>0.78100000000000003</v>
      </c>
    </row>
    <row r="3" spans="1:15">
      <c r="A3" t="str">
        <v>Belgium</v>
      </c>
      <c r="B3" t="str">
        <v>BEL</v>
      </c>
      <c r="C3">
        <v>4</v>
      </c>
      <c r="D3">
        <v>0.35299999999999998</v>
      </c>
      <c r="E3">
        <v>1.0920000000000001</v>
      </c>
      <c r="F3">
        <v>0.85499999999999998</v>
      </c>
      <c r="G3">
        <v>0.41599999999999998</v>
      </c>
      <c r="H3">
        <v>0.432</v>
      </c>
      <c r="I3">
        <v>1.0920000000000001</v>
      </c>
      <c r="J3">
        <v>0.81399999999999995</v>
      </c>
      <c r="K3">
        <v>0</v>
      </c>
      <c r="L3">
        <v>0</v>
      </c>
      <c r="M3">
        <v>0</v>
      </c>
      <c r="N3">
        <v>0.81399999999999995</v>
      </c>
      <c r="O3">
        <v>1.0920000000000001</v>
      </c>
    </row>
    <row r="4" spans="1:15">
      <c r="A4" t="str">
        <v>Bulgaria</v>
      </c>
      <c r="B4" t="str">
        <v>BGR</v>
      </c>
      <c r="C4">
        <v>4</v>
      </c>
      <c r="D4">
        <v>-3.4049999999999998</v>
      </c>
      <c r="E4">
        <v>-3.125</v>
      </c>
      <c r="F4">
        <v>-3.0289999999999999</v>
      </c>
      <c r="G4">
        <v>-3.3730000000000002</v>
      </c>
      <c r="H4">
        <v>-3.7850000000000001</v>
      </c>
      <c r="I4">
        <v>-3.0289999999999999</v>
      </c>
      <c r="J4">
        <v>-2.2029999999999998</v>
      </c>
      <c r="K4">
        <v>0</v>
      </c>
      <c r="L4">
        <v>0</v>
      </c>
      <c r="M4">
        <v>0</v>
      </c>
      <c r="N4">
        <v>-2.2029999999999998</v>
      </c>
      <c r="O4">
        <v>-2.2029999999999998</v>
      </c>
    </row>
    <row r="5" spans="1:15">
      <c r="A5" t="str">
        <v>Croatia</v>
      </c>
      <c r="B5" t="str">
        <v>HRV</v>
      </c>
      <c r="C5">
        <v>4</v>
      </c>
      <c r="D5">
        <v>-0.47599999999999998</v>
      </c>
      <c r="E5">
        <v>-0.108</v>
      </c>
      <c r="F5">
        <v>-0.10100000000000001</v>
      </c>
      <c r="G5">
        <v>-0.438</v>
      </c>
      <c r="H5">
        <v>0.34599999999999997</v>
      </c>
      <c r="I5">
        <v>0.34599999999999997</v>
      </c>
      <c r="J5">
        <v>-1.0189999999999999</v>
      </c>
      <c r="K5">
        <v>0</v>
      </c>
      <c r="L5">
        <v>0</v>
      </c>
      <c r="M5">
        <v>0</v>
      </c>
      <c r="N5">
        <v>-1.0189999999999999</v>
      </c>
      <c r="O5">
        <v>0.34599999999999997</v>
      </c>
    </row>
    <row r="6" spans="1:15">
      <c r="A6" t="str">
        <v>Cyprus</v>
      </c>
      <c r="B6" t="str">
        <v>CYP</v>
      </c>
      <c r="C6">
        <v>4</v>
      </c>
      <c r="D6">
        <v>-2.1000000000000001E-2</v>
      </c>
      <c r="E6">
        <v>0.32800000000000001</v>
      </c>
      <c r="F6">
        <v>0.35399999999999998</v>
      </c>
      <c r="G6">
        <v>0.02</v>
      </c>
      <c r="H6">
        <v>0.247</v>
      </c>
      <c r="I6">
        <v>0.35399999999999998</v>
      </c>
      <c r="J6">
        <v>0.70099999999999996</v>
      </c>
      <c r="K6">
        <v>0</v>
      </c>
      <c r="L6">
        <v>0</v>
      </c>
      <c r="M6">
        <v>0</v>
      </c>
      <c r="N6">
        <v>0.70099999999999996</v>
      </c>
      <c r="O6">
        <v>0.70099999999999996</v>
      </c>
    </row>
    <row r="7" spans="1:15">
      <c r="A7" t="str">
        <v>Czechia</v>
      </c>
      <c r="B7" t="str">
        <v>CZE</v>
      </c>
      <c r="C7">
        <v>4</v>
      </c>
      <c r="D7">
        <v>-0.57499999999999996</v>
      </c>
      <c r="E7">
        <v>-0.26600000000000001</v>
      </c>
      <c r="F7">
        <v>-0.20300000000000001</v>
      </c>
      <c r="G7">
        <v>-0.54800000000000004</v>
      </c>
      <c r="H7">
        <v>-1.115</v>
      </c>
      <c r="I7">
        <v>-0.20300000000000001</v>
      </c>
      <c r="J7">
        <v>0.33100000000000002</v>
      </c>
      <c r="K7">
        <v>0</v>
      </c>
      <c r="L7">
        <v>0</v>
      </c>
      <c r="M7">
        <v>0</v>
      </c>
      <c r="N7">
        <v>0.33100000000000002</v>
      </c>
      <c r="O7">
        <v>0.33100000000000002</v>
      </c>
    </row>
    <row r="8" spans="1:15">
      <c r="A8" t="str">
        <v>Denmark</v>
      </c>
      <c r="B8" t="str">
        <v>DNK</v>
      </c>
      <c r="C8">
        <v>4</v>
      </c>
      <c r="D8">
        <v>-3.2909999999999999</v>
      </c>
      <c r="E8">
        <v>-3.0110000000000001</v>
      </c>
      <c r="F8">
        <v>-2.9159999999999999</v>
      </c>
      <c r="G8">
        <v>-3.2679999999999998</v>
      </c>
      <c r="H8">
        <v>-5.54</v>
      </c>
      <c r="I8">
        <v>-2.9159999999999999</v>
      </c>
      <c r="J8">
        <v>-1.1930000000000001</v>
      </c>
      <c r="K8">
        <v>0</v>
      </c>
      <c r="L8">
        <v>0</v>
      </c>
      <c r="M8">
        <v>0</v>
      </c>
      <c r="N8">
        <v>-1.1930000000000001</v>
      </c>
      <c r="O8">
        <v>-1.1930000000000001</v>
      </c>
    </row>
    <row r="9" spans="1:15">
      <c r="A9" t="str">
        <v>Estonia</v>
      </c>
      <c r="B9" t="str">
        <v>EST</v>
      </c>
      <c r="C9">
        <v>4</v>
      </c>
      <c r="D9">
        <v>-3.4249999999999998</v>
      </c>
      <c r="E9">
        <v>-3.1880000000000002</v>
      </c>
      <c r="F9">
        <v>-3.052</v>
      </c>
      <c r="G9">
        <v>-3.407</v>
      </c>
      <c r="H9">
        <v>-4.4790000000000001</v>
      </c>
      <c r="I9">
        <v>-3.052</v>
      </c>
      <c r="J9">
        <v>-2.0640000000000001</v>
      </c>
      <c r="K9">
        <v>0</v>
      </c>
      <c r="L9">
        <v>0</v>
      </c>
      <c r="M9">
        <v>-2.0640000000000001</v>
      </c>
      <c r="N9">
        <v>-2.0640000000000001</v>
      </c>
      <c r="O9">
        <v>-2.0640000000000001</v>
      </c>
    </row>
    <row r="10" spans="1:15">
      <c r="A10" t="str">
        <v>Finland</v>
      </c>
      <c r="B10" t="str">
        <v>FIN</v>
      </c>
      <c r="C10">
        <v>4</v>
      </c>
      <c r="D10">
        <v>0.66400000000000003</v>
      </c>
      <c r="E10">
        <v>1.139</v>
      </c>
      <c r="F10">
        <v>1.1919999999999999</v>
      </c>
      <c r="G10">
        <v>0.79700000000000004</v>
      </c>
      <c r="H10">
        <v>1.381</v>
      </c>
      <c r="I10">
        <v>1.381</v>
      </c>
      <c r="J10">
        <v>-0.38400000000000001</v>
      </c>
      <c r="K10">
        <v>0</v>
      </c>
      <c r="L10">
        <v>4.3099999999999996</v>
      </c>
      <c r="M10">
        <v>0</v>
      </c>
      <c r="N10">
        <v>4.3099999999999996</v>
      </c>
      <c r="O10">
        <v>4.3099999999999996</v>
      </c>
    </row>
    <row r="11" spans="1:15">
      <c r="A11" t="str">
        <v>France</v>
      </c>
      <c r="B11" t="str">
        <v>FRA</v>
      </c>
      <c r="C11">
        <v>4</v>
      </c>
      <c r="D11">
        <v>-9.5000000000000001E-2</v>
      </c>
      <c r="E11">
        <v>0.77200000000000002</v>
      </c>
      <c r="F11">
        <v>0.495</v>
      </c>
      <c r="G11">
        <v>0.23599999999999999</v>
      </c>
      <c r="H11">
        <v>0.48199999999999998</v>
      </c>
      <c r="I11">
        <v>0.77200000000000002</v>
      </c>
      <c r="J11">
        <v>0.67300000000000004</v>
      </c>
      <c r="K11">
        <v>0</v>
      </c>
      <c r="L11">
        <v>0</v>
      </c>
      <c r="M11">
        <v>0</v>
      </c>
      <c r="N11">
        <v>0.67300000000000004</v>
      </c>
      <c r="O11">
        <v>0.77200000000000002</v>
      </c>
    </row>
    <row r="12" spans="1:15">
      <c r="A12" t="str">
        <v>Germany</v>
      </c>
      <c r="B12" t="str">
        <v>DEU</v>
      </c>
      <c r="C12">
        <v>4</v>
      </c>
      <c r="D12">
        <v>3.4000000000000002E-2</v>
      </c>
      <c r="E12">
        <v>0.41699999999999998</v>
      </c>
      <c r="F12">
        <v>0.40899999999999997</v>
      </c>
      <c r="G12">
        <v>7.1999999999999995E-2</v>
      </c>
      <c r="H12">
        <v>0.33400000000000002</v>
      </c>
      <c r="I12">
        <v>0.41699999999999998</v>
      </c>
      <c r="J12">
        <v>-0.48799999999999999</v>
      </c>
      <c r="K12">
        <v>0</v>
      </c>
      <c r="L12">
        <v>0</v>
      </c>
      <c r="M12">
        <v>0</v>
      </c>
      <c r="N12">
        <v>-0.48799999999999999</v>
      </c>
      <c r="O12">
        <v>0.41699999999999998</v>
      </c>
    </row>
    <row r="13" spans="1:15">
      <c r="A13" t="str">
        <v>Greece</v>
      </c>
      <c r="B13" t="str">
        <v>GRC</v>
      </c>
      <c r="C13">
        <v>4</v>
      </c>
      <c r="D13">
        <v>1.0680000000000001</v>
      </c>
      <c r="E13">
        <v>1.869</v>
      </c>
      <c r="F13">
        <v>1.5569999999999999</v>
      </c>
      <c r="G13">
        <v>1.167</v>
      </c>
      <c r="H13">
        <v>0.89700000000000002</v>
      </c>
      <c r="I13">
        <v>1.869</v>
      </c>
      <c r="J13">
        <v>1.7450000000000001</v>
      </c>
      <c r="K13">
        <v>0</v>
      </c>
      <c r="L13">
        <v>0</v>
      </c>
      <c r="M13">
        <v>0</v>
      </c>
      <c r="N13">
        <v>1.7450000000000001</v>
      </c>
      <c r="O13">
        <v>1.869</v>
      </c>
    </row>
    <row r="14" spans="1:15">
      <c r="A14" t="str">
        <v>Hungary</v>
      </c>
      <c r="B14" t="str">
        <v>HUN</v>
      </c>
      <c r="C14">
        <v>4</v>
      </c>
      <c r="D14">
        <v>2.5920000000000001</v>
      </c>
      <c r="E14">
        <v>3.0489999999999999</v>
      </c>
      <c r="F14">
        <v>3.0470000000000002</v>
      </c>
      <c r="G14">
        <v>2.6160000000000001</v>
      </c>
      <c r="H14">
        <v>2.8159999999999998</v>
      </c>
      <c r="I14">
        <v>3.0489999999999999</v>
      </c>
      <c r="J14">
        <v>2.3159999999999998</v>
      </c>
      <c r="K14">
        <v>0</v>
      </c>
      <c r="L14">
        <v>0</v>
      </c>
      <c r="M14">
        <v>0</v>
      </c>
      <c r="N14">
        <v>2.3159999999999998</v>
      </c>
      <c r="O14">
        <v>3.0489999999999999</v>
      </c>
    </row>
    <row r="15" spans="1:15">
      <c r="A15" t="str">
        <v>Ireland</v>
      </c>
      <c r="B15" t="str">
        <v>IRL</v>
      </c>
      <c r="C15">
        <v>4</v>
      </c>
      <c r="D15">
        <v>-2.37</v>
      </c>
      <c r="E15">
        <v>-2.0790000000000002</v>
      </c>
      <c r="F15">
        <v>-1.9890000000000001</v>
      </c>
      <c r="G15">
        <v>-2.3460000000000001</v>
      </c>
      <c r="H15">
        <v>-3.4129999999999998</v>
      </c>
      <c r="I15">
        <v>-1.9890000000000001</v>
      </c>
      <c r="J15">
        <v>-0.626</v>
      </c>
      <c r="K15">
        <v>0</v>
      </c>
      <c r="L15">
        <v>0</v>
      </c>
      <c r="M15">
        <v>0</v>
      </c>
      <c r="N15">
        <v>-0.626</v>
      </c>
      <c r="O15">
        <v>-0.626</v>
      </c>
    </row>
    <row r="16" spans="1:15">
      <c r="A16" t="str">
        <v>Italy</v>
      </c>
      <c r="B16" t="str">
        <v>ITA</v>
      </c>
      <c r="C16">
        <v>4</v>
      </c>
      <c r="D16">
        <v>2.2240000000000002</v>
      </c>
      <c r="E16">
        <v>3.286</v>
      </c>
      <c r="F16">
        <v>2.7029999999999998</v>
      </c>
      <c r="G16">
        <v>2.5419999999999998</v>
      </c>
      <c r="H16">
        <v>2.4710000000000001</v>
      </c>
      <c r="I16">
        <v>3.286</v>
      </c>
      <c r="J16">
        <v>3.1680000000000001</v>
      </c>
      <c r="K16">
        <v>0</v>
      </c>
      <c r="L16">
        <v>0</v>
      </c>
      <c r="M16">
        <v>0</v>
      </c>
      <c r="N16">
        <v>3.1680000000000001</v>
      </c>
      <c r="O16">
        <v>3.286</v>
      </c>
    </row>
    <row r="17" spans="1:15">
      <c r="A17" t="str">
        <v>Latvia</v>
      </c>
      <c r="B17" t="str">
        <v>LVA</v>
      </c>
      <c r="C17">
        <v>4</v>
      </c>
      <c r="D17">
        <v>-1.3260000000000001</v>
      </c>
      <c r="E17">
        <v>-0.998</v>
      </c>
      <c r="F17">
        <v>-0.95199999999999996</v>
      </c>
      <c r="G17">
        <v>-1.2929999999999999</v>
      </c>
      <c r="H17">
        <v>-1.0609999999999999</v>
      </c>
      <c r="I17">
        <v>-0.95199999999999996</v>
      </c>
      <c r="J17">
        <v>-1.165</v>
      </c>
      <c r="K17">
        <v>0</v>
      </c>
      <c r="L17">
        <v>0</v>
      </c>
      <c r="M17">
        <v>0</v>
      </c>
      <c r="N17">
        <v>-1.165</v>
      </c>
      <c r="O17">
        <v>-0.95199999999999996</v>
      </c>
    </row>
    <row r="18" spans="1:15">
      <c r="A18" t="str">
        <v>Lithuania</v>
      </c>
      <c r="B18" t="str">
        <v>LTU</v>
      </c>
      <c r="C18">
        <v>4</v>
      </c>
      <c r="D18">
        <v>-1.1419999999999999</v>
      </c>
      <c r="E18">
        <v>-0.84099999999999997</v>
      </c>
      <c r="F18">
        <v>-0.76500000000000001</v>
      </c>
      <c r="G18">
        <v>-1.1140000000000001</v>
      </c>
      <c r="H18">
        <v>-1.996</v>
      </c>
      <c r="I18">
        <v>-0.76500000000000001</v>
      </c>
      <c r="J18">
        <v>1.4999999999999999E-2</v>
      </c>
      <c r="K18">
        <v>0</v>
      </c>
      <c r="L18">
        <v>0</v>
      </c>
      <c r="M18">
        <v>0</v>
      </c>
      <c r="N18">
        <v>1.4999999999999999E-2</v>
      </c>
      <c r="O18">
        <v>1.4999999999999999E-2</v>
      </c>
    </row>
    <row r="19" spans="1:15">
      <c r="A19" t="str">
        <v>Luxembourg</v>
      </c>
      <c r="B19" t="str">
        <v>LUX</v>
      </c>
      <c r="C19">
        <v>4</v>
      </c>
      <c r="D19">
        <v>-3.4380000000000002</v>
      </c>
      <c r="E19">
        <v>-3.2069999999999999</v>
      </c>
      <c r="F19">
        <v>-3.0579999999999998</v>
      </c>
      <c r="G19">
        <v>-3.4220000000000002</v>
      </c>
      <c r="H19">
        <v>-5.0549999999999997</v>
      </c>
      <c r="I19">
        <v>-3.0579999999999998</v>
      </c>
      <c r="J19">
        <v>-0.75</v>
      </c>
      <c r="K19">
        <v>0</v>
      </c>
      <c r="L19">
        <v>0</v>
      </c>
      <c r="M19">
        <v>0</v>
      </c>
      <c r="N19">
        <v>-0.75</v>
      </c>
      <c r="O19">
        <v>-0.75</v>
      </c>
    </row>
    <row r="20" spans="1:15">
      <c r="A20" t="str">
        <v>Malta</v>
      </c>
      <c r="B20" t="str">
        <v>MLT</v>
      </c>
      <c r="C20">
        <v>4</v>
      </c>
      <c r="D20">
        <v>-2.2669999999999999</v>
      </c>
      <c r="E20">
        <v>-1.9550000000000001</v>
      </c>
      <c r="F20">
        <v>-1.88</v>
      </c>
      <c r="G20">
        <v>-2.238</v>
      </c>
      <c r="H20">
        <v>-1.9079999999999999</v>
      </c>
      <c r="I20">
        <v>-1.88</v>
      </c>
      <c r="J20">
        <v>-1.2529999999999999</v>
      </c>
      <c r="K20">
        <v>-1.377</v>
      </c>
      <c r="L20">
        <v>0</v>
      </c>
      <c r="M20">
        <v>-0.996</v>
      </c>
      <c r="N20">
        <v>-0.996</v>
      </c>
      <c r="O20">
        <v>-0.996</v>
      </c>
    </row>
    <row r="21" spans="1:15">
      <c r="A21" t="str">
        <v>Netherlands</v>
      </c>
      <c r="B21" t="str">
        <v>NLD</v>
      </c>
      <c r="C21">
        <v>4</v>
      </c>
      <c r="D21">
        <v>-0.93100000000000005</v>
      </c>
      <c r="E21">
        <v>-0.63600000000000001</v>
      </c>
      <c r="F21">
        <v>-0.55700000000000005</v>
      </c>
      <c r="G21">
        <v>-0.90800000000000003</v>
      </c>
      <c r="H21">
        <v>-1.64</v>
      </c>
      <c r="I21">
        <v>-0.55700000000000005</v>
      </c>
      <c r="J21">
        <v>-0.28000000000000003</v>
      </c>
      <c r="K21">
        <v>0</v>
      </c>
      <c r="L21">
        <v>0</v>
      </c>
      <c r="M21">
        <v>0</v>
      </c>
      <c r="N21">
        <v>-0.28000000000000003</v>
      </c>
      <c r="O21">
        <v>-0.28000000000000003</v>
      </c>
    </row>
    <row r="22" spans="1:15">
      <c r="A22" t="str">
        <v>Poland</v>
      </c>
      <c r="B22" t="str">
        <v>POL</v>
      </c>
      <c r="C22">
        <v>4</v>
      </c>
      <c r="D22">
        <v>-3.9E-2</v>
      </c>
      <c r="E22">
        <v>0.32600000000000001</v>
      </c>
      <c r="F22">
        <v>0.33200000000000002</v>
      </c>
      <c r="G22">
        <v>2E-3</v>
      </c>
      <c r="H22">
        <v>0.60899999999999999</v>
      </c>
      <c r="I22">
        <v>0.60899999999999999</v>
      </c>
      <c r="J22">
        <v>0.49199999999999999</v>
      </c>
      <c r="K22">
        <v>0</v>
      </c>
      <c r="L22">
        <v>0</v>
      </c>
      <c r="M22">
        <v>0</v>
      </c>
      <c r="N22">
        <v>0.49199999999999999</v>
      </c>
      <c r="O22">
        <v>0.60899999999999999</v>
      </c>
    </row>
    <row r="23" spans="1:15">
      <c r="A23" t="str">
        <v>Portugal</v>
      </c>
      <c r="B23" t="str">
        <v>PRT</v>
      </c>
      <c r="C23">
        <v>4</v>
      </c>
      <c r="D23">
        <v>2.0129999999999999</v>
      </c>
      <c r="E23">
        <v>2.5659999999999998</v>
      </c>
      <c r="F23">
        <v>2.5070000000000001</v>
      </c>
      <c r="G23">
        <v>2.028</v>
      </c>
      <c r="H23">
        <v>1.98</v>
      </c>
      <c r="I23">
        <v>2.5659999999999998</v>
      </c>
      <c r="J23">
        <v>1.6819999999999999</v>
      </c>
      <c r="K23">
        <v>0</v>
      </c>
      <c r="L23">
        <v>0</v>
      </c>
      <c r="M23">
        <v>0</v>
      </c>
      <c r="N23">
        <v>1.6819999999999999</v>
      </c>
      <c r="O23">
        <v>2.5659999999999998</v>
      </c>
    </row>
    <row r="24" spans="1:15">
      <c r="A24" t="str">
        <v>Romania</v>
      </c>
      <c r="B24" t="str">
        <v>ROU</v>
      </c>
      <c r="C24">
        <v>4</v>
      </c>
      <c r="D24">
        <v>-0.67900000000000005</v>
      </c>
      <c r="E24">
        <v>-0.33400000000000002</v>
      </c>
      <c r="F24">
        <v>-0.30199999999999999</v>
      </c>
      <c r="G24">
        <v>-0.64300000000000002</v>
      </c>
      <c r="H24">
        <v>5.8999999999999997E-2</v>
      </c>
      <c r="I24">
        <v>5.8999999999999997E-2</v>
      </c>
      <c r="J24">
        <v>0.129</v>
      </c>
      <c r="K24">
        <v>0</v>
      </c>
      <c r="L24">
        <v>0</v>
      </c>
      <c r="M24">
        <v>0</v>
      </c>
      <c r="N24">
        <v>0.129</v>
      </c>
      <c r="O24">
        <v>0.129</v>
      </c>
    </row>
    <row r="25" spans="1:15">
      <c r="A25" t="str">
        <v>Slovakia</v>
      </c>
      <c r="B25" t="str">
        <v>SVK</v>
      </c>
      <c r="C25">
        <v>4</v>
      </c>
      <c r="D25">
        <v>0.45800000000000002</v>
      </c>
      <c r="E25">
        <v>0.77800000000000002</v>
      </c>
      <c r="F25">
        <v>0.83399999999999996</v>
      </c>
      <c r="G25">
        <v>0.48799999999999999</v>
      </c>
      <c r="H25">
        <v>0.70299999999999996</v>
      </c>
      <c r="I25">
        <v>0.83399999999999996</v>
      </c>
      <c r="J25">
        <v>0.42699999999999999</v>
      </c>
      <c r="K25">
        <v>0</v>
      </c>
      <c r="L25">
        <v>0</v>
      </c>
      <c r="M25">
        <v>0</v>
      </c>
      <c r="N25">
        <v>0.42699999999999999</v>
      </c>
      <c r="O25">
        <v>0.83399999999999996</v>
      </c>
    </row>
    <row r="26" spans="1:15">
      <c r="A26" t="str">
        <v>Slovenia</v>
      </c>
      <c r="B26" t="str">
        <v>SVN</v>
      </c>
      <c r="C26">
        <v>4</v>
      </c>
      <c r="D26">
        <v>0.13500000000000001</v>
      </c>
      <c r="E26">
        <v>0.46</v>
      </c>
      <c r="F26">
        <v>0.51500000000000001</v>
      </c>
      <c r="G26">
        <v>0.16200000000000001</v>
      </c>
      <c r="H26">
        <v>0.32100000000000001</v>
      </c>
      <c r="I26">
        <v>0.51500000000000001</v>
      </c>
      <c r="J26">
        <v>0.372</v>
      </c>
      <c r="K26">
        <v>0</v>
      </c>
      <c r="L26">
        <v>0</v>
      </c>
      <c r="M26">
        <v>0</v>
      </c>
      <c r="N26">
        <v>0.372</v>
      </c>
      <c r="O26">
        <v>0.51500000000000001</v>
      </c>
    </row>
    <row r="27" spans="1:15">
      <c r="A27" t="str">
        <v>Spain</v>
      </c>
      <c r="B27" t="str">
        <v>ESP</v>
      </c>
      <c r="C27">
        <v>4</v>
      </c>
      <c r="D27">
        <v>2.0470000000000002</v>
      </c>
      <c r="E27">
        <v>2.73</v>
      </c>
      <c r="F27">
        <v>2.5409999999999999</v>
      </c>
      <c r="G27">
        <v>2.0950000000000002</v>
      </c>
      <c r="H27">
        <v>1.075</v>
      </c>
      <c r="I27">
        <v>2.73</v>
      </c>
      <c r="J27">
        <v>2.2069999999999999</v>
      </c>
      <c r="K27">
        <v>0</v>
      </c>
      <c r="L27">
        <v>0</v>
      </c>
      <c r="M27">
        <v>0</v>
      </c>
      <c r="N27">
        <v>2.2069999999999999</v>
      </c>
      <c r="O27">
        <v>2.73</v>
      </c>
    </row>
    <row r="28" spans="1:15">
      <c r="A28" t="str">
        <v>Sweden</v>
      </c>
      <c r="B28" t="str">
        <v>SWE</v>
      </c>
      <c r="C28">
        <v>4</v>
      </c>
      <c r="D28">
        <v>-2.6869999999999998</v>
      </c>
      <c r="E28">
        <v>-2.3889999999999998</v>
      </c>
      <c r="F28">
        <v>-2.3170000000000002</v>
      </c>
      <c r="G28">
        <v>-2.6669999999999998</v>
      </c>
      <c r="H28">
        <v>-3.52</v>
      </c>
      <c r="I28">
        <v>-2.3170000000000002</v>
      </c>
      <c r="J28">
        <v>-1.0760000000000001</v>
      </c>
      <c r="K28">
        <v>0</v>
      </c>
      <c r="L28">
        <v>0</v>
      </c>
      <c r="M28">
        <v>0</v>
      </c>
      <c r="N28">
        <v>-1.0760000000000001</v>
      </c>
      <c r="O28">
        <v>-1.0760000000000001</v>
      </c>
    </row>
    <row r="29" spans="1:15">
      <c r="A29" t="str">
        <v>Austria</v>
      </c>
      <c r="B29" t="str">
        <v>AUT</v>
      </c>
      <c r="C29">
        <v>7</v>
      </c>
      <c r="D29">
        <v>-0.06</v>
      </c>
      <c r="E29">
        <v>0.55000000000000004</v>
      </c>
      <c r="F29">
        <v>0.44900000000000001</v>
      </c>
      <c r="G29">
        <v>-3.6999999999999998E-2</v>
      </c>
      <c r="H29">
        <v>0.71299999999999997</v>
      </c>
      <c r="I29">
        <v>0.71299999999999997</v>
      </c>
      <c r="J29">
        <v>-0.23899999999999999</v>
      </c>
      <c r="K29">
        <v>0</v>
      </c>
      <c r="L29">
        <v>0</v>
      </c>
      <c r="M29">
        <v>0</v>
      </c>
      <c r="N29">
        <v>-0.23899999999999999</v>
      </c>
      <c r="O29">
        <v>0.71299999999999997</v>
      </c>
    </row>
    <row r="30" spans="1:15">
      <c r="A30" t="str">
        <v>Belgium</v>
      </c>
      <c r="B30" t="str">
        <v>BEL</v>
      </c>
      <c r="C30">
        <v>7</v>
      </c>
      <c r="D30">
        <v>0.39</v>
      </c>
      <c r="E30">
        <v>1.135</v>
      </c>
      <c r="F30">
        <v>0.89300000000000002</v>
      </c>
      <c r="G30">
        <v>0.45100000000000001</v>
      </c>
      <c r="H30">
        <v>0.65700000000000003</v>
      </c>
      <c r="I30">
        <v>1.135</v>
      </c>
      <c r="J30">
        <v>0.92300000000000004</v>
      </c>
      <c r="K30">
        <v>1.1299999999999999</v>
      </c>
      <c r="L30">
        <v>0</v>
      </c>
      <c r="M30">
        <v>0</v>
      </c>
      <c r="N30">
        <v>0.92300000000000004</v>
      </c>
      <c r="O30">
        <v>1.1299999999999999</v>
      </c>
    </row>
    <row r="31" spans="1:15">
      <c r="A31" t="str">
        <v>Bulgaria</v>
      </c>
      <c r="B31" t="str">
        <v>BGR</v>
      </c>
      <c r="C31">
        <v>7</v>
      </c>
      <c r="D31">
        <v>-2.633</v>
      </c>
      <c r="E31">
        <v>-2.379</v>
      </c>
      <c r="F31">
        <v>-2.3199999999999998</v>
      </c>
      <c r="G31">
        <v>-2.605</v>
      </c>
      <c r="H31">
        <v>-2.64</v>
      </c>
      <c r="I31">
        <v>-2.3199999999999998</v>
      </c>
      <c r="J31">
        <v>-1.792</v>
      </c>
      <c r="K31">
        <v>0</v>
      </c>
      <c r="L31">
        <v>0</v>
      </c>
      <c r="M31">
        <v>0</v>
      </c>
      <c r="N31">
        <v>-1.792</v>
      </c>
      <c r="O31">
        <v>-1.792</v>
      </c>
    </row>
    <row r="32" spans="1:15">
      <c r="A32" t="str">
        <v>Croatia</v>
      </c>
      <c r="B32" t="str">
        <v>HRV</v>
      </c>
      <c r="C32">
        <v>7</v>
      </c>
      <c r="D32">
        <v>-0.313</v>
      </c>
      <c r="E32">
        <v>2.1000000000000001E-2</v>
      </c>
      <c r="F32">
        <v>1E-3</v>
      </c>
      <c r="G32">
        <v>-0.27800000000000002</v>
      </c>
      <c r="H32">
        <v>0.54800000000000004</v>
      </c>
      <c r="I32">
        <v>0.54800000000000004</v>
      </c>
      <c r="J32">
        <v>-0.93200000000000005</v>
      </c>
      <c r="K32">
        <v>0</v>
      </c>
      <c r="L32">
        <v>0</v>
      </c>
      <c r="M32">
        <v>0</v>
      </c>
      <c r="N32">
        <v>-0.93200000000000005</v>
      </c>
      <c r="O32">
        <v>0.54800000000000004</v>
      </c>
    </row>
    <row r="33" spans="1:15">
      <c r="A33" t="str">
        <v>Cyprus</v>
      </c>
      <c r="B33" t="str">
        <v>CYP</v>
      </c>
      <c r="C33">
        <v>7</v>
      </c>
      <c r="D33">
        <v>-0.47299999999999998</v>
      </c>
      <c r="E33">
        <v>-0.189</v>
      </c>
      <c r="F33">
        <v>-0.158</v>
      </c>
      <c r="G33">
        <v>-0.46800000000000003</v>
      </c>
      <c r="H33">
        <v>-0.41599999999999998</v>
      </c>
      <c r="I33">
        <v>-0.158</v>
      </c>
      <c r="J33">
        <v>0.29199999999999998</v>
      </c>
      <c r="K33">
        <v>0</v>
      </c>
      <c r="L33">
        <v>0</v>
      </c>
      <c r="M33">
        <v>0</v>
      </c>
      <c r="N33">
        <v>0.29199999999999998</v>
      </c>
      <c r="O33">
        <v>0.29199999999999998</v>
      </c>
    </row>
    <row r="34" spans="1:15">
      <c r="A34" t="str">
        <v>Czechia</v>
      </c>
      <c r="B34" t="str">
        <v>CZE</v>
      </c>
      <c r="C34">
        <v>7</v>
      </c>
      <c r="D34">
        <v>-0.36099999999999999</v>
      </c>
      <c r="E34">
        <v>-8.5999999999999993E-2</v>
      </c>
      <c r="F34">
        <v>-5.1999999999999998E-2</v>
      </c>
      <c r="G34">
        <v>-0.33600000000000002</v>
      </c>
      <c r="H34">
        <v>-0.84</v>
      </c>
      <c r="I34">
        <v>-5.1999999999999998E-2</v>
      </c>
      <c r="J34">
        <v>0.61699999999999999</v>
      </c>
      <c r="K34">
        <v>0</v>
      </c>
      <c r="L34">
        <v>0</v>
      </c>
      <c r="M34">
        <v>0</v>
      </c>
      <c r="N34">
        <v>0.61699999999999999</v>
      </c>
      <c r="O34">
        <v>0.61699999999999999</v>
      </c>
    </row>
    <row r="35" spans="1:15">
      <c r="A35" t="str">
        <v>Denmark</v>
      </c>
      <c r="B35" t="str">
        <v>DNK</v>
      </c>
      <c r="C35">
        <v>7</v>
      </c>
      <c r="D35">
        <v>-3.4630000000000001</v>
      </c>
      <c r="E35">
        <v>-3.2090000000000001</v>
      </c>
      <c r="F35">
        <v>-3.1469999999999998</v>
      </c>
      <c r="G35">
        <v>-3.4409999999999998</v>
      </c>
      <c r="H35">
        <v>-5.2629999999999999</v>
      </c>
      <c r="I35">
        <v>-3.1469999999999998</v>
      </c>
      <c r="J35">
        <v>-1.571</v>
      </c>
      <c r="K35">
        <v>0</v>
      </c>
      <c r="L35">
        <v>0</v>
      </c>
      <c r="M35">
        <v>0</v>
      </c>
      <c r="N35">
        <v>-1.571</v>
      </c>
      <c r="O35">
        <v>-1.571</v>
      </c>
    </row>
    <row r="36" spans="1:15">
      <c r="A36" t="str">
        <v>Estonia</v>
      </c>
      <c r="B36" t="str">
        <v>EST</v>
      </c>
      <c r="C36">
        <v>7</v>
      </c>
      <c r="D36">
        <v>-3.0920000000000001</v>
      </c>
      <c r="E36">
        <v>-2.8769999999999998</v>
      </c>
      <c r="F36">
        <v>-2.778</v>
      </c>
      <c r="G36">
        <v>-3.0760000000000001</v>
      </c>
      <c r="H36">
        <v>-3.7719999999999998</v>
      </c>
      <c r="I36">
        <v>-2.778</v>
      </c>
      <c r="J36">
        <v>-1.931</v>
      </c>
      <c r="K36">
        <v>0</v>
      </c>
      <c r="L36">
        <v>0</v>
      </c>
      <c r="M36">
        <v>0</v>
      </c>
      <c r="N36">
        <v>-1.931</v>
      </c>
      <c r="O36">
        <v>-1.931</v>
      </c>
    </row>
    <row r="37" spans="1:15">
      <c r="A37" t="str">
        <v>Finland</v>
      </c>
      <c r="B37" t="str">
        <v>FIN</v>
      </c>
      <c r="C37">
        <v>7</v>
      </c>
      <c r="D37">
        <v>0.34899999999999998</v>
      </c>
      <c r="E37">
        <v>0.81599999999999995</v>
      </c>
      <c r="F37">
        <v>0.64300000000000002</v>
      </c>
      <c r="G37">
        <v>0.49099999999999999</v>
      </c>
      <c r="H37">
        <v>0.98</v>
      </c>
      <c r="I37">
        <v>0.98</v>
      </c>
      <c r="J37">
        <v>-0.61499999999999999</v>
      </c>
      <c r="K37">
        <v>0</v>
      </c>
      <c r="L37">
        <v>3.3210000000000002</v>
      </c>
      <c r="M37">
        <v>0</v>
      </c>
      <c r="N37">
        <v>3.3210000000000002</v>
      </c>
      <c r="O37">
        <v>3.3210000000000002</v>
      </c>
    </row>
    <row r="38" spans="1:15">
      <c r="A38" t="str">
        <v>France</v>
      </c>
      <c r="B38" t="str">
        <v>FRA</v>
      </c>
      <c r="C38">
        <v>7</v>
      </c>
      <c r="D38">
        <v>-2.3E-2</v>
      </c>
      <c r="E38">
        <v>0.79500000000000004</v>
      </c>
      <c r="F38">
        <v>0.53300000000000003</v>
      </c>
      <c r="G38">
        <v>0.38300000000000001</v>
      </c>
      <c r="H38">
        <v>0.58699999999999997</v>
      </c>
      <c r="I38">
        <v>0.79500000000000004</v>
      </c>
      <c r="J38">
        <v>0.753</v>
      </c>
      <c r="K38">
        <v>0.78800000000000003</v>
      </c>
      <c r="L38">
        <v>0</v>
      </c>
      <c r="M38">
        <v>0.81399999999999995</v>
      </c>
      <c r="N38">
        <v>0.81399999999999995</v>
      </c>
      <c r="O38">
        <v>0.81399999999999995</v>
      </c>
    </row>
    <row r="39" spans="1:15">
      <c r="A39" t="str">
        <v>Germany</v>
      </c>
      <c r="B39" t="str">
        <v>DEU</v>
      </c>
      <c r="C39">
        <v>7</v>
      </c>
      <c r="D39">
        <v>-0.19400000000000001</v>
      </c>
      <c r="E39">
        <v>0.14899999999999999</v>
      </c>
      <c r="F39">
        <v>0.122</v>
      </c>
      <c r="G39">
        <v>-0.159</v>
      </c>
      <c r="H39">
        <v>0.10100000000000001</v>
      </c>
      <c r="I39">
        <v>0.14899999999999999</v>
      </c>
      <c r="J39">
        <v>-0.7</v>
      </c>
      <c r="K39">
        <v>0</v>
      </c>
      <c r="L39">
        <v>0</v>
      </c>
      <c r="M39">
        <v>0</v>
      </c>
      <c r="N39">
        <v>-0.7</v>
      </c>
      <c r="O39">
        <v>0.14899999999999999</v>
      </c>
    </row>
    <row r="40" spans="1:15">
      <c r="A40" t="str">
        <v>Greece</v>
      </c>
      <c r="B40" t="str">
        <v>GRC</v>
      </c>
      <c r="C40">
        <v>7</v>
      </c>
      <c r="D40">
        <v>1.337</v>
      </c>
      <c r="E40">
        <v>2.1080000000000001</v>
      </c>
      <c r="F40">
        <v>1.819</v>
      </c>
      <c r="G40">
        <v>1.41</v>
      </c>
      <c r="H40">
        <v>1.956</v>
      </c>
      <c r="I40">
        <v>2.1080000000000001</v>
      </c>
      <c r="J40">
        <v>2.056</v>
      </c>
      <c r="K40">
        <v>0</v>
      </c>
      <c r="L40">
        <v>0</v>
      </c>
      <c r="M40">
        <v>0</v>
      </c>
      <c r="N40">
        <v>2.056</v>
      </c>
      <c r="O40">
        <v>2.1080000000000001</v>
      </c>
    </row>
    <row r="41" spans="1:15">
      <c r="A41" t="str">
        <v>Hungary</v>
      </c>
      <c r="B41" t="str">
        <v>HUN</v>
      </c>
      <c r="C41">
        <v>7</v>
      </c>
      <c r="D41">
        <v>2.9790000000000001</v>
      </c>
      <c r="E41">
        <v>3.2909999999999999</v>
      </c>
      <c r="F41">
        <v>3.2730000000000001</v>
      </c>
      <c r="G41">
        <v>3.0089999999999999</v>
      </c>
      <c r="H41">
        <v>3.3130000000000002</v>
      </c>
      <c r="I41">
        <v>3.3130000000000002</v>
      </c>
      <c r="J41">
        <v>2.762</v>
      </c>
      <c r="K41">
        <v>3.3090000000000002</v>
      </c>
      <c r="L41">
        <v>0</v>
      </c>
      <c r="M41">
        <v>0</v>
      </c>
      <c r="N41">
        <v>2.762</v>
      </c>
      <c r="O41">
        <v>3.3090000000000002</v>
      </c>
    </row>
    <row r="42" spans="1:15">
      <c r="A42" t="str">
        <v>Ireland</v>
      </c>
      <c r="B42" t="str">
        <v>IRL</v>
      </c>
      <c r="C42">
        <v>7</v>
      </c>
      <c r="D42">
        <v>-2.363</v>
      </c>
      <c r="E42">
        <v>-2.109</v>
      </c>
      <c r="F42">
        <v>-2.0419999999999998</v>
      </c>
      <c r="G42">
        <v>-2.34</v>
      </c>
      <c r="H42">
        <v>-3.3330000000000002</v>
      </c>
      <c r="I42">
        <v>-2.0419999999999998</v>
      </c>
      <c r="J42">
        <v>-0.59699999999999998</v>
      </c>
      <c r="K42">
        <v>0</v>
      </c>
      <c r="L42">
        <v>0</v>
      </c>
      <c r="M42">
        <v>0</v>
      </c>
      <c r="N42">
        <v>-0.59699999999999998</v>
      </c>
      <c r="O42">
        <v>-0.59699999999999998</v>
      </c>
    </row>
    <row r="43" spans="1:15">
      <c r="A43" t="str">
        <v>Italy</v>
      </c>
      <c r="B43" t="str">
        <v>ITA</v>
      </c>
      <c r="C43">
        <v>7</v>
      </c>
      <c r="D43">
        <v>2.0089999999999999</v>
      </c>
      <c r="E43">
        <v>2.9969999999999999</v>
      </c>
      <c r="F43">
        <v>2.57</v>
      </c>
      <c r="G43">
        <v>2.742</v>
      </c>
      <c r="H43">
        <v>2.7709999999999999</v>
      </c>
      <c r="I43">
        <v>2.9969999999999999</v>
      </c>
      <c r="J43">
        <v>3.1240000000000001</v>
      </c>
      <c r="K43">
        <v>3.1040000000000001</v>
      </c>
      <c r="L43">
        <v>0</v>
      </c>
      <c r="M43">
        <v>0</v>
      </c>
      <c r="N43">
        <v>3.1240000000000001</v>
      </c>
      <c r="O43">
        <v>3.1040000000000001</v>
      </c>
    </row>
    <row r="44" spans="1:15">
      <c r="A44" t="str">
        <v>Latvia</v>
      </c>
      <c r="B44" t="str">
        <v>LVA</v>
      </c>
      <c r="C44">
        <v>7</v>
      </c>
      <c r="D44">
        <v>-1.085</v>
      </c>
      <c r="E44">
        <v>-0.78800000000000003</v>
      </c>
      <c r="F44">
        <v>-0.77200000000000002</v>
      </c>
      <c r="G44">
        <v>-1.0549999999999999</v>
      </c>
      <c r="H44">
        <v>-0.69399999999999995</v>
      </c>
      <c r="I44">
        <v>-0.69399999999999995</v>
      </c>
      <c r="J44">
        <v>-1.159</v>
      </c>
      <c r="K44">
        <v>0</v>
      </c>
      <c r="L44">
        <v>0</v>
      </c>
      <c r="M44">
        <v>0</v>
      </c>
      <c r="N44">
        <v>-1.159</v>
      </c>
      <c r="O44">
        <v>-0.69399999999999995</v>
      </c>
    </row>
    <row r="45" spans="1:15">
      <c r="A45" t="str">
        <v>Lithuania</v>
      </c>
      <c r="B45" t="str">
        <v>LTU</v>
      </c>
      <c r="C45">
        <v>7</v>
      </c>
      <c r="D45">
        <v>-1.0900000000000001</v>
      </c>
      <c r="E45">
        <v>-0.82099999999999995</v>
      </c>
      <c r="F45">
        <v>-0.77300000000000002</v>
      </c>
      <c r="G45">
        <v>-1.0640000000000001</v>
      </c>
      <c r="H45">
        <v>-1.7350000000000001</v>
      </c>
      <c r="I45">
        <v>-0.77300000000000002</v>
      </c>
      <c r="J45">
        <v>-0.155</v>
      </c>
      <c r="K45">
        <v>0</v>
      </c>
      <c r="L45">
        <v>0</v>
      </c>
      <c r="M45">
        <v>0</v>
      </c>
      <c r="N45">
        <v>-0.155</v>
      </c>
      <c r="O45">
        <v>-0.155</v>
      </c>
    </row>
    <row r="46" spans="1:15">
      <c r="A46" t="str">
        <v>Luxembourg</v>
      </c>
      <c r="B46" t="str">
        <v>LUX</v>
      </c>
      <c r="C46">
        <v>7</v>
      </c>
      <c r="D46">
        <v>-3.3580000000000001</v>
      </c>
      <c r="E46">
        <v>-3.1549999999999998</v>
      </c>
      <c r="F46">
        <v>-3.0369999999999999</v>
      </c>
      <c r="G46">
        <v>-3.3450000000000002</v>
      </c>
      <c r="H46">
        <v>-4.6900000000000004</v>
      </c>
      <c r="I46">
        <v>-3.0369999999999999</v>
      </c>
      <c r="J46">
        <v>-0.83799999999999997</v>
      </c>
      <c r="K46">
        <v>0</v>
      </c>
      <c r="L46">
        <v>0</v>
      </c>
      <c r="M46">
        <v>0</v>
      </c>
      <c r="N46">
        <v>-0.83799999999999997</v>
      </c>
      <c r="O46">
        <v>-0.83799999999999997</v>
      </c>
    </row>
    <row r="47" spans="1:15">
      <c r="A47" t="str">
        <v>Malta</v>
      </c>
      <c r="B47" t="str">
        <v>MLT</v>
      </c>
      <c r="C47">
        <v>7</v>
      </c>
      <c r="D47">
        <v>-1.6679999999999999</v>
      </c>
      <c r="E47">
        <v>-1.391</v>
      </c>
      <c r="F47">
        <v>-1.341</v>
      </c>
      <c r="G47">
        <v>-1.643</v>
      </c>
      <c r="H47">
        <v>-1.367</v>
      </c>
      <c r="I47">
        <v>-1.341</v>
      </c>
      <c r="J47">
        <v>-1</v>
      </c>
      <c r="K47">
        <v>-1.05</v>
      </c>
      <c r="L47">
        <v>0</v>
      </c>
      <c r="M47">
        <v>0</v>
      </c>
      <c r="N47">
        <v>-1</v>
      </c>
      <c r="O47">
        <v>-1.05</v>
      </c>
    </row>
    <row r="48" spans="1:15">
      <c r="A48" t="str">
        <v>Netherlands</v>
      </c>
      <c r="B48" t="str">
        <v>NLD</v>
      </c>
      <c r="C48">
        <v>7</v>
      </c>
      <c r="D48">
        <v>-0.93700000000000006</v>
      </c>
      <c r="E48">
        <v>-0.67</v>
      </c>
      <c r="F48">
        <v>-0.623</v>
      </c>
      <c r="G48">
        <v>-0.91600000000000004</v>
      </c>
      <c r="H48">
        <v>-1.3919999999999999</v>
      </c>
      <c r="I48">
        <v>-0.623</v>
      </c>
      <c r="J48">
        <v>-0.39200000000000002</v>
      </c>
      <c r="K48">
        <v>0</v>
      </c>
      <c r="L48">
        <v>0</v>
      </c>
      <c r="M48">
        <v>0</v>
      </c>
      <c r="N48">
        <v>-0.39200000000000002</v>
      </c>
      <c r="O48">
        <v>-0.39200000000000002</v>
      </c>
    </row>
    <row r="49" spans="1:15">
      <c r="A49" t="str">
        <v>Poland</v>
      </c>
      <c r="B49" t="str">
        <v>POL</v>
      </c>
      <c r="C49">
        <v>7</v>
      </c>
      <c r="D49">
        <v>0.35099999999999998</v>
      </c>
      <c r="E49">
        <v>0.67500000000000004</v>
      </c>
      <c r="F49">
        <v>0.65800000000000003</v>
      </c>
      <c r="G49">
        <v>0.38600000000000001</v>
      </c>
      <c r="H49">
        <v>0.81699999999999995</v>
      </c>
      <c r="I49">
        <v>0.81699999999999995</v>
      </c>
      <c r="J49">
        <v>0.53300000000000003</v>
      </c>
      <c r="K49">
        <v>0.81299999999999994</v>
      </c>
      <c r="L49">
        <v>0</v>
      </c>
      <c r="M49">
        <v>0.89500000000000002</v>
      </c>
      <c r="N49">
        <v>0.89500000000000002</v>
      </c>
      <c r="O49">
        <v>0.89500000000000002</v>
      </c>
    </row>
    <row r="50" spans="1:15">
      <c r="A50" t="str">
        <v>Portugal</v>
      </c>
      <c r="B50" t="str">
        <v>PRT</v>
      </c>
      <c r="C50">
        <v>7</v>
      </c>
      <c r="D50">
        <v>1.77</v>
      </c>
      <c r="E50">
        <v>2.2890000000000001</v>
      </c>
      <c r="F50">
        <v>2.2629999999999999</v>
      </c>
      <c r="G50">
        <v>1.79</v>
      </c>
      <c r="H50">
        <v>2.1880000000000002</v>
      </c>
      <c r="I50">
        <v>2.2890000000000001</v>
      </c>
      <c r="J50">
        <v>1.4610000000000001</v>
      </c>
      <c r="K50">
        <v>0</v>
      </c>
      <c r="L50">
        <v>0</v>
      </c>
      <c r="M50">
        <v>0</v>
      </c>
      <c r="N50">
        <v>1.4610000000000001</v>
      </c>
      <c r="O50">
        <v>2.2890000000000001</v>
      </c>
    </row>
    <row r="51" spans="1:15">
      <c r="A51" t="str">
        <v>Romania</v>
      </c>
      <c r="B51" t="str">
        <v>ROU</v>
      </c>
      <c r="C51">
        <v>7</v>
      </c>
      <c r="D51">
        <v>6.4000000000000001E-2</v>
      </c>
      <c r="E51">
        <v>0.378</v>
      </c>
      <c r="F51">
        <v>0.378</v>
      </c>
      <c r="G51">
        <v>9.7000000000000003E-2</v>
      </c>
      <c r="H51">
        <v>0.83899999999999997</v>
      </c>
      <c r="I51">
        <v>0.83899999999999997</v>
      </c>
      <c r="J51">
        <v>0.36</v>
      </c>
      <c r="K51">
        <v>0</v>
      </c>
      <c r="L51">
        <v>0</v>
      </c>
      <c r="M51">
        <v>0</v>
      </c>
      <c r="N51">
        <v>0.36</v>
      </c>
      <c r="O51">
        <v>0.83899999999999997</v>
      </c>
    </row>
    <row r="52" spans="1:15">
      <c r="A52" t="str">
        <v>Slovakia</v>
      </c>
      <c r="B52" t="str">
        <v>SVK</v>
      </c>
      <c r="C52">
        <v>7</v>
      </c>
      <c r="D52">
        <v>0.83</v>
      </c>
      <c r="E52">
        <v>1.1160000000000001</v>
      </c>
      <c r="F52">
        <v>1.1439999999999999</v>
      </c>
      <c r="G52">
        <v>0.85499999999999998</v>
      </c>
      <c r="H52">
        <v>0.90600000000000003</v>
      </c>
      <c r="I52">
        <v>1.1439999999999999</v>
      </c>
      <c r="J52">
        <v>0.56499999999999995</v>
      </c>
      <c r="K52">
        <v>0</v>
      </c>
      <c r="L52">
        <v>0</v>
      </c>
      <c r="M52">
        <v>0</v>
      </c>
      <c r="N52">
        <v>0.56499999999999995</v>
      </c>
      <c r="O52">
        <v>1.1439999999999999</v>
      </c>
    </row>
    <row r="53" spans="1:15">
      <c r="A53" t="str">
        <v>Slovenia</v>
      </c>
      <c r="B53" t="str">
        <v>SVN</v>
      </c>
      <c r="C53">
        <v>7</v>
      </c>
      <c r="D53">
        <v>0.192</v>
      </c>
      <c r="E53">
        <v>0.47899999999999998</v>
      </c>
      <c r="F53">
        <v>0.51</v>
      </c>
      <c r="G53">
        <v>0.216</v>
      </c>
      <c r="H53">
        <v>0.35099999999999998</v>
      </c>
      <c r="I53">
        <v>0.51</v>
      </c>
      <c r="J53">
        <v>0.43</v>
      </c>
      <c r="K53">
        <v>0</v>
      </c>
      <c r="L53">
        <v>0</v>
      </c>
      <c r="M53">
        <v>0</v>
      </c>
      <c r="N53">
        <v>0.43</v>
      </c>
      <c r="O53">
        <v>0.51</v>
      </c>
    </row>
    <row r="54" spans="1:15">
      <c r="A54" t="str">
        <v>Spain</v>
      </c>
      <c r="B54" t="str">
        <v>ESP</v>
      </c>
      <c r="C54">
        <v>7</v>
      </c>
      <c r="D54">
        <v>2.1080000000000001</v>
      </c>
      <c r="E54">
        <v>2.7770000000000001</v>
      </c>
      <c r="F54">
        <v>2.5990000000000002</v>
      </c>
      <c r="G54">
        <v>2.1469999999999998</v>
      </c>
      <c r="H54">
        <v>1.6679999999999999</v>
      </c>
      <c r="I54">
        <v>2.7770000000000001</v>
      </c>
      <c r="J54">
        <v>2.274</v>
      </c>
      <c r="K54">
        <v>0</v>
      </c>
      <c r="L54">
        <v>0</v>
      </c>
      <c r="M54">
        <v>0</v>
      </c>
      <c r="N54">
        <v>2.274</v>
      </c>
      <c r="O54">
        <v>2.7770000000000001</v>
      </c>
    </row>
    <row r="55" spans="1:15">
      <c r="A55" t="str">
        <v>Sweden</v>
      </c>
      <c r="B55" t="str">
        <v>SWE</v>
      </c>
      <c r="C55">
        <v>7</v>
      </c>
      <c r="D55">
        <v>-2.7949999999999999</v>
      </c>
      <c r="E55">
        <v>-2.5190000000000001</v>
      </c>
      <c r="F55">
        <v>-2.4769999999999999</v>
      </c>
      <c r="G55">
        <v>-2.7730000000000001</v>
      </c>
      <c r="H55">
        <v>-3.4159999999999999</v>
      </c>
      <c r="I55">
        <v>-2.4769999999999999</v>
      </c>
      <c r="J55">
        <v>-1.661</v>
      </c>
      <c r="K55">
        <v>0</v>
      </c>
      <c r="L55">
        <v>0</v>
      </c>
      <c r="M55">
        <v>0</v>
      </c>
      <c r="N55">
        <v>-1.661</v>
      </c>
      <c r="O55">
        <v>-1.661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A47C-B598-4523-9EF2-BFC80A45332E}">
  <sheetPr>
    <tabColor theme="7" tint="0.79998168889431442"/>
  </sheetPr>
  <dimension ref="A1:F29"/>
  <sheetViews>
    <sheetView workbookViewId="0">
      <selection activeCell="H26" sqref="H26"/>
    </sheetView>
  </sheetViews>
  <sheetFormatPr defaultColWidth="8.6640625" defaultRowHeight="14.4"/>
  <cols>
    <col min="1" max="1" width="9.6640625" customWidth="1"/>
  </cols>
  <sheetData>
    <row r="1" spans="1:6">
      <c r="A1" t="s">
        <v>69</v>
      </c>
      <c r="B1" t="s">
        <v>42</v>
      </c>
      <c r="C1" t="s">
        <v>93</v>
      </c>
      <c r="D1" t="s">
        <v>43</v>
      </c>
      <c r="E1" t="s">
        <v>44</v>
      </c>
      <c r="F1" t="s">
        <v>33</v>
      </c>
    </row>
    <row r="2" spans="1:6">
      <c r="A2" t="s">
        <v>22</v>
      </c>
      <c r="B2">
        <v>77.693899999999999</v>
      </c>
      <c r="C2">
        <v>-2.4849999999999999</v>
      </c>
      <c r="D2">
        <v>-3.0652172000000002</v>
      </c>
      <c r="E2">
        <v>-1.1266</v>
      </c>
      <c r="F2" t="s">
        <v>45</v>
      </c>
    </row>
    <row r="3" spans="1:6">
      <c r="A3" t="s">
        <v>19</v>
      </c>
      <c r="B3">
        <v>105.0356</v>
      </c>
      <c r="C3">
        <v>-4.0225</v>
      </c>
      <c r="D3">
        <v>-4.4116011000000004</v>
      </c>
      <c r="E3">
        <v>-1.8693</v>
      </c>
      <c r="F3" t="s">
        <v>46</v>
      </c>
    </row>
    <row r="4" spans="1:6">
      <c r="A4" t="s">
        <v>32</v>
      </c>
      <c r="B4">
        <v>24.818000000000001</v>
      </c>
      <c r="C4">
        <v>-2.8290999999999999</v>
      </c>
      <c r="D4">
        <v>-2.7581267999999999</v>
      </c>
      <c r="E4">
        <v>-2.3408000000000002</v>
      </c>
      <c r="F4" t="s">
        <v>47</v>
      </c>
    </row>
    <row r="5" spans="1:6">
      <c r="A5" t="s">
        <v>23</v>
      </c>
      <c r="B5">
        <v>70.579899999999995</v>
      </c>
      <c r="C5">
        <v>2.0992999999999999</v>
      </c>
      <c r="D5">
        <v>2.9141295</v>
      </c>
      <c r="E5">
        <v>3.4824000000000002</v>
      </c>
      <c r="F5" t="s">
        <v>48</v>
      </c>
    </row>
    <row r="6" spans="1:6">
      <c r="A6" t="s">
        <v>35</v>
      </c>
      <c r="B6">
        <v>45.2331</v>
      </c>
      <c r="C6">
        <v>-1.5206999999999999</v>
      </c>
      <c r="D6">
        <v>-2.3887532999999999</v>
      </c>
      <c r="E6">
        <v>-9.01E-2</v>
      </c>
      <c r="F6" t="s">
        <v>90</v>
      </c>
    </row>
    <row r="7" spans="1:6">
      <c r="A7" t="s">
        <v>26</v>
      </c>
      <c r="B7">
        <v>62.934399999999997</v>
      </c>
      <c r="C7">
        <v>-0.9425</v>
      </c>
      <c r="D7">
        <v>-1.5621991</v>
      </c>
      <c r="E7">
        <v>-2.1899999999999999E-2</v>
      </c>
      <c r="F7" t="s">
        <v>49</v>
      </c>
    </row>
    <row r="8" spans="1:6">
      <c r="A8" t="s">
        <v>36</v>
      </c>
      <c r="B8">
        <v>26.5108</v>
      </c>
      <c r="C8">
        <v>2.4060000000000001</v>
      </c>
      <c r="D8">
        <v>2.4379778999999999</v>
      </c>
      <c r="E8">
        <v>2.9142999999999999</v>
      </c>
      <c r="F8" t="s">
        <v>50</v>
      </c>
    </row>
    <row r="9" spans="1:6">
      <c r="A9" t="s">
        <v>18</v>
      </c>
      <c r="B9">
        <v>105.50790000000001</v>
      </c>
      <c r="C9">
        <v>-3.3822999999999999</v>
      </c>
      <c r="D9">
        <v>-2.986415</v>
      </c>
      <c r="E9">
        <v>-0.84899999999999998</v>
      </c>
      <c r="F9" t="s">
        <v>51</v>
      </c>
    </row>
    <row r="10" spans="1:6">
      <c r="A10" t="s">
        <v>70</v>
      </c>
      <c r="B10">
        <v>21.383600000000001</v>
      </c>
      <c r="C10">
        <v>-0.73899999999999999</v>
      </c>
      <c r="D10">
        <v>-3.4372391000000002</v>
      </c>
      <c r="E10">
        <v>-0.28839999999999999</v>
      </c>
      <c r="F10" t="s">
        <v>72</v>
      </c>
    </row>
    <row r="11" spans="1:6">
      <c r="A11" t="s">
        <v>21</v>
      </c>
      <c r="B11">
        <v>80.487399999999994</v>
      </c>
      <c r="C11">
        <v>-1.768</v>
      </c>
      <c r="D11">
        <v>-3.4097268999999999</v>
      </c>
      <c r="E11">
        <v>-0.53010000000000002</v>
      </c>
      <c r="F11" t="s">
        <v>52</v>
      </c>
    </row>
    <row r="12" spans="1:6">
      <c r="A12" t="s">
        <v>17</v>
      </c>
      <c r="B12">
        <v>112.4088</v>
      </c>
      <c r="C12">
        <v>-5.0042999999999997</v>
      </c>
      <c r="D12">
        <v>-5.3136057000000001</v>
      </c>
      <c r="E12">
        <v>-2.9683999999999999</v>
      </c>
      <c r="F12" t="s">
        <v>53</v>
      </c>
    </row>
    <row r="13" spans="1:6">
      <c r="A13" t="s">
        <v>15</v>
      </c>
      <c r="B13">
        <v>153.85239999999999</v>
      </c>
      <c r="C13">
        <v>-1.6950000000000001</v>
      </c>
      <c r="D13">
        <v>-1.1512785000000001</v>
      </c>
      <c r="E13">
        <v>1.7294</v>
      </c>
      <c r="F13" t="s">
        <v>54</v>
      </c>
    </row>
    <row r="14" spans="1:6">
      <c r="A14" t="s">
        <v>27</v>
      </c>
      <c r="B14">
        <v>59.525199999999998</v>
      </c>
      <c r="C14">
        <v>-3.5903999999999998</v>
      </c>
      <c r="D14">
        <v>-2.6152508000000001</v>
      </c>
      <c r="E14">
        <v>-1.9611000000000001</v>
      </c>
      <c r="F14" t="s">
        <v>55</v>
      </c>
    </row>
    <row r="15" spans="1:6">
      <c r="A15" t="s">
        <v>24</v>
      </c>
      <c r="B15">
        <v>74.287999999999997</v>
      </c>
      <c r="C15">
        <v>-4.8833000000000002</v>
      </c>
      <c r="D15">
        <v>-5.4353331000000003</v>
      </c>
      <c r="E15">
        <v>3.49E-2</v>
      </c>
      <c r="F15" t="s">
        <v>56</v>
      </c>
    </row>
    <row r="16" spans="1:6">
      <c r="A16" t="s">
        <v>37</v>
      </c>
      <c r="B16">
        <v>42.488799999999998</v>
      </c>
      <c r="C16">
        <v>1.8375999999999999</v>
      </c>
      <c r="D16">
        <v>1.256939</v>
      </c>
      <c r="E16">
        <v>2.5287999999999999</v>
      </c>
      <c r="F16" t="s">
        <v>57</v>
      </c>
    </row>
    <row r="17" spans="1:6">
      <c r="A17" t="s">
        <v>16</v>
      </c>
      <c r="B17">
        <v>138.62440000000001</v>
      </c>
      <c r="C17">
        <v>-5.0214999999999996</v>
      </c>
      <c r="D17">
        <v>-4.4258338999999998</v>
      </c>
      <c r="E17">
        <v>-1.0503</v>
      </c>
      <c r="F17" t="s">
        <v>58</v>
      </c>
    </row>
    <row r="18" spans="1:6">
      <c r="A18" t="s">
        <v>38</v>
      </c>
      <c r="B18">
        <v>38.924900000000001</v>
      </c>
      <c r="C18">
        <v>-0.75580000000000003</v>
      </c>
      <c r="D18">
        <v>-1.8301745</v>
      </c>
      <c r="E18">
        <v>-4.02E-2</v>
      </c>
      <c r="F18" t="s">
        <v>59</v>
      </c>
    </row>
    <row r="19" spans="1:6">
      <c r="A19" t="s">
        <v>71</v>
      </c>
      <c r="B19">
        <v>27.071300000000001</v>
      </c>
      <c r="C19">
        <v>-0.27410000000000001</v>
      </c>
      <c r="D19">
        <v>-1.6989411000000001</v>
      </c>
      <c r="E19">
        <v>9.7699999999999995E-2</v>
      </c>
      <c r="F19" t="s">
        <v>73</v>
      </c>
    </row>
    <row r="20" spans="1:6">
      <c r="A20" t="s">
        <v>39</v>
      </c>
      <c r="B20">
        <v>44.530799999999999</v>
      </c>
      <c r="C20">
        <v>-2.3959000000000001</v>
      </c>
      <c r="D20">
        <v>-2.8062051000000001</v>
      </c>
      <c r="E20">
        <v>-1.3625</v>
      </c>
      <c r="F20" t="s">
        <v>60</v>
      </c>
    </row>
    <row r="21" spans="1:6">
      <c r="A21" t="s">
        <v>29</v>
      </c>
      <c r="B21">
        <v>52.027200000000001</v>
      </c>
      <c r="C21">
        <v>-4.1756000000000002</v>
      </c>
      <c r="D21">
        <v>-4.3425624999999997</v>
      </c>
      <c r="E21">
        <v>-2.8972000000000002</v>
      </c>
      <c r="F21" t="s">
        <v>61</v>
      </c>
    </row>
    <row r="22" spans="1:6">
      <c r="A22" t="s">
        <v>40</v>
      </c>
      <c r="B22">
        <v>47.061199999999999</v>
      </c>
      <c r="C22">
        <v>-1.3419000000000001</v>
      </c>
      <c r="D22">
        <v>-1.9866604000000001</v>
      </c>
      <c r="E22">
        <v>-0.64170000000000005</v>
      </c>
      <c r="F22" t="s">
        <v>62</v>
      </c>
    </row>
    <row r="23" spans="1:6">
      <c r="A23" t="s">
        <v>91</v>
      </c>
      <c r="B23">
        <v>42.025700000000001</v>
      </c>
      <c r="D23">
        <v>15.0121235</v>
      </c>
      <c r="E23">
        <v>-15.153329567108999</v>
      </c>
      <c r="F23" t="s">
        <v>92</v>
      </c>
    </row>
    <row r="24" spans="1:6">
      <c r="A24" t="s">
        <v>30</v>
      </c>
      <c r="B24">
        <v>53.659399999999998</v>
      </c>
      <c r="C24">
        <v>-4.8132999999999999</v>
      </c>
      <c r="D24">
        <v>-5.3969597</v>
      </c>
      <c r="E24">
        <v>-2.6137000000000001</v>
      </c>
      <c r="F24" t="s">
        <v>63</v>
      </c>
    </row>
    <row r="25" spans="1:6">
      <c r="A25" t="s">
        <v>20</v>
      </c>
      <c r="B25">
        <v>95.631399999999999</v>
      </c>
      <c r="C25">
        <v>4.0899999999999999E-2</v>
      </c>
      <c r="D25">
        <v>0.43677359999999998</v>
      </c>
      <c r="E25">
        <v>2.2021000000000002</v>
      </c>
      <c r="F25" t="s">
        <v>64</v>
      </c>
    </row>
    <row r="26" spans="1:6">
      <c r="A26" t="s">
        <v>31</v>
      </c>
      <c r="B26">
        <v>50.9101</v>
      </c>
      <c r="C26">
        <v>-6.4054000000000002</v>
      </c>
      <c r="D26">
        <v>-6.8675120999999999</v>
      </c>
      <c r="E26">
        <v>-4.4069000000000003</v>
      </c>
      <c r="F26" t="s">
        <v>65</v>
      </c>
    </row>
    <row r="27" spans="1:6">
      <c r="A27" t="s">
        <v>28</v>
      </c>
      <c r="B27">
        <v>58.478900000000003</v>
      </c>
      <c r="C27">
        <v>-5.5941000000000001</v>
      </c>
      <c r="D27">
        <v>-5.8555194000000004</v>
      </c>
      <c r="E27">
        <v>-4.2629000000000001</v>
      </c>
      <c r="F27" t="s">
        <v>66</v>
      </c>
    </row>
    <row r="28" spans="1:6">
      <c r="A28" t="s">
        <v>25</v>
      </c>
      <c r="B28">
        <v>68.073499999999996</v>
      </c>
      <c r="C28">
        <v>-2.6583999999999999</v>
      </c>
      <c r="D28">
        <v>-2.8026968999999999</v>
      </c>
      <c r="E28">
        <v>-1.2446999999999999</v>
      </c>
      <c r="F28" t="s">
        <v>67</v>
      </c>
    </row>
    <row r="29" spans="1:6">
      <c r="A29" t="s">
        <v>41</v>
      </c>
      <c r="B29">
        <v>31.952200000000001</v>
      </c>
      <c r="C29">
        <v>-3.1800000000000002E-2</v>
      </c>
      <c r="D29">
        <v>-1.4251468</v>
      </c>
      <c r="E29">
        <v>0.69279999999999997</v>
      </c>
      <c r="F29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BFDD45C1-CA53-4BE1-BC80-EEF8BC8C9A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5A833E-DE3A-42DE-8923-223B80F1121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3B50105-843E-4D98-9D30-BD0F3BA1B83F}"/>
</file>

<file path=customXml/itemProps4.xml><?xml version="1.0" encoding="utf-8"?>
<ds:datastoreItem xmlns:ds="http://schemas.openxmlformats.org/officeDocument/2006/customXml" ds:itemID="{9004D887-2827-45F7-864D-DF4598217E1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cb819fb5-7a2e-4b89-bc92-a4a41aeee6a3"/>
    <ds:schemaRef ds:uri="ce2f90be-01a7-4dcd-a986-22ff235a6b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table_all</vt:lpstr>
      <vt:lpstr>table_summary</vt:lpstr>
      <vt:lpstr>results_spb</vt:lpstr>
      <vt:lpstr>ameco_2024_data</vt:lpstr>
      <vt:lpstr>table_all!Print_Area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Zsolt</dc:creator>
  <cp:keywords/>
  <dc:description/>
  <cp:lastModifiedBy>Lennard Welslau</cp:lastModifiedBy>
  <cp:revision/>
  <dcterms:created xsi:type="dcterms:W3CDTF">2023-08-09T11:46:10Z</dcterms:created>
  <dcterms:modified xsi:type="dcterms:W3CDTF">2024-06-23T17:29:48Z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  <property fmtid="{D5CDD505-2E9C-101B-9397-08002B2CF9AE}" pid="3" name="MediaServiceImageTags">
    <vt:lpwstr/>
  </property>
</Properties>
</file>