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63" documentId="8_{6E7EEEFE-55B3-4CB4-B339-E13DF4D2002E}" xr6:coauthVersionLast="47" xr6:coauthVersionMax="47" xr10:uidLastSave="{A2C2D8DC-25BD-4929-BC9B-0B424DAD8F04}"/>
  <bookViews>
    <workbookView xWindow="-12135" yWindow="-19335" windowWidth="21570" windowHeight="15285" xr2:uid="{00000000-000D-0000-FFFF-FFFF00000000}"/>
  </bookViews>
  <sheets>
    <sheet name="Worksheet" sheetId="1" r:id="rId1"/>
    <sheet name="DEU" sheetId="2" r:id="rId2"/>
  </sheets>
  <definedNames>
    <definedName name="_xlnm._FilterDatabase" localSheetId="0" hidden="1">Worksheet!$A$1:$AL$1471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5" i="1" l="1"/>
  <c r="I256" i="1"/>
  <c r="I257" i="1" s="1"/>
  <c r="I258" i="1" s="1"/>
  <c r="I259" i="1" s="1"/>
  <c r="I260" i="1" s="1"/>
  <c r="I261" i="1" s="1"/>
  <c r="I262" i="1" s="1"/>
  <c r="I263" i="1" s="1"/>
  <c r="I264" i="1" s="1"/>
  <c r="I265" i="1" s="1"/>
  <c r="I254" i="1"/>
  <c r="O1039" i="1" l="1"/>
  <c r="N1039" i="1"/>
  <c r="L1040" i="1"/>
  <c r="O1040" i="1" s="1"/>
  <c r="L1041" i="1"/>
  <c r="O1041" i="1" s="1"/>
  <c r="L1039" i="1"/>
  <c r="N1041" i="1" l="1"/>
  <c r="N1040" i="1"/>
  <c r="N3" i="2" l="1"/>
  <c r="E4" i="2"/>
  <c r="E5" i="2"/>
  <c r="E3" i="2"/>
</calcChain>
</file>

<file path=xl/sharedStrings.xml><?xml version="1.0" encoding="utf-8"?>
<sst xmlns="http://schemas.openxmlformats.org/spreadsheetml/2006/main" count="1525" uniqueCount="82">
  <si>
    <t>COUNTRY</t>
  </si>
  <si>
    <t>YEAR</t>
  </si>
  <si>
    <t>DEBT_TOTAL</t>
  </si>
  <si>
    <t>DEBT_RATIO</t>
  </si>
  <si>
    <t>NOMINAL_GDP</t>
  </si>
  <si>
    <t>NOMINAL_GDP_GROWTH</t>
  </si>
  <si>
    <t>REAL_GDP</t>
  </si>
  <si>
    <t>REAL_GDP_GROWTH</t>
  </si>
  <si>
    <t>POTENTIAL_GDP</t>
  </si>
  <si>
    <t>POTENTIAL_GDP_GROWTH</t>
  </si>
  <si>
    <t>GDP_DEFLATOR_PCH</t>
  </si>
  <si>
    <t>EA_GDP_DEFLATOR_PCH</t>
  </si>
  <si>
    <t>PRIMARY_BALANCE</t>
  </si>
  <si>
    <t>STRUCTURAL_PRIMARY_BALANCE</t>
  </si>
  <si>
    <t>FISCAL_BALANCE</t>
  </si>
  <si>
    <t>STOCK_FLOW</t>
  </si>
  <si>
    <t>PRIMARY_EXPENDITURE_SHARE</t>
  </si>
  <si>
    <t>AGEING_COST</t>
  </si>
  <si>
    <t>PENSION_REVENUE</t>
  </si>
  <si>
    <t>PENSION_BALANCE</t>
  </si>
  <si>
    <t>PROPERTY_INCOME</t>
  </si>
  <si>
    <t>TAX_AND_PROPERTY_INCOME</t>
  </si>
  <si>
    <t>IMPLICIT_INTEREST_RATE</t>
  </si>
  <si>
    <t>INTEREST_RATE_ST</t>
  </si>
  <si>
    <t>INTEREST_RATE_LT</t>
  </si>
  <si>
    <t>EXR_EUR</t>
  </si>
  <si>
    <t>EXR_USD</t>
  </si>
  <si>
    <t>ESM_REPAYMENT</t>
  </si>
  <si>
    <t>BOND_REPAYMENT</t>
  </si>
  <si>
    <t>DEBT_ST_SHARE</t>
  </si>
  <si>
    <t>DEBT_LT_MATURING_SHARE</t>
  </si>
  <si>
    <t>DEBT_LT_MATURING_AVG_SHARE</t>
  </si>
  <si>
    <t>DEBT_DOMESTIC_SHARE</t>
  </si>
  <si>
    <t>DEBT_EUR_SHARE</t>
  </si>
  <si>
    <t>FWD_RATE_3M10Y</t>
  </si>
  <si>
    <t>FWD_RATE_10Y10Y</t>
  </si>
  <si>
    <t>FWD_INFL_5Y5Y</t>
  </si>
  <si>
    <t>BUDGET_BALANCE_ELASTICITY</t>
  </si>
  <si>
    <t>AUT</t>
  </si>
  <si>
    <t>BEL</t>
  </si>
  <si>
    <t>BGR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</si>
  <si>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</si>
  <si>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</si>
  <si>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</si>
  <si>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</si>
  <si>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</si>
  <si>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</si>
  <si>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</si>
  <si>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</si>
  <si>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</si>
  <si>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</si>
  <si>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</si>
  <si>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</si>
  <si>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</si>
  <si>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</si>
  <si>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</si>
  <si>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</si>
  <si>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</si>
  <si>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</si>
  <si>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</si>
  <si>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NOR</t>
  </si>
  <si>
    <t>POL</t>
  </si>
  <si>
    <t>PRT</t>
  </si>
  <si>
    <t>ROU</t>
  </si>
  <si>
    <t>SVK</t>
  </si>
  <si>
    <t>SVN</t>
  </si>
  <si>
    <t>SWE</t>
  </si>
  <si>
    <t>USA</t>
  </si>
  <si>
    <t>D</t>
  </si>
  <si>
    <t>D_RATIO</t>
  </si>
  <si>
    <t>PB</t>
  </si>
  <si>
    <t>Primary Balance</t>
  </si>
  <si>
    <t>SF</t>
  </si>
  <si>
    <t>IIR</t>
  </si>
  <si>
    <t>I_ST</t>
  </si>
  <si>
    <t>I_LT</t>
  </si>
  <si>
    <t>D_SHARE_ST</t>
  </si>
  <si>
    <t>PHI_LT</t>
  </si>
  <si>
    <t>ALPHA_EUR</t>
  </si>
  <si>
    <t>ALPHA_USD</t>
  </si>
  <si>
    <t>I_ST_10F</t>
  </si>
  <si>
    <t>I_LT_10F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</si>
</sst>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1471"/>
  <sheetViews>
    <sheetView tabSelected="1" topLeftCell="A32" zoomScale="85" workbookViewId="0">
      <selection activeCell="H265" sqref="H265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0</v>
      </c>
      <c r="AD2">
        <v>6.1471705976985001E-2</v>
      </c>
      <c r="AE2">
        <v>8.1438838861985996E-2</v>
      </c>
      <c r="AF2">
        <v>0.10377507693853</v>
      </c>
      <c r="AG2">
        <v>0.99857915261676999</v>
      </c>
      <c r="AH2">
        <v>0</v>
      </c>
      <c r="AI2">
        <v>3.1791984210525999</v>
      </c>
      <c r="AJ2">
        <v>3.9130147368421002</v>
      </c>
      <c r="AK2">
        <v>2.1578473684211001</v>
      </c>
      <c r="AL2">
        <v>0.57099999999999995</v>
      </c>
    </row>
    <row r="3" spans="1:38" x14ac:dyDescent="0.3">
      <c r="A3" t="s">
        <v>38</v>
      </c>
      <c r="B3">
        <v>2024</v>
      </c>
      <c r="C3">
        <v>394.1</v>
      </c>
      <c r="D3">
        <v>81.780100000000004</v>
      </c>
      <c r="E3">
        <v>481.94</v>
      </c>
      <c r="F3">
        <v>1.8412528287183001</v>
      </c>
      <c r="G3">
        <v>410.70673712446001</v>
      </c>
      <c r="H3">
        <v>-1.1735386137270001</v>
      </c>
      <c r="I3">
        <v>415.57694861722001</v>
      </c>
      <c r="J3">
        <v>0.32934247946285999</v>
      </c>
      <c r="K3">
        <v>3.0505912489226001</v>
      </c>
      <c r="L3">
        <v>2.9323319626384001</v>
      </c>
      <c r="M3">
        <v>-3.1508007999999998</v>
      </c>
      <c r="N3">
        <v>-2.4815999999999998</v>
      </c>
      <c r="O3">
        <v>-4.6654042000000002</v>
      </c>
      <c r="P3">
        <v>0.13</v>
      </c>
      <c r="Q3">
        <v>54.780630000000002</v>
      </c>
      <c r="R3">
        <v>28.011919010153999</v>
      </c>
      <c r="S3">
        <v>2.3978412800808999</v>
      </c>
      <c r="U3">
        <v>0</v>
      </c>
      <c r="V3">
        <v>0</v>
      </c>
      <c r="W3">
        <v>1.9647589999999999</v>
      </c>
      <c r="X3">
        <v>3.9359999999999999</v>
      </c>
      <c r="Y3">
        <v>2.8427083333333001</v>
      </c>
      <c r="Z3">
        <v>1</v>
      </c>
      <c r="AA3">
        <v>1.0823804690000001</v>
      </c>
    </row>
    <row r="4" spans="1:38" x14ac:dyDescent="0.3">
      <c r="A4" t="s">
        <v>38</v>
      </c>
      <c r="B4">
        <v>2025</v>
      </c>
      <c r="C4">
        <v>417.9</v>
      </c>
      <c r="D4">
        <v>84.037000000000006</v>
      </c>
      <c r="E4">
        <v>497.29829999999998</v>
      </c>
      <c r="F4">
        <v>3.1867659874673002</v>
      </c>
      <c r="G4">
        <v>409.54555961538</v>
      </c>
      <c r="H4">
        <v>-0.28272667675381002</v>
      </c>
      <c r="I4">
        <v>416.47563991723001</v>
      </c>
      <c r="J4">
        <v>0.21625147953936</v>
      </c>
      <c r="K4">
        <v>3.4793317974660001</v>
      </c>
      <c r="L4">
        <v>2.4767093808285998</v>
      </c>
      <c r="M4">
        <v>-2.6505003999999999</v>
      </c>
      <c r="N4">
        <v>-1.7003999999999999</v>
      </c>
      <c r="O4">
        <v>-4.3825364999999996</v>
      </c>
      <c r="P4">
        <v>1.99</v>
      </c>
      <c r="Q4">
        <v>54.641520700000001</v>
      </c>
      <c r="R4">
        <v>28.340349553970999</v>
      </c>
      <c r="S4">
        <v>2.4341954741506999</v>
      </c>
      <c r="U4">
        <v>0</v>
      </c>
      <c r="V4">
        <v>3.5481855273247001E-2</v>
      </c>
      <c r="W4">
        <v>2.1854119000000001</v>
      </c>
      <c r="X4">
        <v>3.3839999999999999</v>
      </c>
      <c r="Y4">
        <v>2.9756399999999998</v>
      </c>
      <c r="Z4">
        <v>1</v>
      </c>
      <c r="AA4">
        <v>1.113519535</v>
      </c>
      <c r="AC4">
        <v>27.585858043999998</v>
      </c>
    </row>
    <row r="5" spans="1:38" x14ac:dyDescent="0.3">
      <c r="A5" t="s">
        <v>38</v>
      </c>
      <c r="B5">
        <v>2026</v>
      </c>
      <c r="C5">
        <v>440.1</v>
      </c>
      <c r="D5">
        <v>85.764300000000006</v>
      </c>
      <c r="E5">
        <v>513.19629999999995</v>
      </c>
      <c r="F5">
        <v>3.1968739889117002</v>
      </c>
      <c r="G5">
        <v>413.52648277796999</v>
      </c>
      <c r="H5">
        <v>0.97203426312926</v>
      </c>
      <c r="I5">
        <v>418.09972171280998</v>
      </c>
      <c r="J5">
        <v>0.38995841290966998</v>
      </c>
      <c r="K5">
        <v>2.2034166124802002</v>
      </c>
      <c r="L5">
        <v>2.0119566334671002</v>
      </c>
      <c r="M5">
        <v>-2.4347368999999999</v>
      </c>
      <c r="N5">
        <v>-1.8102</v>
      </c>
      <c r="O5">
        <v>-4.2306039999999996</v>
      </c>
      <c r="P5">
        <v>0.51</v>
      </c>
      <c r="Q5">
        <v>54.506783800000001</v>
      </c>
      <c r="R5">
        <v>28.541102147537998</v>
      </c>
      <c r="S5">
        <v>2.4501502578253</v>
      </c>
      <c r="U5">
        <v>0</v>
      </c>
      <c r="V5">
        <v>5.0564765930176003E-2</v>
      </c>
      <c r="W5">
        <v>2.2053131000000001</v>
      </c>
      <c r="Z5">
        <v>1</v>
      </c>
      <c r="AA5">
        <v>1.1346799999999999</v>
      </c>
      <c r="AC5">
        <v>33.921390000000002</v>
      </c>
    </row>
    <row r="6" spans="1:38" x14ac:dyDescent="0.3">
      <c r="A6" t="s">
        <v>38</v>
      </c>
      <c r="B6">
        <v>2027</v>
      </c>
      <c r="G6">
        <v>417.91972814062001</v>
      </c>
      <c r="H6">
        <v>1.0623854929767</v>
      </c>
      <c r="I6">
        <v>420.98962758654</v>
      </c>
      <c r="J6">
        <v>0.69120014285086995</v>
      </c>
      <c r="R6">
        <v>28.770513185986001</v>
      </c>
      <c r="S6">
        <v>2.4693114756995</v>
      </c>
      <c r="U6">
        <v>0</v>
      </c>
      <c r="V6">
        <v>6.8853475153446003E-2</v>
      </c>
      <c r="AC6">
        <v>25.839980012000002</v>
      </c>
    </row>
    <row r="7" spans="1:38" x14ac:dyDescent="0.3">
      <c r="A7" t="s">
        <v>38</v>
      </c>
      <c r="B7">
        <v>2028</v>
      </c>
      <c r="G7">
        <v>422.24614577047998</v>
      </c>
      <c r="H7">
        <v>1.0352269439652999</v>
      </c>
      <c r="I7">
        <v>423.79131057296001</v>
      </c>
      <c r="J7">
        <v>0.66549929091586002</v>
      </c>
      <c r="R7">
        <v>28.897694077747001</v>
      </c>
      <c r="S7">
        <v>2.475210743566</v>
      </c>
      <c r="U7">
        <v>0</v>
      </c>
      <c r="V7">
        <v>7.3881454765796994E-2</v>
      </c>
      <c r="AC7">
        <v>25.895530000000001</v>
      </c>
    </row>
    <row r="8" spans="1:38" x14ac:dyDescent="0.3">
      <c r="A8" t="s">
        <v>38</v>
      </c>
      <c r="B8">
        <v>2029</v>
      </c>
      <c r="G8">
        <v>426.86313396865</v>
      </c>
      <c r="H8">
        <v>1.0934352496565001</v>
      </c>
      <c r="I8">
        <v>426.86313396865</v>
      </c>
      <c r="J8">
        <v>0.72484341208705005</v>
      </c>
      <c r="R8">
        <v>28.983875166992998</v>
      </c>
      <c r="S8">
        <v>2.4731989411319999</v>
      </c>
      <c r="U8">
        <v>0</v>
      </c>
      <c r="V8">
        <v>7.0997290313244005E-2</v>
      </c>
      <c r="AC8">
        <v>27.763313521000001</v>
      </c>
    </row>
    <row r="9" spans="1:38" x14ac:dyDescent="0.3">
      <c r="A9" t="s">
        <v>38</v>
      </c>
      <c r="B9">
        <v>2030</v>
      </c>
      <c r="J9">
        <v>0.81423120679008998</v>
      </c>
      <c r="R9">
        <v>29.079918304073999</v>
      </c>
      <c r="S9">
        <v>2.4723217988277</v>
      </c>
      <c r="U9">
        <v>0</v>
      </c>
      <c r="V9">
        <v>6.9248281419276997E-2</v>
      </c>
      <c r="AC9">
        <v>23.264020200000001</v>
      </c>
    </row>
    <row r="10" spans="1:38" x14ac:dyDescent="0.3">
      <c r="A10" t="s">
        <v>38</v>
      </c>
      <c r="B10">
        <v>2031</v>
      </c>
      <c r="J10">
        <v>0.90361900149314001</v>
      </c>
      <c r="R10">
        <v>29.174852829702999</v>
      </c>
      <c r="S10">
        <v>2.4705764160685</v>
      </c>
      <c r="U10">
        <v>0</v>
      </c>
      <c r="V10">
        <v>6.6630102694035007E-2</v>
      </c>
      <c r="AC10">
        <v>18.078386649999999</v>
      </c>
    </row>
    <row r="11" spans="1:38" x14ac:dyDescent="0.3">
      <c r="A11" t="s">
        <v>38</v>
      </c>
      <c r="B11">
        <v>2032</v>
      </c>
      <c r="J11">
        <v>0.99300679619618004</v>
      </c>
      <c r="R11">
        <v>29.25844635804</v>
      </c>
      <c r="S11">
        <v>2.4646630365219999</v>
      </c>
      <c r="U11">
        <v>0</v>
      </c>
      <c r="V11">
        <v>5.9845000505446999E-2</v>
      </c>
      <c r="AC11">
        <v>17.490531162</v>
      </c>
    </row>
    <row r="12" spans="1:38" x14ac:dyDescent="0.3">
      <c r="A12" t="s">
        <v>38</v>
      </c>
      <c r="B12">
        <v>2033</v>
      </c>
      <c r="J12">
        <v>1.0823945908992001</v>
      </c>
      <c r="R12">
        <v>29.292878162257001</v>
      </c>
      <c r="S12">
        <v>2.4505661483208998</v>
      </c>
      <c r="U12">
        <v>0</v>
      </c>
      <c r="V12">
        <v>4.4875867664814002E-2</v>
      </c>
      <c r="AC12">
        <v>19.511429884999998</v>
      </c>
    </row>
    <row r="13" spans="1:38" x14ac:dyDescent="0.3">
      <c r="A13" t="s">
        <v>38</v>
      </c>
      <c r="B13">
        <v>2034</v>
      </c>
      <c r="J13">
        <v>1.1717823856023</v>
      </c>
      <c r="R13">
        <v>29.363550384096001</v>
      </c>
      <c r="S13">
        <v>2.4413834694554</v>
      </c>
      <c r="U13">
        <v>0</v>
      </c>
      <c r="V13">
        <v>3.4820765256881998E-2</v>
      </c>
      <c r="AC13">
        <v>24.726655893</v>
      </c>
    </row>
    <row r="14" spans="1:38" x14ac:dyDescent="0.3">
      <c r="A14" t="s">
        <v>38</v>
      </c>
      <c r="B14">
        <v>2035</v>
      </c>
      <c r="J14">
        <v>1.2611701803052999</v>
      </c>
      <c r="R14">
        <v>29.398868590983</v>
      </c>
      <c r="S14">
        <v>2.4276285182675998</v>
      </c>
      <c r="U14">
        <v>0</v>
      </c>
      <c r="V14">
        <v>3.6915680359709997E-2</v>
      </c>
      <c r="AC14">
        <v>6.9833108270000004</v>
      </c>
    </row>
    <row r="15" spans="1:38" x14ac:dyDescent="0.3">
      <c r="A15" t="s">
        <v>38</v>
      </c>
      <c r="B15">
        <v>2036</v>
      </c>
      <c r="J15">
        <v>1.3505579750084</v>
      </c>
      <c r="R15">
        <v>29.415443245961001</v>
      </c>
      <c r="S15">
        <v>2.4112447680592002</v>
      </c>
      <c r="U15">
        <v>0</v>
      </c>
      <c r="V15">
        <v>3.9010595462539002E-2</v>
      </c>
      <c r="AC15">
        <v>8.9620599999999992</v>
      </c>
    </row>
    <row r="16" spans="1:38" x14ac:dyDescent="0.3">
      <c r="A16" t="s">
        <v>38</v>
      </c>
      <c r="B16">
        <v>2037</v>
      </c>
      <c r="J16">
        <v>1.4044587947655001</v>
      </c>
      <c r="R16">
        <v>29.420630701966999</v>
      </c>
      <c r="S16">
        <v>2.39299338952</v>
      </c>
      <c r="U16">
        <v>0</v>
      </c>
      <c r="V16">
        <v>4.1105510565368E-2</v>
      </c>
      <c r="AC16">
        <v>15.866012</v>
      </c>
    </row>
    <row r="17" spans="1:29" x14ac:dyDescent="0.3">
      <c r="A17" t="s">
        <v>38</v>
      </c>
      <c r="B17">
        <v>2038</v>
      </c>
      <c r="J17">
        <v>1.4681668895149</v>
      </c>
      <c r="R17">
        <v>29.407796670850999</v>
      </c>
      <c r="S17">
        <v>2.3717831852088</v>
      </c>
      <c r="U17">
        <v>0</v>
      </c>
      <c r="V17">
        <v>4.3200425668195999E-2</v>
      </c>
      <c r="AC17">
        <v>0.15757438400000001</v>
      </c>
    </row>
    <row r="18" spans="1:29" x14ac:dyDescent="0.3">
      <c r="A18" t="s">
        <v>38</v>
      </c>
      <c r="B18">
        <v>2039</v>
      </c>
      <c r="J18">
        <v>1.5339351652907001</v>
      </c>
      <c r="R18">
        <v>29.386052486760999</v>
      </c>
      <c r="S18">
        <v>2.3489673451541999</v>
      </c>
      <c r="U18">
        <v>0</v>
      </c>
      <c r="V18">
        <v>4.5295340771024997E-2</v>
      </c>
      <c r="AC18">
        <v>5.1440504999999996</v>
      </c>
    </row>
    <row r="19" spans="1:29" x14ac:dyDescent="0.3">
      <c r="A19" t="s">
        <v>38</v>
      </c>
      <c r="B19">
        <v>2040</v>
      </c>
      <c r="J19">
        <v>1.5987093936196</v>
      </c>
      <c r="R19">
        <v>29.349564533992002</v>
      </c>
      <c r="S19">
        <v>2.3239518678548001</v>
      </c>
      <c r="U19">
        <v>0</v>
      </c>
      <c r="V19">
        <v>4.7390255873853003E-2</v>
      </c>
      <c r="AC19">
        <v>7.0437050000000001</v>
      </c>
    </row>
    <row r="20" spans="1:29" x14ac:dyDescent="0.3">
      <c r="A20" t="s">
        <v>38</v>
      </c>
      <c r="B20">
        <v>2041</v>
      </c>
      <c r="J20">
        <v>1.58297602804</v>
      </c>
      <c r="R20">
        <v>29.321460564673</v>
      </c>
      <c r="S20">
        <v>2.3002504495073</v>
      </c>
      <c r="U20">
        <v>0</v>
      </c>
      <c r="V20">
        <v>4.9485170976682001E-2</v>
      </c>
      <c r="AC20">
        <v>0.5</v>
      </c>
    </row>
    <row r="21" spans="1:29" x14ac:dyDescent="0.3">
      <c r="A21" t="s">
        <v>38</v>
      </c>
      <c r="B21">
        <v>2042</v>
      </c>
      <c r="J21">
        <v>1.5558007777745</v>
      </c>
      <c r="R21">
        <v>29.280537684056998</v>
      </c>
      <c r="S21">
        <v>2.2747291258316</v>
      </c>
      <c r="U21">
        <v>0</v>
      </c>
      <c r="V21">
        <v>5.1580086079510999E-2</v>
      </c>
      <c r="AC21">
        <v>0.2</v>
      </c>
    </row>
    <row r="22" spans="1:29" x14ac:dyDescent="0.3">
      <c r="A22" t="s">
        <v>38</v>
      </c>
      <c r="B22">
        <v>2043</v>
      </c>
      <c r="J22">
        <v>1.5055174630677</v>
      </c>
      <c r="R22">
        <v>29.269015651985999</v>
      </c>
      <c r="S22">
        <v>2.2541676646574</v>
      </c>
      <c r="U22">
        <v>0</v>
      </c>
      <c r="V22">
        <v>5.3675001182338998E-2</v>
      </c>
      <c r="AC22">
        <v>0</v>
      </c>
    </row>
    <row r="23" spans="1:29" x14ac:dyDescent="0.3">
      <c r="A23" t="s">
        <v>38</v>
      </c>
      <c r="B23">
        <v>2044</v>
      </c>
      <c r="J23">
        <v>1.4598575172071999</v>
      </c>
      <c r="R23">
        <v>29.270421846777001</v>
      </c>
      <c r="S23">
        <v>2.2358422411474002</v>
      </c>
      <c r="U23">
        <v>0</v>
      </c>
      <c r="V23">
        <v>5.5769916285168003E-2</v>
      </c>
      <c r="AC23">
        <v>9.7771519999999992</v>
      </c>
    </row>
    <row r="24" spans="1:29" x14ac:dyDescent="0.3">
      <c r="A24" t="s">
        <v>38</v>
      </c>
      <c r="B24">
        <v>2045</v>
      </c>
      <c r="J24">
        <v>1.4170041024832001</v>
      </c>
      <c r="R24">
        <v>29.278920919992</v>
      </c>
      <c r="S24">
        <v>2.2194816854371999</v>
      </c>
      <c r="U24">
        <v>0</v>
      </c>
      <c r="V24">
        <v>5.7864831387997001E-2</v>
      </c>
      <c r="AC24">
        <v>0</v>
      </c>
    </row>
    <row r="25" spans="1:29" x14ac:dyDescent="0.3">
      <c r="A25" t="s">
        <v>38</v>
      </c>
      <c r="B25">
        <v>2046</v>
      </c>
      <c r="J25">
        <v>1.3683034686729001</v>
      </c>
      <c r="R25">
        <v>29.303063903304</v>
      </c>
      <c r="S25">
        <v>2.2052089684891998</v>
      </c>
      <c r="U25">
        <v>0</v>
      </c>
      <c r="V25">
        <v>5.9959746490825E-2</v>
      </c>
      <c r="AC25">
        <v>0</v>
      </c>
    </row>
    <row r="26" spans="1:29" x14ac:dyDescent="0.3">
      <c r="A26" t="s">
        <v>38</v>
      </c>
      <c r="B26">
        <v>2047</v>
      </c>
      <c r="J26">
        <v>1.3220696401804</v>
      </c>
      <c r="R26">
        <v>29.333336162617002</v>
      </c>
      <c r="S26">
        <v>2.1926747280139001</v>
      </c>
      <c r="U26">
        <v>0</v>
      </c>
      <c r="V26">
        <v>6.2054661593653998E-2</v>
      </c>
      <c r="AC26">
        <v>10.390784</v>
      </c>
    </row>
    <row r="27" spans="1:29" x14ac:dyDescent="0.3">
      <c r="A27" t="s">
        <v>38</v>
      </c>
      <c r="B27">
        <v>2048</v>
      </c>
      <c r="J27">
        <v>1.2794404310302001</v>
      </c>
      <c r="R27">
        <v>29.367138808572999</v>
      </c>
      <c r="S27">
        <v>2.1814614626581998</v>
      </c>
      <c r="U27">
        <v>0</v>
      </c>
      <c r="V27">
        <v>6.4149576696482996E-2</v>
      </c>
      <c r="AC27">
        <v>0</v>
      </c>
    </row>
    <row r="28" spans="1:29" x14ac:dyDescent="0.3">
      <c r="A28" t="s">
        <v>38</v>
      </c>
      <c r="B28">
        <v>2049</v>
      </c>
      <c r="J28">
        <v>1.2489158228838999</v>
      </c>
      <c r="R28">
        <v>29.406409479006999</v>
      </c>
      <c r="S28">
        <v>2.1718044218307</v>
      </c>
      <c r="U28">
        <v>0</v>
      </c>
      <c r="V28">
        <v>6.6244491799310995E-2</v>
      </c>
      <c r="AC28">
        <v>8.15</v>
      </c>
    </row>
    <row r="29" spans="1:29" x14ac:dyDescent="0.3">
      <c r="A29" t="s">
        <v>38</v>
      </c>
      <c r="B29">
        <v>2050</v>
      </c>
      <c r="J29">
        <v>1.2182618785142001</v>
      </c>
      <c r="R29">
        <v>29.453600657616001</v>
      </c>
      <c r="S29">
        <v>2.1644272739538</v>
      </c>
      <c r="U29">
        <v>0</v>
      </c>
      <c r="V29">
        <v>6.8339406902140007E-2</v>
      </c>
      <c r="AC29">
        <v>0</v>
      </c>
    </row>
    <row r="30" spans="1:29" x14ac:dyDescent="0.3">
      <c r="A30" t="s">
        <v>38</v>
      </c>
      <c r="B30">
        <v>2051</v>
      </c>
      <c r="J30">
        <v>1.1848275015512</v>
      </c>
      <c r="R30">
        <v>29.500629768353999</v>
      </c>
      <c r="S30">
        <v>2.1584916560664</v>
      </c>
      <c r="U30">
        <v>0</v>
      </c>
      <c r="V30">
        <v>7.0434322004968006E-2</v>
      </c>
      <c r="AC30">
        <v>10.013135</v>
      </c>
    </row>
    <row r="31" spans="1:29" x14ac:dyDescent="0.3">
      <c r="A31" t="s">
        <v>38</v>
      </c>
      <c r="B31">
        <v>2052</v>
      </c>
      <c r="J31">
        <v>1.1555648149455</v>
      </c>
      <c r="R31">
        <v>29.555201417450998</v>
      </c>
      <c r="S31">
        <v>2.1543315285842</v>
      </c>
      <c r="U31">
        <v>0</v>
      </c>
      <c r="V31">
        <v>7.2529237107797004E-2</v>
      </c>
      <c r="AC31">
        <v>0</v>
      </c>
    </row>
    <row r="32" spans="1:29" x14ac:dyDescent="0.3">
      <c r="A32" t="s">
        <v>38</v>
      </c>
      <c r="B32">
        <v>2053</v>
      </c>
      <c r="J32">
        <v>1.1335509206187</v>
      </c>
      <c r="R32">
        <v>29.611774463593001</v>
      </c>
      <c r="S32">
        <v>2.152031021699</v>
      </c>
      <c r="U32">
        <v>0</v>
      </c>
      <c r="V32">
        <v>7.4624152210626002E-2</v>
      </c>
      <c r="AC32">
        <v>7.1863349999999997</v>
      </c>
    </row>
    <row r="33" spans="1:29" x14ac:dyDescent="0.3">
      <c r="A33" t="s">
        <v>38</v>
      </c>
      <c r="B33">
        <v>2054</v>
      </c>
      <c r="J33">
        <v>1.1102201814704999</v>
      </c>
      <c r="R33">
        <v>29.672887469892</v>
      </c>
      <c r="S33">
        <v>2.1509164209136999</v>
      </c>
      <c r="U33">
        <v>0</v>
      </c>
      <c r="V33">
        <v>7.6719067313454001E-2</v>
      </c>
      <c r="AC33">
        <v>0</v>
      </c>
    </row>
    <row r="34" spans="1:29" x14ac:dyDescent="0.3">
      <c r="A34" t="s">
        <v>38</v>
      </c>
      <c r="B34">
        <v>2055</v>
      </c>
      <c r="J34">
        <v>1.0969788418333</v>
      </c>
      <c r="R34">
        <v>29.724842837162999</v>
      </c>
      <c r="S34">
        <v>2.1505491987214</v>
      </c>
      <c r="U34">
        <v>0</v>
      </c>
      <c r="V34">
        <v>7.8813982416282999E-2</v>
      </c>
      <c r="AC34">
        <v>0</v>
      </c>
    </row>
    <row r="35" spans="1:29" x14ac:dyDescent="0.3">
      <c r="A35" t="s">
        <v>38</v>
      </c>
      <c r="B35">
        <v>2056</v>
      </c>
      <c r="J35">
        <v>1.0938855299190999</v>
      </c>
      <c r="R35">
        <v>29.773054136281999</v>
      </c>
      <c r="S35">
        <v>2.1510872840392001</v>
      </c>
      <c r="U35">
        <v>0</v>
      </c>
      <c r="V35">
        <v>8.0908897519111997E-2</v>
      </c>
      <c r="AC35">
        <v>0</v>
      </c>
    </row>
    <row r="36" spans="1:29" x14ac:dyDescent="0.3">
      <c r="A36" t="s">
        <v>38</v>
      </c>
      <c r="B36">
        <v>2057</v>
      </c>
      <c r="J36">
        <v>1.0967042947096</v>
      </c>
      <c r="R36">
        <v>29.812445479411998</v>
      </c>
      <c r="S36">
        <v>2.1516505849356999</v>
      </c>
      <c r="U36">
        <v>0</v>
      </c>
      <c r="V36">
        <v>8.3003812621939996E-2</v>
      </c>
      <c r="AC36">
        <v>0</v>
      </c>
    </row>
    <row r="37" spans="1:29" x14ac:dyDescent="0.3">
      <c r="A37" t="s">
        <v>38</v>
      </c>
      <c r="B37">
        <v>2058</v>
      </c>
      <c r="J37">
        <v>1.1040518367890999</v>
      </c>
      <c r="R37">
        <v>29.847530091246</v>
      </c>
      <c r="S37">
        <v>2.1529144606002002</v>
      </c>
      <c r="U37">
        <v>0</v>
      </c>
      <c r="V37">
        <v>8.5098727724768994E-2</v>
      </c>
      <c r="AC37">
        <v>0</v>
      </c>
    </row>
    <row r="38" spans="1:29" x14ac:dyDescent="0.3">
      <c r="A38" t="s">
        <v>38</v>
      </c>
      <c r="B38">
        <v>2059</v>
      </c>
      <c r="J38">
        <v>1.1118361246880999</v>
      </c>
      <c r="R38">
        <v>29.875723745875</v>
      </c>
      <c r="S38">
        <v>2.1543084797789001</v>
      </c>
      <c r="U38">
        <v>0</v>
      </c>
      <c r="V38">
        <v>8.7193642827598006E-2</v>
      </c>
      <c r="AC38">
        <v>0</v>
      </c>
    </row>
    <row r="39" spans="1:29" x14ac:dyDescent="0.3">
      <c r="A39" t="s">
        <v>38</v>
      </c>
      <c r="B39">
        <v>2060</v>
      </c>
      <c r="J39">
        <v>1.1223387585085001</v>
      </c>
      <c r="R39">
        <v>29.897347819157002</v>
      </c>
      <c r="S39">
        <v>2.1557190971300999</v>
      </c>
      <c r="U39">
        <v>0</v>
      </c>
      <c r="V39">
        <v>8.9288557930426005E-2</v>
      </c>
      <c r="AC39">
        <v>0</v>
      </c>
    </row>
    <row r="40" spans="1:29" x14ac:dyDescent="0.3">
      <c r="A40" t="s">
        <v>38</v>
      </c>
      <c r="B40">
        <v>2061</v>
      </c>
      <c r="J40">
        <v>1.1336774682849</v>
      </c>
      <c r="R40">
        <v>29.915562735622</v>
      </c>
      <c r="S40">
        <v>2.1573784298579</v>
      </c>
      <c r="U40">
        <v>0</v>
      </c>
      <c r="V40">
        <v>9.1383473033255003E-2</v>
      </c>
      <c r="AC40">
        <v>0</v>
      </c>
    </row>
    <row r="41" spans="1:29" x14ac:dyDescent="0.3">
      <c r="A41" t="s">
        <v>38</v>
      </c>
      <c r="B41">
        <v>2062</v>
      </c>
      <c r="J41">
        <v>1.1443601671009</v>
      </c>
      <c r="R41">
        <v>29.930264971006999</v>
      </c>
      <c r="S41">
        <v>2.1595252947044998</v>
      </c>
      <c r="U41">
        <v>0</v>
      </c>
      <c r="V41">
        <v>9.3478388136083002E-2</v>
      </c>
      <c r="AC41">
        <v>4.4736659999999997</v>
      </c>
    </row>
    <row r="42" spans="1:29" x14ac:dyDescent="0.3">
      <c r="A42" t="s">
        <v>38</v>
      </c>
      <c r="B42">
        <v>2063</v>
      </c>
      <c r="J42">
        <v>1.1529859401199001</v>
      </c>
      <c r="R42">
        <v>29.944528997222001</v>
      </c>
      <c r="S42">
        <v>2.1613923487947</v>
      </c>
      <c r="U42">
        <v>0</v>
      </c>
      <c r="V42">
        <v>9.5573303238912E-2</v>
      </c>
      <c r="AC42">
        <v>0</v>
      </c>
    </row>
    <row r="43" spans="1:29" x14ac:dyDescent="0.3">
      <c r="A43" t="s">
        <v>38</v>
      </c>
      <c r="B43">
        <v>2064</v>
      </c>
      <c r="J43">
        <v>1.1569104922375</v>
      </c>
      <c r="R43">
        <v>29.966912091299001</v>
      </c>
      <c r="S43">
        <v>2.1637505488994</v>
      </c>
      <c r="U43">
        <v>0</v>
      </c>
      <c r="V43">
        <v>9.7668218341740998E-2</v>
      </c>
      <c r="AC43">
        <v>0</v>
      </c>
    </row>
    <row r="44" spans="1:29" x14ac:dyDescent="0.3">
      <c r="A44" t="s">
        <v>38</v>
      </c>
      <c r="B44">
        <v>2065</v>
      </c>
      <c r="J44">
        <v>1.1560579998864999</v>
      </c>
      <c r="R44">
        <v>29.997211665173001</v>
      </c>
      <c r="S44">
        <v>2.1664664050767</v>
      </c>
      <c r="U44">
        <v>0</v>
      </c>
      <c r="V44">
        <v>9.9763133444568997E-2</v>
      </c>
      <c r="AC44">
        <v>0</v>
      </c>
    </row>
    <row r="45" spans="1:29" x14ac:dyDescent="0.3">
      <c r="A45" t="s">
        <v>38</v>
      </c>
      <c r="B45">
        <v>2066</v>
      </c>
      <c r="J45">
        <v>1.1533588534288</v>
      </c>
      <c r="R45">
        <v>30.035905893719001</v>
      </c>
      <c r="S45">
        <v>2.1693105274328</v>
      </c>
      <c r="U45">
        <v>0</v>
      </c>
      <c r="V45">
        <v>0.10185804854740001</v>
      </c>
      <c r="AC45">
        <v>0</v>
      </c>
    </row>
    <row r="46" spans="1:29" x14ac:dyDescent="0.3">
      <c r="A46" t="s">
        <v>38</v>
      </c>
      <c r="B46">
        <v>2067</v>
      </c>
      <c r="J46">
        <v>1.1481610366906001</v>
      </c>
      <c r="R46">
        <v>30.086514470845</v>
      </c>
      <c r="S46">
        <v>2.1726041214117999</v>
      </c>
      <c r="U46">
        <v>0</v>
      </c>
      <c r="V46">
        <v>0.10395296365023</v>
      </c>
      <c r="AC46">
        <v>0</v>
      </c>
    </row>
    <row r="47" spans="1:29" x14ac:dyDescent="0.3">
      <c r="A47" t="s">
        <v>38</v>
      </c>
      <c r="B47">
        <v>2068</v>
      </c>
      <c r="J47">
        <v>1.1430626970791999</v>
      </c>
      <c r="R47">
        <v>30.134273297162999</v>
      </c>
      <c r="S47">
        <v>2.1757370355173</v>
      </c>
      <c r="U47">
        <v>0</v>
      </c>
      <c r="V47">
        <v>0.10604787875306</v>
      </c>
      <c r="AC47">
        <v>0</v>
      </c>
    </row>
    <row r="48" spans="1:29" x14ac:dyDescent="0.3">
      <c r="A48" t="s">
        <v>38</v>
      </c>
      <c r="B48">
        <v>2069</v>
      </c>
      <c r="J48">
        <v>1.1394284558543999</v>
      </c>
      <c r="R48">
        <v>30.181579636073</v>
      </c>
      <c r="S48">
        <v>2.1786367874004999</v>
      </c>
      <c r="U48">
        <v>0</v>
      </c>
      <c r="V48">
        <v>0.10814279385588001</v>
      </c>
      <c r="AC48">
        <v>0</v>
      </c>
    </row>
    <row r="49" spans="1:38" x14ac:dyDescent="0.3">
      <c r="A49" t="s">
        <v>38</v>
      </c>
      <c r="B49">
        <v>2070</v>
      </c>
      <c r="J49">
        <v>1.1343351863444</v>
      </c>
      <c r="R49">
        <v>30.234429480985</v>
      </c>
      <c r="S49">
        <v>2.1818027230402</v>
      </c>
      <c r="U49">
        <v>0</v>
      </c>
      <c r="V49">
        <v>0.11023770895871</v>
      </c>
      <c r="AC49">
        <v>0</v>
      </c>
    </row>
    <row r="50" spans="1:38" x14ac:dyDescent="0.3">
      <c r="A50" t="s">
        <v>38</v>
      </c>
      <c r="B50">
        <v>2071</v>
      </c>
      <c r="V50">
        <v>0.11233262406154</v>
      </c>
    </row>
    <row r="51" spans="1:38" hidden="1" x14ac:dyDescent="0.3">
      <c r="A51" t="s">
        <v>39</v>
      </c>
      <c r="B51">
        <v>0</v>
      </c>
      <c r="AD51">
        <v>8.2990041354184002E-2</v>
      </c>
      <c r="AE51">
        <v>4.8511909950997002E-2</v>
      </c>
      <c r="AF51">
        <v>5.6872081791781E-2</v>
      </c>
      <c r="AG51">
        <v>1</v>
      </c>
      <c r="AH51">
        <v>0</v>
      </c>
      <c r="AI51">
        <v>3.3538231578947002</v>
      </c>
      <c r="AJ51">
        <v>4.5300231578946999</v>
      </c>
      <c r="AK51">
        <v>2.1578473684211001</v>
      </c>
      <c r="AL51">
        <v>0.61499999999999999</v>
      </c>
    </row>
    <row r="52" spans="1:38" hidden="1" x14ac:dyDescent="0.3">
      <c r="A52" t="s">
        <v>39</v>
      </c>
      <c r="B52">
        <v>2024</v>
      </c>
      <c r="C52">
        <v>642.9</v>
      </c>
      <c r="D52">
        <v>104.7056</v>
      </c>
      <c r="E52">
        <v>613.98389999999995</v>
      </c>
      <c r="F52">
        <v>2.9824084996595999</v>
      </c>
      <c r="G52">
        <v>524.98370274322997</v>
      </c>
      <c r="H52">
        <v>1.0189004028419999</v>
      </c>
      <c r="I52">
        <v>526.25454739728002</v>
      </c>
      <c r="J52">
        <v>1.6791782690099</v>
      </c>
      <c r="K52">
        <v>1.9437036796897</v>
      </c>
      <c r="L52">
        <v>2.9323319626384001</v>
      </c>
      <c r="M52">
        <v>-2.2590656999999998</v>
      </c>
      <c r="N52">
        <v>-1.9626999999999999</v>
      </c>
      <c r="O52">
        <v>-4.5194507000000002</v>
      </c>
      <c r="P52">
        <v>-0.45</v>
      </c>
      <c r="Q52">
        <v>52.227280999999998</v>
      </c>
      <c r="R52">
        <v>27.178330505161998</v>
      </c>
      <c r="S52">
        <v>1.8193038912574999</v>
      </c>
      <c r="U52">
        <v>0</v>
      </c>
      <c r="V52">
        <v>0</v>
      </c>
      <c r="W52">
        <v>2.2545513000000001</v>
      </c>
      <c r="X52">
        <v>3.64</v>
      </c>
      <c r="Y52">
        <v>2.9249999999999998</v>
      </c>
      <c r="Z52">
        <v>1</v>
      </c>
      <c r="AA52">
        <v>1.0823804690000001</v>
      </c>
    </row>
    <row r="53" spans="1:38" hidden="1" x14ac:dyDescent="0.3">
      <c r="A53" t="s">
        <v>39</v>
      </c>
      <c r="B53">
        <v>2025</v>
      </c>
      <c r="C53">
        <v>681.3</v>
      </c>
      <c r="D53">
        <v>107.1212</v>
      </c>
      <c r="E53">
        <v>636.05550000000005</v>
      </c>
      <c r="F53">
        <v>3.5948173885341999</v>
      </c>
      <c r="G53">
        <v>529.02047174682002</v>
      </c>
      <c r="H53">
        <v>0.76893225113299002</v>
      </c>
      <c r="I53">
        <v>533.56768227505995</v>
      </c>
      <c r="J53">
        <v>1.3896573272282999</v>
      </c>
      <c r="K53">
        <v>2.8043235727057998</v>
      </c>
      <c r="L53">
        <v>2.4767093808285998</v>
      </c>
      <c r="M53">
        <v>-3.0205677999999998</v>
      </c>
      <c r="N53">
        <v>-2.4472999999999998</v>
      </c>
      <c r="O53">
        <v>-5.4097757</v>
      </c>
      <c r="P53">
        <v>4.07</v>
      </c>
      <c r="Q53">
        <v>53.084155699999997</v>
      </c>
      <c r="R53">
        <v>27.117036250213001</v>
      </c>
      <c r="S53">
        <v>1.8126541449746001</v>
      </c>
      <c r="U53">
        <v>0</v>
      </c>
      <c r="V53">
        <v>-8.2487910985947002E-3</v>
      </c>
      <c r="W53">
        <v>2.3638617000000002</v>
      </c>
      <c r="X53">
        <v>3.2120000000000002</v>
      </c>
      <c r="Y53">
        <v>3.1419999999999999</v>
      </c>
      <c r="Z53">
        <v>1</v>
      </c>
      <c r="AA53">
        <v>1.113519535</v>
      </c>
      <c r="AC53">
        <v>54.157464275999999</v>
      </c>
    </row>
    <row r="54" spans="1:38" hidden="1" x14ac:dyDescent="0.3">
      <c r="A54" t="s">
        <v>39</v>
      </c>
      <c r="B54">
        <v>2026</v>
      </c>
      <c r="C54">
        <v>719.4</v>
      </c>
      <c r="D54">
        <v>109.8006</v>
      </c>
      <c r="E54">
        <v>655.16729999999995</v>
      </c>
      <c r="F54">
        <v>3.0047377941076001</v>
      </c>
      <c r="G54">
        <v>533.55696360891</v>
      </c>
      <c r="H54">
        <v>0.85752671292844995</v>
      </c>
      <c r="I54">
        <v>540.44081338242995</v>
      </c>
      <c r="J54">
        <v>1.2881460657557999</v>
      </c>
      <c r="K54">
        <v>2.1289597130327</v>
      </c>
      <c r="L54">
        <v>2.0119566334671002</v>
      </c>
      <c r="M54">
        <v>-2.9813679</v>
      </c>
      <c r="N54">
        <v>-2.198</v>
      </c>
      <c r="O54">
        <v>-5.5225426000000004</v>
      </c>
      <c r="P54">
        <v>1.85</v>
      </c>
      <c r="Q54">
        <v>53.018352200000002</v>
      </c>
      <c r="R54">
        <v>27.264667809136</v>
      </c>
      <c r="S54">
        <v>1.8353772381602</v>
      </c>
      <c r="U54">
        <v>0</v>
      </c>
      <c r="V54">
        <v>1.2875400483608E-2</v>
      </c>
      <c r="W54">
        <v>2.4435229999999999</v>
      </c>
      <c r="Z54">
        <v>1</v>
      </c>
      <c r="AA54">
        <v>1.1346799999999999</v>
      </c>
      <c r="AC54">
        <v>49.458280651000003</v>
      </c>
    </row>
    <row r="55" spans="1:38" hidden="1" x14ac:dyDescent="0.3">
      <c r="A55" t="s">
        <v>39</v>
      </c>
      <c r="B55">
        <v>2027</v>
      </c>
      <c r="G55">
        <v>542.66519906047995</v>
      </c>
      <c r="H55">
        <v>1.7070783576629001</v>
      </c>
      <c r="I55">
        <v>547.31278662102</v>
      </c>
      <c r="J55">
        <v>1.2715496439987</v>
      </c>
      <c r="R55">
        <v>27.461948228545001</v>
      </c>
      <c r="S55">
        <v>1.8532782508601999</v>
      </c>
      <c r="U55">
        <v>0</v>
      </c>
      <c r="V55">
        <v>2.9177762567997E-2</v>
      </c>
      <c r="AC55">
        <v>40.026971948000003</v>
      </c>
    </row>
    <row r="56" spans="1:38" hidden="1" x14ac:dyDescent="0.3">
      <c r="A56" t="s">
        <v>39</v>
      </c>
      <c r="B56">
        <v>2028</v>
      </c>
      <c r="G56">
        <v>550.65857682087005</v>
      </c>
      <c r="H56">
        <v>1.4729851433693</v>
      </c>
      <c r="I56">
        <v>553.00654529855001</v>
      </c>
      <c r="J56">
        <v>1.0403116493366</v>
      </c>
      <c r="R56">
        <v>27.598509863151001</v>
      </c>
      <c r="S56">
        <v>1.8731305100829001</v>
      </c>
      <c r="U56">
        <v>0</v>
      </c>
      <c r="V56">
        <v>4.7431804239749999E-2</v>
      </c>
      <c r="AC56">
        <v>46.743294998000003</v>
      </c>
    </row>
    <row r="57" spans="1:38" hidden="1" x14ac:dyDescent="0.3">
      <c r="A57" t="s">
        <v>39</v>
      </c>
      <c r="B57">
        <v>2029</v>
      </c>
      <c r="G57">
        <v>558.33413088227996</v>
      </c>
      <c r="H57">
        <v>1.3938862272365999</v>
      </c>
      <c r="I57">
        <v>558.33413088227996</v>
      </c>
      <c r="J57">
        <v>0.96338562879987</v>
      </c>
      <c r="R57">
        <v>27.762556649545999</v>
      </c>
      <c r="S57">
        <v>1.8938320988091999</v>
      </c>
      <c r="U57">
        <v>0</v>
      </c>
      <c r="V57">
        <v>6.6534094512463005E-2</v>
      </c>
      <c r="AC57">
        <v>36.002694542</v>
      </c>
    </row>
    <row r="58" spans="1:38" hidden="1" x14ac:dyDescent="0.3">
      <c r="A58" t="s">
        <v>39</v>
      </c>
      <c r="B58">
        <v>2030</v>
      </c>
      <c r="J58">
        <v>1.0156454452139001</v>
      </c>
      <c r="R58">
        <v>27.686833615247</v>
      </c>
      <c r="S58">
        <v>1.8821425546028001</v>
      </c>
      <c r="U58">
        <v>0</v>
      </c>
      <c r="V58">
        <v>5.3246289491652998E-2</v>
      </c>
      <c r="AC58">
        <v>20.895210913</v>
      </c>
    </row>
    <row r="59" spans="1:38" hidden="1" x14ac:dyDescent="0.3">
      <c r="A59" t="s">
        <v>39</v>
      </c>
      <c r="B59">
        <v>2031</v>
      </c>
      <c r="J59">
        <v>1.067905261628</v>
      </c>
      <c r="R59">
        <v>27.833790769124999</v>
      </c>
      <c r="S59">
        <v>1.9020281521266</v>
      </c>
      <c r="U59">
        <v>0</v>
      </c>
      <c r="V59">
        <v>7.1532554924487998E-2</v>
      </c>
      <c r="AC59">
        <v>35.386852099999999</v>
      </c>
    </row>
    <row r="60" spans="1:38" hidden="1" x14ac:dyDescent="0.3">
      <c r="A60" t="s">
        <v>39</v>
      </c>
      <c r="B60">
        <v>2032</v>
      </c>
      <c r="J60">
        <v>1.1201650780420001</v>
      </c>
      <c r="R60">
        <v>27.934273686632999</v>
      </c>
      <c r="S60">
        <v>1.9175875067970001</v>
      </c>
      <c r="U60">
        <v>0</v>
      </c>
      <c r="V60">
        <v>8.5493758320807994E-2</v>
      </c>
      <c r="AC60">
        <v>27.17117137</v>
      </c>
    </row>
    <row r="61" spans="1:38" hidden="1" x14ac:dyDescent="0.3">
      <c r="A61" t="s">
        <v>39</v>
      </c>
      <c r="B61">
        <v>2033</v>
      </c>
      <c r="J61">
        <v>1.1724248944561</v>
      </c>
      <c r="R61">
        <v>28.040994420493</v>
      </c>
      <c r="S61">
        <v>1.9330840320895</v>
      </c>
      <c r="U61">
        <v>0</v>
      </c>
      <c r="V61">
        <v>9.9391072988510007E-2</v>
      </c>
      <c r="AC61">
        <v>34.038832442</v>
      </c>
    </row>
    <row r="62" spans="1:38" hidden="1" x14ac:dyDescent="0.3">
      <c r="A62" t="s">
        <v>39</v>
      </c>
      <c r="B62">
        <v>2034</v>
      </c>
      <c r="J62">
        <v>1.2246847108701999</v>
      </c>
      <c r="R62">
        <v>28.128172254679001</v>
      </c>
      <c r="S62">
        <v>1.9439765570504</v>
      </c>
      <c r="U62">
        <v>0</v>
      </c>
      <c r="V62">
        <v>0.10868523269892</v>
      </c>
      <c r="AC62">
        <v>33.780263410000003</v>
      </c>
    </row>
    <row r="63" spans="1:38" hidden="1" x14ac:dyDescent="0.3">
      <c r="A63" t="s">
        <v>39</v>
      </c>
      <c r="B63">
        <v>2035</v>
      </c>
      <c r="J63">
        <v>1.2769445272841999</v>
      </c>
      <c r="R63">
        <v>28.27322963408</v>
      </c>
      <c r="S63">
        <v>1.9638671798884</v>
      </c>
      <c r="U63">
        <v>0</v>
      </c>
      <c r="V63">
        <v>0.12034309418364</v>
      </c>
      <c r="AC63">
        <v>29.3194728</v>
      </c>
    </row>
    <row r="64" spans="1:38" hidden="1" x14ac:dyDescent="0.3">
      <c r="A64" t="s">
        <v>39</v>
      </c>
      <c r="B64">
        <v>2036</v>
      </c>
      <c r="J64">
        <v>1.3292043436983001</v>
      </c>
      <c r="R64">
        <v>28.385255262838001</v>
      </c>
      <c r="S64">
        <v>1.9785610730303</v>
      </c>
      <c r="U64">
        <v>0</v>
      </c>
      <c r="V64">
        <v>0.13200095566836001</v>
      </c>
      <c r="AC64">
        <v>1.6819890879999999</v>
      </c>
    </row>
    <row r="65" spans="1:29" hidden="1" x14ac:dyDescent="0.3">
      <c r="A65" t="s">
        <v>39</v>
      </c>
      <c r="B65">
        <v>2037</v>
      </c>
      <c r="J65">
        <v>1.4159409067777999</v>
      </c>
      <c r="R65">
        <v>28.516055443606</v>
      </c>
      <c r="S65">
        <v>1.9952523328434999</v>
      </c>
      <c r="U65">
        <v>0</v>
      </c>
      <c r="V65">
        <v>0.14365881715309001</v>
      </c>
      <c r="AC65">
        <v>8.4740000000000002</v>
      </c>
    </row>
    <row r="66" spans="1:29" hidden="1" x14ac:dyDescent="0.3">
      <c r="A66" t="s">
        <v>39</v>
      </c>
      <c r="B66">
        <v>2038</v>
      </c>
      <c r="J66">
        <v>1.4878134208142999</v>
      </c>
      <c r="R66">
        <v>28.598115546237</v>
      </c>
      <c r="S66">
        <v>2.0032585446211999</v>
      </c>
      <c r="U66">
        <v>0</v>
      </c>
      <c r="V66">
        <v>0.15531667863781001</v>
      </c>
      <c r="AC66">
        <v>11.477</v>
      </c>
    </row>
    <row r="67" spans="1:29" hidden="1" x14ac:dyDescent="0.3">
      <c r="A67" t="s">
        <v>39</v>
      </c>
      <c r="B67">
        <v>2039</v>
      </c>
      <c r="J67">
        <v>1.5742067792348999</v>
      </c>
      <c r="R67">
        <v>28.698500807797998</v>
      </c>
      <c r="S67">
        <v>2.0141178861324001</v>
      </c>
      <c r="U67">
        <v>0</v>
      </c>
      <c r="V67">
        <v>0.16697454012252999</v>
      </c>
      <c r="AC67">
        <v>7.85</v>
      </c>
    </row>
    <row r="68" spans="1:29" hidden="1" x14ac:dyDescent="0.3">
      <c r="A68" t="s">
        <v>39</v>
      </c>
      <c r="B68">
        <v>2040</v>
      </c>
      <c r="J68">
        <v>1.6658792385887999</v>
      </c>
      <c r="R68">
        <v>28.735696967548002</v>
      </c>
      <c r="S68">
        <v>2.0149864140488001</v>
      </c>
      <c r="U68">
        <v>0</v>
      </c>
      <c r="V68">
        <v>0.17863240160725</v>
      </c>
      <c r="AC68">
        <v>11.146353198</v>
      </c>
    </row>
    <row r="69" spans="1:29" hidden="1" x14ac:dyDescent="0.3">
      <c r="A69" t="s">
        <v>39</v>
      </c>
      <c r="B69">
        <v>2041</v>
      </c>
      <c r="J69">
        <v>1.6475109782723001</v>
      </c>
      <c r="R69">
        <v>28.827558450698</v>
      </c>
      <c r="S69">
        <v>2.0239039258742002</v>
      </c>
      <c r="U69">
        <v>0</v>
      </c>
      <c r="V69">
        <v>0.19029026309197999</v>
      </c>
      <c r="AC69">
        <v>17.673870537999999</v>
      </c>
    </row>
    <row r="70" spans="1:29" hidden="1" x14ac:dyDescent="0.3">
      <c r="A70" t="s">
        <v>39</v>
      </c>
      <c r="B70">
        <v>2042</v>
      </c>
      <c r="J70">
        <v>1.6247547644907001</v>
      </c>
      <c r="R70">
        <v>28.868614863800001</v>
      </c>
      <c r="S70">
        <v>2.0236366380780999</v>
      </c>
      <c r="U70">
        <v>0</v>
      </c>
      <c r="V70">
        <v>0.2019481245767</v>
      </c>
      <c r="AC70">
        <v>5</v>
      </c>
    </row>
    <row r="71" spans="1:29" hidden="1" x14ac:dyDescent="0.3">
      <c r="A71" t="s">
        <v>39</v>
      </c>
      <c r="B71">
        <v>2043</v>
      </c>
      <c r="J71">
        <v>1.5645444073739001</v>
      </c>
      <c r="R71">
        <v>28.982910058683998</v>
      </c>
      <c r="S71">
        <v>2.0343148066615999</v>
      </c>
      <c r="U71">
        <v>0</v>
      </c>
      <c r="V71">
        <v>0.21360598606142001</v>
      </c>
      <c r="AC71">
        <v>5.4103923040000002</v>
      </c>
    </row>
    <row r="72" spans="1:29" hidden="1" x14ac:dyDescent="0.3">
      <c r="A72" t="s">
        <v>39</v>
      </c>
      <c r="B72">
        <v>2044</v>
      </c>
      <c r="J72">
        <v>1.5208272569987999</v>
      </c>
      <c r="R72">
        <v>29.057210364214999</v>
      </c>
      <c r="S72">
        <v>2.0369104543457999</v>
      </c>
      <c r="U72">
        <v>0</v>
      </c>
      <c r="V72">
        <v>0.22526384754614001</v>
      </c>
      <c r="AC72">
        <v>0.17917944499999999</v>
      </c>
    </row>
    <row r="73" spans="1:29" hidden="1" x14ac:dyDescent="0.3">
      <c r="A73" t="s">
        <v>39</v>
      </c>
      <c r="B73">
        <v>2045</v>
      </c>
      <c r="J73">
        <v>1.4848534311229</v>
      </c>
      <c r="R73">
        <v>29.201148252905</v>
      </c>
      <c r="S73">
        <v>2.0499826263758001</v>
      </c>
      <c r="U73">
        <v>0</v>
      </c>
      <c r="V73">
        <v>0.23692170903087001</v>
      </c>
      <c r="AC73">
        <v>9.9450000000000003</v>
      </c>
    </row>
    <row r="74" spans="1:29" hidden="1" x14ac:dyDescent="0.3">
      <c r="A74" t="s">
        <v>39</v>
      </c>
      <c r="B74">
        <v>2046</v>
      </c>
      <c r="J74">
        <v>1.4440053847092</v>
      </c>
      <c r="R74">
        <v>29.285203010294001</v>
      </c>
      <c r="S74">
        <v>2.0533543263691998</v>
      </c>
      <c r="U74">
        <v>0</v>
      </c>
      <c r="V74">
        <v>0.24857957051558999</v>
      </c>
      <c r="AC74">
        <v>0</v>
      </c>
    </row>
    <row r="75" spans="1:29" hidden="1" x14ac:dyDescent="0.3">
      <c r="A75" t="s">
        <v>39</v>
      </c>
      <c r="B75">
        <v>2047</v>
      </c>
      <c r="J75">
        <v>1.4027513875077999</v>
      </c>
      <c r="R75">
        <v>29.431955682032999</v>
      </c>
      <c r="S75">
        <v>2.0662514508563001</v>
      </c>
      <c r="U75">
        <v>0</v>
      </c>
      <c r="V75">
        <v>0.26023743200031002</v>
      </c>
      <c r="AC75">
        <v>11.884085568</v>
      </c>
    </row>
    <row r="76" spans="1:29" hidden="1" x14ac:dyDescent="0.3">
      <c r="A76" t="s">
        <v>39</v>
      </c>
      <c r="B76">
        <v>2048</v>
      </c>
      <c r="J76">
        <v>1.3722945625895999</v>
      </c>
      <c r="R76">
        <v>29.514556842891</v>
      </c>
      <c r="S76">
        <v>2.0693183202210998</v>
      </c>
      <c r="U76">
        <v>0</v>
      </c>
      <c r="V76">
        <v>0.27189529348503</v>
      </c>
      <c r="AC76">
        <v>0.05</v>
      </c>
    </row>
    <row r="77" spans="1:29" hidden="1" x14ac:dyDescent="0.3">
      <c r="A77" t="s">
        <v>39</v>
      </c>
      <c r="B77">
        <v>2049</v>
      </c>
      <c r="J77">
        <v>1.3571425178434999</v>
      </c>
      <c r="R77">
        <v>29.650017103810001</v>
      </c>
      <c r="S77">
        <v>2.0808298762133002</v>
      </c>
      <c r="U77">
        <v>0</v>
      </c>
      <c r="V77">
        <v>0.28355315496976002</v>
      </c>
      <c r="AC77">
        <v>0</v>
      </c>
    </row>
    <row r="78" spans="1:29" hidden="1" x14ac:dyDescent="0.3">
      <c r="A78" t="s">
        <v>39</v>
      </c>
      <c r="B78">
        <v>2050</v>
      </c>
      <c r="J78">
        <v>1.3364409328646001</v>
      </c>
      <c r="R78">
        <v>29.725959184316</v>
      </c>
      <c r="S78">
        <v>2.0829192690135998</v>
      </c>
      <c r="U78">
        <v>0</v>
      </c>
      <c r="V78">
        <v>0.29521101645448</v>
      </c>
      <c r="AC78">
        <v>11.180999999999999</v>
      </c>
    </row>
    <row r="79" spans="1:29" hidden="1" x14ac:dyDescent="0.3">
      <c r="A79" t="s">
        <v>39</v>
      </c>
      <c r="B79">
        <v>2051</v>
      </c>
      <c r="J79">
        <v>1.3296308740645</v>
      </c>
      <c r="R79">
        <v>29.849892990419999</v>
      </c>
      <c r="S79">
        <v>2.0946236802358</v>
      </c>
      <c r="U79">
        <v>0</v>
      </c>
      <c r="V79">
        <v>0.30686887793919998</v>
      </c>
      <c r="AC79">
        <v>0</v>
      </c>
    </row>
    <row r="80" spans="1:29" hidden="1" x14ac:dyDescent="0.3">
      <c r="A80" t="s">
        <v>39</v>
      </c>
      <c r="B80">
        <v>2052</v>
      </c>
      <c r="J80">
        <v>1.3137171509376</v>
      </c>
      <c r="R80">
        <v>29.924419938473001</v>
      </c>
      <c r="S80">
        <v>2.0981489499417001</v>
      </c>
      <c r="U80">
        <v>0</v>
      </c>
      <c r="V80">
        <v>0.31852673942393001</v>
      </c>
      <c r="AC80">
        <v>0.22</v>
      </c>
    </row>
    <row r="81" spans="1:29" hidden="1" x14ac:dyDescent="0.3">
      <c r="A81" t="s">
        <v>39</v>
      </c>
      <c r="B81">
        <v>2053</v>
      </c>
      <c r="J81">
        <v>1.2869274089492999</v>
      </c>
      <c r="R81">
        <v>30.057060512235001</v>
      </c>
      <c r="S81">
        <v>2.1123456300872001</v>
      </c>
      <c r="U81">
        <v>0</v>
      </c>
      <c r="V81">
        <v>0.33018460090864998</v>
      </c>
      <c r="AC81">
        <v>10.739000000000001</v>
      </c>
    </row>
    <row r="82" spans="1:29" hidden="1" x14ac:dyDescent="0.3">
      <c r="A82" t="s">
        <v>39</v>
      </c>
      <c r="B82">
        <v>2054</v>
      </c>
      <c r="J82">
        <v>1.2704181589137</v>
      </c>
      <c r="R82">
        <v>30.141326664657999</v>
      </c>
      <c r="S82">
        <v>2.1182558711877002</v>
      </c>
      <c r="U82">
        <v>0</v>
      </c>
      <c r="V82">
        <v>0.34184246239337002</v>
      </c>
      <c r="AC82">
        <v>10.932</v>
      </c>
    </row>
    <row r="83" spans="1:29" hidden="1" x14ac:dyDescent="0.3">
      <c r="A83" t="s">
        <v>39</v>
      </c>
      <c r="B83">
        <v>2055</v>
      </c>
      <c r="J83">
        <v>1.2584233901574999</v>
      </c>
      <c r="R83">
        <v>30.283088586344999</v>
      </c>
      <c r="S83">
        <v>2.1343644186602</v>
      </c>
      <c r="U83">
        <v>0</v>
      </c>
      <c r="V83">
        <v>0.35350032387808999</v>
      </c>
      <c r="AC83">
        <v>10.659818014000001</v>
      </c>
    </row>
    <row r="84" spans="1:29" hidden="1" x14ac:dyDescent="0.3">
      <c r="A84" t="s">
        <v>39</v>
      </c>
      <c r="B84">
        <v>2056</v>
      </c>
      <c r="J84">
        <v>1.2477440104697</v>
      </c>
      <c r="R84">
        <v>30.370724888822</v>
      </c>
      <c r="S84">
        <v>2.1418156560693999</v>
      </c>
      <c r="U84">
        <v>0</v>
      </c>
      <c r="V84">
        <v>0.36515818536282002</v>
      </c>
      <c r="AC84">
        <v>0</v>
      </c>
    </row>
    <row r="85" spans="1:29" hidden="1" x14ac:dyDescent="0.3">
      <c r="A85" t="s">
        <v>39</v>
      </c>
      <c r="B85">
        <v>2057</v>
      </c>
      <c r="J85">
        <v>1.2350421932168001</v>
      </c>
      <c r="R85">
        <v>30.509241082300999</v>
      </c>
      <c r="S85">
        <v>2.1590123277392999</v>
      </c>
      <c r="U85">
        <v>0</v>
      </c>
      <c r="V85">
        <v>0.37681604684754</v>
      </c>
      <c r="AC85">
        <v>8.2289999999999992</v>
      </c>
    </row>
    <row r="86" spans="1:29" hidden="1" x14ac:dyDescent="0.3">
      <c r="A86" t="s">
        <v>39</v>
      </c>
      <c r="B86">
        <v>2058</v>
      </c>
      <c r="J86">
        <v>1.2230609240865</v>
      </c>
      <c r="R86">
        <v>30.585359532531999</v>
      </c>
      <c r="S86">
        <v>2.1660333084849999</v>
      </c>
      <c r="U86">
        <v>0</v>
      </c>
      <c r="V86">
        <v>0.38847390833225998</v>
      </c>
      <c r="AC86">
        <v>0.05</v>
      </c>
    </row>
    <row r="87" spans="1:29" hidden="1" x14ac:dyDescent="0.3">
      <c r="A87" t="s">
        <v>39</v>
      </c>
      <c r="B87">
        <v>2059</v>
      </c>
      <c r="J87">
        <v>1.2217639282793999</v>
      </c>
      <c r="R87">
        <v>30.707913017793999</v>
      </c>
      <c r="S87">
        <v>2.1817097794128002</v>
      </c>
      <c r="U87">
        <v>0</v>
      </c>
      <c r="V87">
        <v>0.40013176981698001</v>
      </c>
      <c r="AC87">
        <v>0</v>
      </c>
    </row>
    <row r="88" spans="1:29" hidden="1" x14ac:dyDescent="0.3">
      <c r="A88" t="s">
        <v>39</v>
      </c>
      <c r="B88">
        <v>2060</v>
      </c>
      <c r="J88">
        <v>1.2198058100247</v>
      </c>
      <c r="R88">
        <v>30.767415465511</v>
      </c>
      <c r="S88">
        <v>2.1872070225872999</v>
      </c>
      <c r="U88">
        <v>0</v>
      </c>
      <c r="V88">
        <v>0.41178963130170998</v>
      </c>
      <c r="AC88">
        <v>0</v>
      </c>
    </row>
    <row r="89" spans="1:29" hidden="1" x14ac:dyDescent="0.3">
      <c r="A89" t="s">
        <v>39</v>
      </c>
      <c r="B89">
        <v>2061</v>
      </c>
      <c r="J89">
        <v>1.2237931056047</v>
      </c>
      <c r="R89">
        <v>30.880186016004</v>
      </c>
      <c r="S89">
        <v>2.2013591198502001</v>
      </c>
      <c r="U89">
        <v>0</v>
      </c>
      <c r="V89">
        <v>0.42344749278643001</v>
      </c>
      <c r="AC89">
        <v>0</v>
      </c>
    </row>
    <row r="90" spans="1:29" hidden="1" x14ac:dyDescent="0.3">
      <c r="A90" t="s">
        <v>39</v>
      </c>
      <c r="B90">
        <v>2062</v>
      </c>
      <c r="J90">
        <v>1.221725443397</v>
      </c>
      <c r="R90">
        <v>30.938269382430001</v>
      </c>
      <c r="S90">
        <v>2.2060691655298998</v>
      </c>
      <c r="U90">
        <v>0</v>
      </c>
      <c r="V90">
        <v>0.43510535427114999</v>
      </c>
      <c r="AC90">
        <v>0</v>
      </c>
    </row>
    <row r="91" spans="1:29" hidden="1" x14ac:dyDescent="0.3">
      <c r="A91" t="s">
        <v>39</v>
      </c>
      <c r="B91">
        <v>2063</v>
      </c>
      <c r="J91">
        <v>1.2106124918123</v>
      </c>
      <c r="R91">
        <v>31.060725864058</v>
      </c>
      <c r="S91">
        <v>2.2212015506685998</v>
      </c>
      <c r="U91">
        <v>0</v>
      </c>
      <c r="V91">
        <v>0.44676321575587002</v>
      </c>
      <c r="AC91">
        <v>0</v>
      </c>
    </row>
    <row r="92" spans="1:29" hidden="1" x14ac:dyDescent="0.3">
      <c r="A92" t="s">
        <v>39</v>
      </c>
      <c r="B92">
        <v>2064</v>
      </c>
      <c r="J92">
        <v>1.1976208223339999</v>
      </c>
      <c r="R92">
        <v>31.128380269600999</v>
      </c>
      <c r="S92">
        <v>2.2270609213988002</v>
      </c>
      <c r="U92">
        <v>0</v>
      </c>
      <c r="V92">
        <v>0.45842107724059999</v>
      </c>
      <c r="AC92">
        <v>0</v>
      </c>
    </row>
    <row r="93" spans="1:29" hidden="1" x14ac:dyDescent="0.3">
      <c r="A93" t="s">
        <v>39</v>
      </c>
      <c r="B93">
        <v>2065</v>
      </c>
      <c r="J93">
        <v>1.1848729836408001</v>
      </c>
      <c r="R93">
        <v>31.258900667601999</v>
      </c>
      <c r="S93">
        <v>2.2429481878202999</v>
      </c>
      <c r="U93">
        <v>0</v>
      </c>
      <c r="V93">
        <v>0.47007893872531997</v>
      </c>
      <c r="AC93">
        <v>0</v>
      </c>
    </row>
    <row r="94" spans="1:29" hidden="1" x14ac:dyDescent="0.3">
      <c r="A94" t="s">
        <v>39</v>
      </c>
      <c r="B94">
        <v>2066</v>
      </c>
      <c r="J94">
        <v>1.1674137033064</v>
      </c>
      <c r="R94">
        <v>31.333530148074001</v>
      </c>
      <c r="S94">
        <v>2.2494893383473999</v>
      </c>
      <c r="U94">
        <v>0</v>
      </c>
      <c r="V94">
        <v>0.48173680021004001</v>
      </c>
      <c r="AC94">
        <v>8.7750000000000004</v>
      </c>
    </row>
    <row r="95" spans="1:29" hidden="1" x14ac:dyDescent="0.3">
      <c r="A95" t="s">
        <v>39</v>
      </c>
      <c r="B95">
        <v>2067</v>
      </c>
      <c r="J95">
        <v>1.1426122707890001</v>
      </c>
      <c r="R95">
        <v>31.481991545536999</v>
      </c>
      <c r="S95">
        <v>2.2666984890771</v>
      </c>
      <c r="U95">
        <v>0</v>
      </c>
      <c r="V95">
        <v>0.49339466169475998</v>
      </c>
      <c r="AC95">
        <v>0</v>
      </c>
    </row>
    <row r="96" spans="1:29" hidden="1" x14ac:dyDescent="0.3">
      <c r="A96" t="s">
        <v>39</v>
      </c>
      <c r="B96">
        <v>2068</v>
      </c>
      <c r="J96">
        <v>1.1207660434302</v>
      </c>
      <c r="R96">
        <v>31.578880906788001</v>
      </c>
      <c r="S96">
        <v>2.2753056985309001</v>
      </c>
      <c r="U96">
        <v>0</v>
      </c>
      <c r="V96">
        <v>0.50505252317949001</v>
      </c>
      <c r="AC96">
        <v>0</v>
      </c>
    </row>
    <row r="97" spans="1:38" hidden="1" x14ac:dyDescent="0.3">
      <c r="A97" t="s">
        <v>39</v>
      </c>
      <c r="B97">
        <v>2069</v>
      </c>
      <c r="J97">
        <v>1.0983361067349</v>
      </c>
      <c r="R97">
        <v>31.743143415971002</v>
      </c>
      <c r="S97">
        <v>2.2944141622683998</v>
      </c>
      <c r="U97">
        <v>0</v>
      </c>
      <c r="V97">
        <v>0.51671038466421004</v>
      </c>
      <c r="AC97">
        <v>0</v>
      </c>
    </row>
    <row r="98" spans="1:38" hidden="1" x14ac:dyDescent="0.3">
      <c r="A98" t="s">
        <v>39</v>
      </c>
      <c r="B98">
        <v>2070</v>
      </c>
      <c r="J98">
        <v>1.0699641113556</v>
      </c>
      <c r="R98">
        <v>31.862642199187</v>
      </c>
      <c r="S98">
        <v>2.3053648986836</v>
      </c>
      <c r="U98">
        <v>0</v>
      </c>
      <c r="V98">
        <v>0.52836824614892997</v>
      </c>
      <c r="AC98">
        <v>0</v>
      </c>
    </row>
    <row r="99" spans="1:38" hidden="1" x14ac:dyDescent="0.3">
      <c r="A99" t="s">
        <v>39</v>
      </c>
      <c r="B99">
        <v>2071</v>
      </c>
      <c r="V99">
        <v>0.54002610763365999</v>
      </c>
    </row>
    <row r="100" spans="1:38" hidden="1" x14ac:dyDescent="0.3">
      <c r="A100" t="s">
        <v>40</v>
      </c>
      <c r="B100">
        <v>0</v>
      </c>
      <c r="AD100">
        <v>1.6919780573750999E-3</v>
      </c>
      <c r="AE100">
        <v>6.9907104929275002E-2</v>
      </c>
      <c r="AF100">
        <v>6.2698678502281002E-2</v>
      </c>
      <c r="AG100">
        <v>0.23938472297630001</v>
      </c>
      <c r="AH100">
        <v>0.70095918489346998</v>
      </c>
      <c r="AI100">
        <v>3.7022757894737</v>
      </c>
      <c r="AJ100">
        <v>4.4160736842104997</v>
      </c>
      <c r="AK100">
        <v>2.1578473684211001</v>
      </c>
      <c r="AL100">
        <v>0.29799999999999999</v>
      </c>
    </row>
    <row r="101" spans="1:38" hidden="1" x14ac:dyDescent="0.3">
      <c r="A101" t="s">
        <v>40</v>
      </c>
      <c r="B101">
        <v>2024</v>
      </c>
      <c r="C101">
        <v>48.85</v>
      </c>
      <c r="D101">
        <v>24.078399999999998</v>
      </c>
      <c r="E101">
        <v>202.86150000000001</v>
      </c>
      <c r="F101">
        <v>9.5172283481569995</v>
      </c>
      <c r="G101">
        <v>142.23135088608001</v>
      </c>
      <c r="H101">
        <v>2.8108240826626001</v>
      </c>
      <c r="I101">
        <v>141.28003402319001</v>
      </c>
      <c r="J101">
        <v>3.3375532069939</v>
      </c>
      <c r="K101">
        <v>6.5230364492320998</v>
      </c>
      <c r="L101">
        <v>2.9323319626384001</v>
      </c>
      <c r="M101">
        <v>-2.4986567000000002</v>
      </c>
      <c r="N101">
        <v>-2.1762999999999999</v>
      </c>
      <c r="O101">
        <v>-3.0356746999999999</v>
      </c>
      <c r="P101">
        <v>0.29499999999999998</v>
      </c>
      <c r="Q101">
        <v>39.229718900000002</v>
      </c>
      <c r="R101">
        <v>19.354051222677001</v>
      </c>
      <c r="U101">
        <v>0</v>
      </c>
      <c r="V101">
        <v>0</v>
      </c>
      <c r="W101">
        <v>2.5697873000000002</v>
      </c>
      <c r="X101">
        <v>3.7530000000000001</v>
      </c>
      <c r="Y101">
        <v>3.9308333333332999</v>
      </c>
      <c r="Z101">
        <v>0.51129188119622004</v>
      </c>
      <c r="AA101">
        <v>0.55341234616505997</v>
      </c>
    </row>
    <row r="102" spans="1:38" hidden="1" x14ac:dyDescent="0.3">
      <c r="A102" t="s">
        <v>40</v>
      </c>
      <c r="B102">
        <v>2025</v>
      </c>
      <c r="C102">
        <v>54.67</v>
      </c>
      <c r="D102">
        <v>25.0672</v>
      </c>
      <c r="E102">
        <v>218.10300000000001</v>
      </c>
      <c r="F102">
        <v>7.5132541167250002</v>
      </c>
      <c r="G102">
        <v>145.10240369006999</v>
      </c>
      <c r="H102">
        <v>2.0185794384337998</v>
      </c>
      <c r="I102">
        <v>145.30716111901</v>
      </c>
      <c r="J102">
        <v>2.8504573372027</v>
      </c>
      <c r="K102">
        <v>5.3859580949056003</v>
      </c>
      <c r="L102">
        <v>2.4767093808285998</v>
      </c>
      <c r="M102">
        <v>-2.1759350999999998</v>
      </c>
      <c r="N102">
        <v>-2.5466000000000002</v>
      </c>
      <c r="O102">
        <v>-2.8090098999999999</v>
      </c>
      <c r="P102">
        <v>-0.3</v>
      </c>
      <c r="Q102">
        <v>40.930484499999999</v>
      </c>
      <c r="R102">
        <v>19.583823397886999</v>
      </c>
      <c r="U102">
        <v>0</v>
      </c>
      <c r="V102">
        <v>-5.1403045654297005E-4</v>
      </c>
      <c r="W102">
        <v>2.8267660000000001</v>
      </c>
      <c r="X102">
        <v>3.2309999999999999</v>
      </c>
      <c r="Y102">
        <v>3.93</v>
      </c>
      <c r="Z102">
        <v>0.51129188119622004</v>
      </c>
      <c r="AA102">
        <v>0.56933349779888998</v>
      </c>
      <c r="AC102">
        <v>3.9659984740000001</v>
      </c>
    </row>
    <row r="103" spans="1:38" hidden="1" x14ac:dyDescent="0.3">
      <c r="A103" t="s">
        <v>40</v>
      </c>
      <c r="B103">
        <v>2026</v>
      </c>
      <c r="C103">
        <v>61.9</v>
      </c>
      <c r="D103">
        <v>27.1127</v>
      </c>
      <c r="E103">
        <v>228.31649999999999</v>
      </c>
      <c r="F103">
        <v>4.6828791901073998</v>
      </c>
      <c r="G103">
        <v>148.22017863246001</v>
      </c>
      <c r="H103">
        <v>2.1486721536691</v>
      </c>
      <c r="I103">
        <v>148.94630699083999</v>
      </c>
      <c r="J103">
        <v>2.5044504646611001</v>
      </c>
      <c r="K103">
        <v>2.4808964056585001</v>
      </c>
      <c r="L103">
        <v>2.0119566334671002</v>
      </c>
      <c r="M103">
        <v>-2.1238486000000001</v>
      </c>
      <c r="N103">
        <v>-1.9785999999999999</v>
      </c>
      <c r="O103">
        <v>-2.8007412999999999</v>
      </c>
      <c r="P103">
        <v>0.83599999999999997</v>
      </c>
      <c r="Q103">
        <v>40.530326600000002</v>
      </c>
      <c r="R103">
        <v>19.586650740374999</v>
      </c>
      <c r="U103">
        <v>0</v>
      </c>
      <c r="V103">
        <v>-1.0280609130859E-3</v>
      </c>
      <c r="W103">
        <v>2.8267660000000001</v>
      </c>
      <c r="Z103">
        <v>0.51129188119622004</v>
      </c>
      <c r="AA103">
        <v>0.58015267175573004</v>
      </c>
      <c r="AC103">
        <v>2.5027499999999998</v>
      </c>
    </row>
    <row r="104" spans="1:38" hidden="1" x14ac:dyDescent="0.3">
      <c r="A104" t="s">
        <v>40</v>
      </c>
      <c r="B104">
        <v>2027</v>
      </c>
      <c r="G104">
        <v>152.43837310423001</v>
      </c>
      <c r="H104">
        <v>2.8458975766218999</v>
      </c>
      <c r="I104">
        <v>152.93542357518999</v>
      </c>
      <c r="J104">
        <v>2.6782245662550999</v>
      </c>
      <c r="R104">
        <v>19.528923754895001</v>
      </c>
      <c r="U104">
        <v>0</v>
      </c>
      <c r="V104">
        <v>-1.5420913696289E-3</v>
      </c>
      <c r="AC104">
        <v>3.1948874799999998</v>
      </c>
    </row>
    <row r="105" spans="1:38" hidden="1" x14ac:dyDescent="0.3">
      <c r="A105" t="s">
        <v>40</v>
      </c>
      <c r="B105">
        <v>2028</v>
      </c>
      <c r="G105">
        <v>156.43971247693</v>
      </c>
      <c r="H105">
        <v>2.6248898431710002</v>
      </c>
      <c r="I105">
        <v>156.69434608863</v>
      </c>
      <c r="J105">
        <v>2.4578494802314999</v>
      </c>
      <c r="R105">
        <v>19.404507692328998</v>
      </c>
      <c r="U105">
        <v>0</v>
      </c>
      <c r="V105">
        <v>-2.0561218261719002E-3</v>
      </c>
      <c r="AC105">
        <v>3.665811846</v>
      </c>
    </row>
    <row r="106" spans="1:38" hidden="1" x14ac:dyDescent="0.3">
      <c r="A106" t="s">
        <v>40</v>
      </c>
      <c r="B106">
        <v>2029</v>
      </c>
      <c r="G106">
        <v>160.61405153621001</v>
      </c>
      <c r="H106">
        <v>2.6683372100215998</v>
      </c>
      <c r="I106">
        <v>160.61405153621001</v>
      </c>
      <c r="J106">
        <v>2.5014976898804999</v>
      </c>
      <c r="R106">
        <v>19.248908818256002</v>
      </c>
      <c r="U106">
        <v>0</v>
      </c>
      <c r="V106">
        <v>-2.5701522827147999E-3</v>
      </c>
      <c r="AC106">
        <v>4.93308122</v>
      </c>
    </row>
    <row r="107" spans="1:38" hidden="1" x14ac:dyDescent="0.3">
      <c r="A107" t="s">
        <v>40</v>
      </c>
      <c r="B107">
        <v>2030</v>
      </c>
      <c r="J107">
        <v>2.3677166143370001</v>
      </c>
      <c r="R107">
        <v>19.152536212468</v>
      </c>
      <c r="U107">
        <v>0</v>
      </c>
      <c r="V107">
        <v>-3.0841827392577999E-3</v>
      </c>
      <c r="AC107">
        <v>2.8442343499999998</v>
      </c>
    </row>
    <row r="108" spans="1:38" hidden="1" x14ac:dyDescent="0.3">
      <c r="A108" t="s">
        <v>40</v>
      </c>
      <c r="B108">
        <v>2031</v>
      </c>
      <c r="J108">
        <v>2.2339355387933999</v>
      </c>
      <c r="R108">
        <v>19.062451981431</v>
      </c>
      <c r="U108">
        <v>0</v>
      </c>
      <c r="V108">
        <v>-3.5982131958007999E-3</v>
      </c>
      <c r="AC108">
        <v>3.6420037239999998</v>
      </c>
    </row>
    <row r="109" spans="1:38" hidden="1" x14ac:dyDescent="0.3">
      <c r="A109" t="s">
        <v>40</v>
      </c>
      <c r="B109">
        <v>2032</v>
      </c>
      <c r="J109">
        <v>2.1001544632499001</v>
      </c>
      <c r="R109">
        <v>18.97630220828</v>
      </c>
      <c r="U109">
        <v>0</v>
      </c>
      <c r="V109">
        <v>-4.1122436523438003E-3</v>
      </c>
      <c r="AC109">
        <v>3.8219280900000001</v>
      </c>
    </row>
    <row r="110" spans="1:38" hidden="1" x14ac:dyDescent="0.3">
      <c r="A110" t="s">
        <v>40</v>
      </c>
      <c r="B110">
        <v>2033</v>
      </c>
      <c r="J110">
        <v>1.9663733877063001</v>
      </c>
      <c r="R110">
        <v>18.882459499852999</v>
      </c>
      <c r="U110">
        <v>0</v>
      </c>
      <c r="V110">
        <v>-4.6262741088866997E-3</v>
      </c>
      <c r="AC110">
        <v>5.8661624400000001</v>
      </c>
    </row>
    <row r="111" spans="1:38" hidden="1" x14ac:dyDescent="0.3">
      <c r="A111" t="s">
        <v>40</v>
      </c>
      <c r="B111">
        <v>2034</v>
      </c>
      <c r="J111">
        <v>1.8325923121628001</v>
      </c>
      <c r="R111">
        <v>18.795973885832002</v>
      </c>
      <c r="U111">
        <v>0</v>
      </c>
      <c r="V111">
        <v>-5.1403045654296996E-3</v>
      </c>
      <c r="AC111">
        <v>1.46654061</v>
      </c>
    </row>
    <row r="112" spans="1:38" hidden="1" x14ac:dyDescent="0.3">
      <c r="A112" t="s">
        <v>40</v>
      </c>
      <c r="B112">
        <v>2035</v>
      </c>
      <c r="J112">
        <v>1.6988112366192001</v>
      </c>
      <c r="R112">
        <v>18.711728538229998</v>
      </c>
      <c r="U112">
        <v>0</v>
      </c>
      <c r="V112">
        <v>-5.6543350219726996E-3</v>
      </c>
      <c r="AC112">
        <v>1.759848732</v>
      </c>
    </row>
    <row r="113" spans="1:29" hidden="1" x14ac:dyDescent="0.3">
      <c r="A113" t="s">
        <v>40</v>
      </c>
      <c r="B113">
        <v>2036</v>
      </c>
      <c r="J113">
        <v>1.5650301610757</v>
      </c>
      <c r="R113">
        <v>18.634301485310001</v>
      </c>
      <c r="U113">
        <v>0</v>
      </c>
      <c r="V113">
        <v>-6.1683654785155998E-3</v>
      </c>
      <c r="AC113">
        <v>1.95538748</v>
      </c>
    </row>
    <row r="114" spans="1:29" hidden="1" x14ac:dyDescent="0.3">
      <c r="A114" t="s">
        <v>40</v>
      </c>
      <c r="B114">
        <v>2037</v>
      </c>
      <c r="J114">
        <v>1.5905214724703001</v>
      </c>
      <c r="R114">
        <v>18.552094724989001</v>
      </c>
      <c r="U114">
        <v>0</v>
      </c>
      <c r="V114">
        <v>-6.6823959350585998E-3</v>
      </c>
      <c r="AC114">
        <v>2.7122999999999999</v>
      </c>
    </row>
    <row r="115" spans="1:29" hidden="1" x14ac:dyDescent="0.3">
      <c r="A115" t="s">
        <v>40</v>
      </c>
      <c r="B115">
        <v>2038</v>
      </c>
      <c r="J115">
        <v>1.5116607316318</v>
      </c>
      <c r="R115">
        <v>18.477738416131999</v>
      </c>
      <c r="U115">
        <v>0</v>
      </c>
      <c r="V115">
        <v>-7.1964263916015998E-3</v>
      </c>
      <c r="AC115">
        <v>0</v>
      </c>
    </row>
    <row r="116" spans="1:29" hidden="1" x14ac:dyDescent="0.3">
      <c r="A116" t="s">
        <v>40</v>
      </c>
      <c r="B116">
        <v>2039</v>
      </c>
      <c r="J116">
        <v>1.4425738783141</v>
      </c>
      <c r="R116">
        <v>18.429042718169001</v>
      </c>
      <c r="U116">
        <v>0</v>
      </c>
      <c r="V116">
        <v>-7.7104568481445E-3</v>
      </c>
      <c r="AC116">
        <v>0.56977999999999995</v>
      </c>
    </row>
    <row r="117" spans="1:29" hidden="1" x14ac:dyDescent="0.3">
      <c r="A117" t="s">
        <v>40</v>
      </c>
      <c r="B117">
        <v>2040</v>
      </c>
      <c r="J117">
        <v>1.3870280238521999</v>
      </c>
      <c r="R117">
        <v>18.392008416243002</v>
      </c>
      <c r="U117">
        <v>0</v>
      </c>
      <c r="V117">
        <v>-8.2244873046875E-3</v>
      </c>
      <c r="AC117">
        <v>0</v>
      </c>
    </row>
    <row r="118" spans="1:29" hidden="1" x14ac:dyDescent="0.3">
      <c r="A118" t="s">
        <v>40</v>
      </c>
      <c r="B118">
        <v>2041</v>
      </c>
      <c r="J118">
        <v>1.3380252509535999</v>
      </c>
      <c r="R118">
        <v>18.392021430022002</v>
      </c>
      <c r="U118">
        <v>0</v>
      </c>
      <c r="V118">
        <v>-8.7385177612305E-3</v>
      </c>
      <c r="AC118">
        <v>0</v>
      </c>
    </row>
    <row r="119" spans="1:29" hidden="1" x14ac:dyDescent="0.3">
      <c r="A119" t="s">
        <v>40</v>
      </c>
      <c r="B119">
        <v>2042</v>
      </c>
      <c r="J119">
        <v>1.2970926334413999</v>
      </c>
      <c r="R119">
        <v>18.406602808241999</v>
      </c>
      <c r="U119">
        <v>0</v>
      </c>
      <c r="V119">
        <v>-9.2525482177733993E-3</v>
      </c>
      <c r="AC119">
        <v>0</v>
      </c>
    </row>
    <row r="120" spans="1:29" hidden="1" x14ac:dyDescent="0.3">
      <c r="A120" t="s">
        <v>40</v>
      </c>
      <c r="B120">
        <v>2043</v>
      </c>
      <c r="J120">
        <v>1.2831031618852999</v>
      </c>
      <c r="R120">
        <v>18.427650140952998</v>
      </c>
      <c r="U120">
        <v>0</v>
      </c>
      <c r="V120">
        <v>-9.7665786743163993E-3</v>
      </c>
      <c r="AC120">
        <v>0</v>
      </c>
    </row>
    <row r="121" spans="1:29" hidden="1" x14ac:dyDescent="0.3">
      <c r="A121" t="s">
        <v>40</v>
      </c>
      <c r="B121">
        <v>2044</v>
      </c>
      <c r="J121">
        <v>1.2796539718877</v>
      </c>
      <c r="R121">
        <v>18.462241025861999</v>
      </c>
      <c r="U121">
        <v>0</v>
      </c>
      <c r="V121">
        <v>-1.0280609130859E-2</v>
      </c>
      <c r="AC121">
        <v>2.4442343499999999</v>
      </c>
    </row>
    <row r="122" spans="1:29" hidden="1" x14ac:dyDescent="0.3">
      <c r="A122" t="s">
        <v>40</v>
      </c>
      <c r="B122">
        <v>2045</v>
      </c>
      <c r="J122">
        <v>1.2794843292425</v>
      </c>
      <c r="R122">
        <v>18.502088450033</v>
      </c>
      <c r="U122">
        <v>0</v>
      </c>
      <c r="V122">
        <v>-1.0794639587402E-2</v>
      </c>
      <c r="AC122">
        <v>0</v>
      </c>
    </row>
    <row r="123" spans="1:29" hidden="1" x14ac:dyDescent="0.3">
      <c r="A123" t="s">
        <v>40</v>
      </c>
      <c r="B123">
        <v>2046</v>
      </c>
      <c r="J123">
        <v>1.2671767519085</v>
      </c>
      <c r="R123">
        <v>18.550840747338</v>
      </c>
      <c r="U123">
        <v>0</v>
      </c>
      <c r="V123">
        <v>-1.1308670043945E-2</v>
      </c>
      <c r="AC123">
        <v>0</v>
      </c>
    </row>
    <row r="124" spans="1:29" hidden="1" x14ac:dyDescent="0.3">
      <c r="A124" t="s">
        <v>40</v>
      </c>
      <c r="B124">
        <v>2047</v>
      </c>
      <c r="J124">
        <v>1.2514933255562</v>
      </c>
      <c r="R124">
        <v>18.605352094431002</v>
      </c>
      <c r="U124">
        <v>0</v>
      </c>
      <c r="V124">
        <v>-1.1822700500488E-2</v>
      </c>
      <c r="AC124">
        <v>0</v>
      </c>
    </row>
    <row r="125" spans="1:29" hidden="1" x14ac:dyDescent="0.3">
      <c r="A125" t="s">
        <v>40</v>
      </c>
      <c r="B125">
        <v>2048</v>
      </c>
      <c r="J125">
        <v>1.2350471959774001</v>
      </c>
      <c r="R125">
        <v>18.670310875837</v>
      </c>
      <c r="U125">
        <v>0</v>
      </c>
      <c r="V125">
        <v>-1.2336730957031E-2</v>
      </c>
      <c r="AC125">
        <v>0</v>
      </c>
    </row>
    <row r="126" spans="1:29" hidden="1" x14ac:dyDescent="0.3">
      <c r="A126" t="s">
        <v>40</v>
      </c>
      <c r="B126">
        <v>2049</v>
      </c>
      <c r="J126">
        <v>1.1778224540691</v>
      </c>
      <c r="R126">
        <v>18.748883415656</v>
      </c>
      <c r="U126">
        <v>0</v>
      </c>
      <c r="V126">
        <v>-1.2850761413574E-2</v>
      </c>
      <c r="AC126">
        <v>0</v>
      </c>
    </row>
    <row r="127" spans="1:29" hidden="1" x14ac:dyDescent="0.3">
      <c r="A127" t="s">
        <v>40</v>
      </c>
      <c r="B127">
        <v>2050</v>
      </c>
      <c r="J127">
        <v>1.1377350596669</v>
      </c>
      <c r="R127">
        <v>18.825042781061999</v>
      </c>
      <c r="U127">
        <v>0</v>
      </c>
      <c r="V127">
        <v>-1.3364791870117E-2</v>
      </c>
      <c r="AC127">
        <v>2.4442343499999999</v>
      </c>
    </row>
    <row r="128" spans="1:29" hidden="1" x14ac:dyDescent="0.3">
      <c r="A128" t="s">
        <v>40</v>
      </c>
      <c r="B128">
        <v>2051</v>
      </c>
      <c r="J128">
        <v>1.1123392580378999</v>
      </c>
      <c r="R128">
        <v>18.921167458818001</v>
      </c>
      <c r="U128">
        <v>0</v>
      </c>
      <c r="V128">
        <v>-1.387882232666E-2</v>
      </c>
      <c r="AC128">
        <v>0</v>
      </c>
    </row>
    <row r="129" spans="1:29" hidden="1" x14ac:dyDescent="0.3">
      <c r="A129" t="s">
        <v>40</v>
      </c>
      <c r="B129">
        <v>2052</v>
      </c>
      <c r="J129">
        <v>1.0938296440735</v>
      </c>
      <c r="R129">
        <v>19.021394477954001</v>
      </c>
      <c r="U129">
        <v>0</v>
      </c>
      <c r="V129">
        <v>-1.4392852783203E-2</v>
      </c>
      <c r="AC129">
        <v>0</v>
      </c>
    </row>
    <row r="130" spans="1:29" hidden="1" x14ac:dyDescent="0.3">
      <c r="A130" t="s">
        <v>40</v>
      </c>
      <c r="B130">
        <v>2053</v>
      </c>
      <c r="J130">
        <v>1.0903602273754001</v>
      </c>
      <c r="R130">
        <v>19.109926800539998</v>
      </c>
      <c r="U130">
        <v>0</v>
      </c>
      <c r="V130">
        <v>-1.4906883239746E-2</v>
      </c>
      <c r="AC130">
        <v>0</v>
      </c>
    </row>
    <row r="131" spans="1:29" hidden="1" x14ac:dyDescent="0.3">
      <c r="A131" t="s">
        <v>40</v>
      </c>
      <c r="B131">
        <v>2054</v>
      </c>
      <c r="J131">
        <v>1.1065768079856999</v>
      </c>
      <c r="R131">
        <v>19.187459256722999</v>
      </c>
      <c r="U131">
        <v>0</v>
      </c>
      <c r="V131">
        <v>-1.5420913696289E-2</v>
      </c>
      <c r="AC131">
        <v>0</v>
      </c>
    </row>
    <row r="132" spans="1:29" hidden="1" x14ac:dyDescent="0.3">
      <c r="A132" t="s">
        <v>40</v>
      </c>
      <c r="B132">
        <v>2055</v>
      </c>
      <c r="J132">
        <v>1.1412270386373</v>
      </c>
      <c r="R132">
        <v>19.252785699516</v>
      </c>
      <c r="U132">
        <v>0</v>
      </c>
      <c r="V132">
        <v>-1.5934944152832E-2</v>
      </c>
      <c r="AC132">
        <v>0</v>
      </c>
    </row>
    <row r="133" spans="1:29" hidden="1" x14ac:dyDescent="0.3">
      <c r="A133" t="s">
        <v>40</v>
      </c>
      <c r="B133">
        <v>2056</v>
      </c>
      <c r="J133">
        <v>1.1925951417551</v>
      </c>
      <c r="R133">
        <v>19.296152248172</v>
      </c>
      <c r="U133">
        <v>0</v>
      </c>
      <c r="V133">
        <v>-1.6448974609375E-2</v>
      </c>
      <c r="AC133">
        <v>0</v>
      </c>
    </row>
    <row r="134" spans="1:29" hidden="1" x14ac:dyDescent="0.3">
      <c r="A134" t="s">
        <v>40</v>
      </c>
      <c r="B134">
        <v>2057</v>
      </c>
      <c r="J134">
        <v>1.243855351443</v>
      </c>
      <c r="R134">
        <v>19.319694681706999</v>
      </c>
      <c r="U134">
        <v>0</v>
      </c>
      <c r="V134">
        <v>-1.6963005065918E-2</v>
      </c>
      <c r="AC134">
        <v>0</v>
      </c>
    </row>
    <row r="135" spans="1:29" hidden="1" x14ac:dyDescent="0.3">
      <c r="A135" t="s">
        <v>40</v>
      </c>
      <c r="B135">
        <v>2058</v>
      </c>
      <c r="J135">
        <v>1.2821397270579</v>
      </c>
      <c r="R135">
        <v>19.333392068550999</v>
      </c>
      <c r="U135">
        <v>0</v>
      </c>
      <c r="V135">
        <v>-1.7477035522461E-2</v>
      </c>
      <c r="AC135">
        <v>0</v>
      </c>
    </row>
    <row r="136" spans="1:29" hidden="1" x14ac:dyDescent="0.3">
      <c r="A136" t="s">
        <v>40</v>
      </c>
      <c r="B136">
        <v>2059</v>
      </c>
      <c r="J136">
        <v>1.3212848246419</v>
      </c>
      <c r="R136">
        <v>19.322481873866</v>
      </c>
      <c r="U136">
        <v>0</v>
      </c>
      <c r="V136">
        <v>-1.7991065979004E-2</v>
      </c>
      <c r="AC136">
        <v>0</v>
      </c>
    </row>
    <row r="137" spans="1:29" hidden="1" x14ac:dyDescent="0.3">
      <c r="A137" t="s">
        <v>40</v>
      </c>
      <c r="B137">
        <v>2060</v>
      </c>
      <c r="J137">
        <v>1.3481870958997999</v>
      </c>
      <c r="R137">
        <v>19.289416668603</v>
      </c>
      <c r="U137">
        <v>0</v>
      </c>
      <c r="V137">
        <v>-1.8505096435547E-2</v>
      </c>
      <c r="AC137">
        <v>0</v>
      </c>
    </row>
    <row r="138" spans="1:29" hidden="1" x14ac:dyDescent="0.3">
      <c r="A138" t="s">
        <v>40</v>
      </c>
      <c r="B138">
        <v>2061</v>
      </c>
      <c r="J138">
        <v>1.3622036285307</v>
      </c>
      <c r="R138">
        <v>19.242303567956998</v>
      </c>
      <c r="U138">
        <v>0</v>
      </c>
      <c r="V138">
        <v>-1.901912689209E-2</v>
      </c>
      <c r="AC138">
        <v>0</v>
      </c>
    </row>
    <row r="139" spans="1:29" hidden="1" x14ac:dyDescent="0.3">
      <c r="A139" t="s">
        <v>40</v>
      </c>
      <c r="B139">
        <v>2062</v>
      </c>
      <c r="J139">
        <v>1.3617210153131001</v>
      </c>
      <c r="R139">
        <v>19.182185214113002</v>
      </c>
      <c r="U139">
        <v>0</v>
      </c>
      <c r="V139">
        <v>-1.9533157348633E-2</v>
      </c>
      <c r="AC139">
        <v>0</v>
      </c>
    </row>
    <row r="140" spans="1:29" hidden="1" x14ac:dyDescent="0.3">
      <c r="A140" t="s">
        <v>40</v>
      </c>
      <c r="B140">
        <v>2063</v>
      </c>
      <c r="J140">
        <v>1.3306413699788</v>
      </c>
      <c r="R140">
        <v>19.115143274937001</v>
      </c>
      <c r="U140">
        <v>0</v>
      </c>
      <c r="V140">
        <v>-2.0047187805176E-2</v>
      </c>
      <c r="AC140">
        <v>0</v>
      </c>
    </row>
    <row r="141" spans="1:29" hidden="1" x14ac:dyDescent="0.3">
      <c r="A141" t="s">
        <v>40</v>
      </c>
      <c r="B141">
        <v>2064</v>
      </c>
      <c r="J141">
        <v>1.2901770123006999</v>
      </c>
      <c r="R141">
        <v>19.049519530685998</v>
      </c>
      <c r="U141">
        <v>0</v>
      </c>
      <c r="V141">
        <v>-2.0561218261719E-2</v>
      </c>
      <c r="AC141">
        <v>0</v>
      </c>
    </row>
    <row r="142" spans="1:29" hidden="1" x14ac:dyDescent="0.3">
      <c r="A142" t="s">
        <v>40</v>
      </c>
      <c r="B142">
        <v>2065</v>
      </c>
      <c r="J142">
        <v>1.2589494265703001</v>
      </c>
      <c r="R142">
        <v>18.985597106475002</v>
      </c>
      <c r="U142">
        <v>0</v>
      </c>
      <c r="V142">
        <v>-2.1075248718262E-2</v>
      </c>
      <c r="AC142">
        <v>0</v>
      </c>
    </row>
    <row r="143" spans="1:29" hidden="1" x14ac:dyDescent="0.3">
      <c r="A143" t="s">
        <v>40</v>
      </c>
      <c r="B143">
        <v>2066</v>
      </c>
      <c r="J143">
        <v>1.2268950944620001</v>
      </c>
      <c r="R143">
        <v>18.923416601959001</v>
      </c>
      <c r="U143">
        <v>0</v>
      </c>
      <c r="V143">
        <v>-2.1589279174805E-2</v>
      </c>
      <c r="AC143">
        <v>0</v>
      </c>
    </row>
    <row r="144" spans="1:29" hidden="1" x14ac:dyDescent="0.3">
      <c r="A144" t="s">
        <v>40</v>
      </c>
      <c r="B144">
        <v>2067</v>
      </c>
      <c r="J144">
        <v>1.1790989801941001</v>
      </c>
      <c r="R144">
        <v>18.86780366444</v>
      </c>
      <c r="U144">
        <v>0</v>
      </c>
      <c r="V144">
        <v>-2.2103309631348E-2</v>
      </c>
      <c r="AC144">
        <v>0</v>
      </c>
    </row>
    <row r="145" spans="1:38" hidden="1" x14ac:dyDescent="0.3">
      <c r="A145" t="s">
        <v>40</v>
      </c>
      <c r="B145">
        <v>2068</v>
      </c>
      <c r="J145">
        <v>1.1171420565618999</v>
      </c>
      <c r="R145">
        <v>18.822994988561</v>
      </c>
      <c r="U145">
        <v>0</v>
      </c>
      <c r="V145">
        <v>-2.2617340087891E-2</v>
      </c>
      <c r="AC145">
        <v>0</v>
      </c>
    </row>
    <row r="146" spans="1:38" hidden="1" x14ac:dyDescent="0.3">
      <c r="A146" t="s">
        <v>40</v>
      </c>
      <c r="B146">
        <v>2069</v>
      </c>
      <c r="J146">
        <v>1.0429134241018001</v>
      </c>
      <c r="R146">
        <v>18.791636667820999</v>
      </c>
      <c r="U146">
        <v>0</v>
      </c>
      <c r="V146">
        <v>-2.3131370544434E-2</v>
      </c>
      <c r="AC146">
        <v>0</v>
      </c>
    </row>
    <row r="147" spans="1:38" hidden="1" x14ac:dyDescent="0.3">
      <c r="A147" t="s">
        <v>40</v>
      </c>
      <c r="B147">
        <v>2070</v>
      </c>
      <c r="J147">
        <v>0.96217176911589997</v>
      </c>
      <c r="R147">
        <v>18.784157172829001</v>
      </c>
      <c r="U147">
        <v>0</v>
      </c>
      <c r="V147">
        <v>-2.3645401000977E-2</v>
      </c>
      <c r="AC147">
        <v>0</v>
      </c>
    </row>
    <row r="148" spans="1:38" hidden="1" x14ac:dyDescent="0.3">
      <c r="A148" t="s">
        <v>40</v>
      </c>
      <c r="B148">
        <v>2071</v>
      </c>
      <c r="V148">
        <v>-2.415943145752E-2</v>
      </c>
    </row>
    <row r="149" spans="1:38" hidden="1" x14ac:dyDescent="0.3">
      <c r="A149" t="s">
        <v>41</v>
      </c>
      <c r="B149">
        <v>0</v>
      </c>
      <c r="AD149">
        <v>3.3272275848782E-3</v>
      </c>
      <c r="AE149">
        <v>8.4515912528213999E-2</v>
      </c>
      <c r="AF149">
        <v>6.8789431578513999E-2</v>
      </c>
      <c r="AG149">
        <v>1</v>
      </c>
      <c r="AH149">
        <v>0</v>
      </c>
      <c r="AI149">
        <v>3.0357968421053001</v>
      </c>
      <c r="AJ149">
        <v>3.7571315789474</v>
      </c>
      <c r="AK149">
        <v>2.1578473684211001</v>
      </c>
      <c r="AL149">
        <v>0.504</v>
      </c>
    </row>
    <row r="150" spans="1:38" hidden="1" x14ac:dyDescent="0.3">
      <c r="A150" t="s">
        <v>41</v>
      </c>
      <c r="B150">
        <v>2024</v>
      </c>
      <c r="C150">
        <v>21.83</v>
      </c>
      <c r="D150">
        <v>65.025899999999993</v>
      </c>
      <c r="E150">
        <v>33.567720000000001</v>
      </c>
      <c r="F150">
        <v>7.1082664672196998</v>
      </c>
      <c r="G150">
        <v>28.402289817481002</v>
      </c>
      <c r="H150">
        <v>3.4480691478850001</v>
      </c>
      <c r="I150">
        <v>27.641429848963</v>
      </c>
      <c r="J150">
        <v>3.9264368468498998</v>
      </c>
      <c r="K150">
        <v>3.5381977713297998</v>
      </c>
      <c r="L150">
        <v>2.9323319626384001</v>
      </c>
      <c r="M150">
        <v>5.5291246999999997</v>
      </c>
      <c r="N150">
        <v>4.1417999999999999</v>
      </c>
      <c r="O150">
        <v>4.2811988999999997</v>
      </c>
      <c r="P150">
        <v>0.184</v>
      </c>
      <c r="Q150">
        <v>38.731280400000003</v>
      </c>
      <c r="R150">
        <v>21.012756610366999</v>
      </c>
      <c r="U150">
        <v>0</v>
      </c>
      <c r="V150">
        <v>0</v>
      </c>
      <c r="W150">
        <v>1.8149206</v>
      </c>
      <c r="X150">
        <v>3.4830000000000001</v>
      </c>
      <c r="Y150">
        <v>3.1316666666667001</v>
      </c>
      <c r="Z150">
        <v>1</v>
      </c>
      <c r="AA150">
        <v>1.0823804690000001</v>
      </c>
    </row>
    <row r="151" spans="1:38" hidden="1" x14ac:dyDescent="0.3">
      <c r="A151" t="s">
        <v>41</v>
      </c>
      <c r="B151">
        <v>2025</v>
      </c>
      <c r="C151">
        <v>20.58</v>
      </c>
      <c r="D151">
        <v>57.981400000000001</v>
      </c>
      <c r="E151">
        <v>35.493139999999997</v>
      </c>
      <c r="F151">
        <v>5.7359272539213002</v>
      </c>
      <c r="G151">
        <v>29.259271624094001</v>
      </c>
      <c r="H151">
        <v>3.0172982957382999</v>
      </c>
      <c r="I151">
        <v>28.624532359126</v>
      </c>
      <c r="J151">
        <v>3.5566268298526</v>
      </c>
      <c r="K151">
        <v>2.6389938477333001</v>
      </c>
      <c r="L151">
        <v>2.4767093808285998</v>
      </c>
      <c r="M151">
        <v>4.7346624000000004</v>
      </c>
      <c r="N151">
        <v>3.6171000000000002</v>
      </c>
      <c r="O151">
        <v>3.516994</v>
      </c>
      <c r="P151">
        <v>0</v>
      </c>
      <c r="Q151">
        <v>39.974503300000002</v>
      </c>
      <c r="R151">
        <v>21.349205929861998</v>
      </c>
      <c r="U151">
        <v>0</v>
      </c>
      <c r="V151">
        <v>-5.5893957614899003E-3</v>
      </c>
      <c r="W151">
        <v>1.98</v>
      </c>
      <c r="X151">
        <v>2.8010000000000002</v>
      </c>
      <c r="Y151">
        <v>2.964</v>
      </c>
      <c r="Z151">
        <v>1</v>
      </c>
      <c r="AA151">
        <v>1.113519535</v>
      </c>
      <c r="AB151">
        <v>0.35</v>
      </c>
      <c r="AC151">
        <v>1.0920000000000001</v>
      </c>
    </row>
    <row r="152" spans="1:38" hidden="1" x14ac:dyDescent="0.3">
      <c r="A152" t="s">
        <v>41</v>
      </c>
      <c r="B152">
        <v>2026</v>
      </c>
      <c r="C152">
        <v>19.309999999999999</v>
      </c>
      <c r="D152">
        <v>51.886800000000001</v>
      </c>
      <c r="E152">
        <v>37.216679999999997</v>
      </c>
      <c r="F152">
        <v>4.8559806204804996</v>
      </c>
      <c r="G152">
        <v>30.004458293736999</v>
      </c>
      <c r="H152">
        <v>2.5468394402196002</v>
      </c>
      <c r="I152">
        <v>29.514019882109</v>
      </c>
      <c r="J152">
        <v>3.1074307584248002</v>
      </c>
      <c r="K152">
        <v>2.2518082779142001</v>
      </c>
      <c r="L152">
        <v>2.0119566334671002</v>
      </c>
      <c r="M152">
        <v>4.6203833999999997</v>
      </c>
      <c r="N152">
        <v>3.7829000000000002</v>
      </c>
      <c r="O152">
        <v>3.4093871999999998</v>
      </c>
      <c r="P152">
        <v>0</v>
      </c>
      <c r="Q152">
        <v>39.778209699999998</v>
      </c>
      <c r="R152">
        <v>21.616054465537999</v>
      </c>
      <c r="U152">
        <v>0</v>
      </c>
      <c r="V152">
        <v>-1.117879152298E-2</v>
      </c>
      <c r="W152">
        <v>2.1900159000000001</v>
      </c>
      <c r="Z152">
        <v>1</v>
      </c>
      <c r="AA152">
        <v>1.1346799999999999</v>
      </c>
      <c r="AB152">
        <v>1</v>
      </c>
      <c r="AC152">
        <v>1</v>
      </c>
    </row>
    <row r="153" spans="1:38" hidden="1" x14ac:dyDescent="0.3">
      <c r="A153" t="s">
        <v>41</v>
      </c>
      <c r="B153">
        <v>2027</v>
      </c>
      <c r="G153">
        <v>30.544768654559999</v>
      </c>
      <c r="H153">
        <v>1.800766924478</v>
      </c>
      <c r="I153">
        <v>30.210098492627001</v>
      </c>
      <c r="J153">
        <v>2.3584676479118998</v>
      </c>
      <c r="R153">
        <v>21.792837715146</v>
      </c>
      <c r="U153">
        <v>0</v>
      </c>
      <c r="V153">
        <v>-1.676818728447E-2</v>
      </c>
      <c r="AB153">
        <v>1</v>
      </c>
      <c r="AC153">
        <v>1.25</v>
      </c>
    </row>
    <row r="154" spans="1:38" hidden="1" x14ac:dyDescent="0.3">
      <c r="A154" t="s">
        <v>41</v>
      </c>
      <c r="B154">
        <v>2028</v>
      </c>
      <c r="G154">
        <v>30.999462798402</v>
      </c>
      <c r="H154">
        <v>1.4886154450338001</v>
      </c>
      <c r="I154">
        <v>30.828701249217001</v>
      </c>
      <c r="J154">
        <v>2.0476687844654</v>
      </c>
      <c r="R154">
        <v>21.931189187225002</v>
      </c>
      <c r="U154">
        <v>0</v>
      </c>
      <c r="V154">
        <v>-2.2357583045959001E-2</v>
      </c>
      <c r="AB154">
        <v>1</v>
      </c>
      <c r="AC154">
        <v>1.3502259999999999</v>
      </c>
    </row>
    <row r="155" spans="1:38" hidden="1" x14ac:dyDescent="0.3">
      <c r="A155" t="s">
        <v>41</v>
      </c>
      <c r="B155">
        <v>2029</v>
      </c>
      <c r="G155">
        <v>31.432638473912998</v>
      </c>
      <c r="H155">
        <v>1.3973651038032999</v>
      </c>
      <c r="I155">
        <v>31.432638473912998</v>
      </c>
      <c r="J155">
        <v>1.9590096248758</v>
      </c>
      <c r="R155">
        <v>21.810477282954</v>
      </c>
      <c r="U155">
        <v>0</v>
      </c>
      <c r="V155">
        <v>-2.7946978807449001E-2</v>
      </c>
      <c r="AB155">
        <v>1.05</v>
      </c>
      <c r="AC155">
        <v>0</v>
      </c>
    </row>
    <row r="156" spans="1:38" hidden="1" x14ac:dyDescent="0.3">
      <c r="A156" t="s">
        <v>41</v>
      </c>
      <c r="B156">
        <v>2030</v>
      </c>
      <c r="J156">
        <v>1.917131100747</v>
      </c>
      <c r="R156">
        <v>22.047860856221</v>
      </c>
      <c r="U156">
        <v>0</v>
      </c>
      <c r="V156">
        <v>-3.3536374568939001E-2</v>
      </c>
      <c r="AB156">
        <v>0.9</v>
      </c>
      <c r="AC156">
        <v>1</v>
      </c>
    </row>
    <row r="157" spans="1:38" hidden="1" x14ac:dyDescent="0.3">
      <c r="A157" t="s">
        <v>41</v>
      </c>
      <c r="B157">
        <v>2031</v>
      </c>
      <c r="J157">
        <v>1.8752525766181001</v>
      </c>
      <c r="R157">
        <v>22.285781048646001</v>
      </c>
      <c r="U157">
        <v>0</v>
      </c>
      <c r="V157">
        <v>-3.9125770330429001E-2</v>
      </c>
      <c r="AB157">
        <v>1</v>
      </c>
      <c r="AC157">
        <v>1</v>
      </c>
    </row>
    <row r="158" spans="1:38" hidden="1" x14ac:dyDescent="0.3">
      <c r="A158" t="s">
        <v>41</v>
      </c>
      <c r="B158">
        <v>2032</v>
      </c>
      <c r="J158">
        <v>1.8333740524893001</v>
      </c>
      <c r="R158">
        <v>22.476528842531</v>
      </c>
      <c r="U158">
        <v>0</v>
      </c>
      <c r="V158">
        <v>-4.4715166091919001E-2</v>
      </c>
      <c r="AC158">
        <v>1</v>
      </c>
    </row>
    <row r="159" spans="1:38" hidden="1" x14ac:dyDescent="0.3">
      <c r="A159" t="s">
        <v>41</v>
      </c>
      <c r="B159">
        <v>2033</v>
      </c>
      <c r="J159">
        <v>1.7914955283605001</v>
      </c>
      <c r="R159">
        <v>22.706673429001</v>
      </c>
      <c r="U159">
        <v>0</v>
      </c>
      <c r="V159">
        <v>-5.0304561853409001E-2</v>
      </c>
      <c r="AC159">
        <v>1.5</v>
      </c>
    </row>
    <row r="160" spans="1:38" hidden="1" x14ac:dyDescent="0.3">
      <c r="A160" t="s">
        <v>41</v>
      </c>
      <c r="B160">
        <v>2034</v>
      </c>
      <c r="J160">
        <v>1.7496170042315999</v>
      </c>
      <c r="R160">
        <v>22.85714529234</v>
      </c>
      <c r="U160">
        <v>0</v>
      </c>
      <c r="V160">
        <v>-5.5893957614899001E-2</v>
      </c>
      <c r="AC160">
        <v>1.6</v>
      </c>
    </row>
    <row r="161" spans="1:29" hidden="1" x14ac:dyDescent="0.3">
      <c r="A161" t="s">
        <v>41</v>
      </c>
      <c r="B161">
        <v>2035</v>
      </c>
      <c r="J161">
        <v>1.7077384801027999</v>
      </c>
      <c r="R161">
        <v>23.067827279094001</v>
      </c>
      <c r="U161">
        <v>0</v>
      </c>
      <c r="V161">
        <v>-6.1483353376389001E-2</v>
      </c>
      <c r="AC161">
        <v>0.5</v>
      </c>
    </row>
    <row r="162" spans="1:29" hidden="1" x14ac:dyDescent="0.3">
      <c r="A162" t="s">
        <v>41</v>
      </c>
      <c r="B162">
        <v>2036</v>
      </c>
      <c r="J162">
        <v>1.6658599559739999</v>
      </c>
      <c r="R162">
        <v>23.210708204980001</v>
      </c>
      <c r="U162">
        <v>0</v>
      </c>
      <c r="V162">
        <v>-6.7072749137878002E-2</v>
      </c>
      <c r="AC162">
        <v>0.5</v>
      </c>
    </row>
    <row r="163" spans="1:29" hidden="1" x14ac:dyDescent="0.3">
      <c r="A163" t="s">
        <v>41</v>
      </c>
      <c r="B163">
        <v>2037</v>
      </c>
      <c r="J163">
        <v>1.7527727458599001</v>
      </c>
      <c r="R163">
        <v>23.320972226009001</v>
      </c>
      <c r="U163">
        <v>0</v>
      </c>
      <c r="V163">
        <v>-7.2662144899367995E-2</v>
      </c>
      <c r="AC163">
        <v>0</v>
      </c>
    </row>
    <row r="164" spans="1:29" hidden="1" x14ac:dyDescent="0.3">
      <c r="A164" t="s">
        <v>41</v>
      </c>
      <c r="B164">
        <v>2038</v>
      </c>
      <c r="J164">
        <v>1.8069413626097</v>
      </c>
      <c r="R164">
        <v>23.423592898959001</v>
      </c>
      <c r="U164">
        <v>0</v>
      </c>
      <c r="V164">
        <v>-7.8251540660858002E-2</v>
      </c>
      <c r="AC164">
        <v>0.35</v>
      </c>
    </row>
    <row r="165" spans="1:29" hidden="1" x14ac:dyDescent="0.3">
      <c r="A165" t="s">
        <v>41</v>
      </c>
      <c r="B165">
        <v>2039</v>
      </c>
      <c r="J165">
        <v>1.8724841645771</v>
      </c>
      <c r="R165">
        <v>23.219217278654</v>
      </c>
      <c r="U165">
        <v>0</v>
      </c>
      <c r="V165">
        <v>-8.3840936422347995E-2</v>
      </c>
      <c r="AC165">
        <v>0</v>
      </c>
    </row>
    <row r="166" spans="1:29" hidden="1" x14ac:dyDescent="0.3">
      <c r="A166" t="s">
        <v>41</v>
      </c>
      <c r="B166">
        <v>2040</v>
      </c>
      <c r="J166">
        <v>1.9423067497027999</v>
      </c>
      <c r="R166">
        <v>23.402754477292</v>
      </c>
      <c r="U166">
        <v>0</v>
      </c>
      <c r="V166">
        <v>-8.9430332183838002E-2</v>
      </c>
      <c r="AC166">
        <v>1.25</v>
      </c>
    </row>
    <row r="167" spans="1:29" hidden="1" x14ac:dyDescent="0.3">
      <c r="A167" t="s">
        <v>41</v>
      </c>
      <c r="B167">
        <v>2041</v>
      </c>
      <c r="J167">
        <v>1.909504919855</v>
      </c>
      <c r="R167">
        <v>23.416051600936999</v>
      </c>
      <c r="U167">
        <v>0</v>
      </c>
      <c r="V167">
        <v>-9.5019727945327995E-2</v>
      </c>
      <c r="AC167">
        <v>0</v>
      </c>
    </row>
    <row r="168" spans="1:29" hidden="1" x14ac:dyDescent="0.3">
      <c r="A168" t="s">
        <v>41</v>
      </c>
      <c r="B168">
        <v>2042</v>
      </c>
      <c r="J168">
        <v>1.8691767342222001</v>
      </c>
      <c r="R168">
        <v>23.530287094556002</v>
      </c>
      <c r="U168">
        <v>0</v>
      </c>
      <c r="V168">
        <v>-0.10060912370682</v>
      </c>
      <c r="AC168">
        <v>0</v>
      </c>
    </row>
    <row r="169" spans="1:29" hidden="1" x14ac:dyDescent="0.3">
      <c r="A169" t="s">
        <v>41</v>
      </c>
      <c r="B169">
        <v>2043</v>
      </c>
      <c r="J169">
        <v>1.8518490136525001</v>
      </c>
      <c r="R169">
        <v>23.572561897877002</v>
      </c>
      <c r="U169">
        <v>0</v>
      </c>
      <c r="V169">
        <v>-0.10619851946830999</v>
      </c>
      <c r="AC169">
        <v>0</v>
      </c>
    </row>
    <row r="170" spans="1:29" hidden="1" x14ac:dyDescent="0.3">
      <c r="A170" t="s">
        <v>41</v>
      </c>
      <c r="B170">
        <v>2044</v>
      </c>
      <c r="J170">
        <v>1.8279854186411999</v>
      </c>
      <c r="R170">
        <v>23.663861654211999</v>
      </c>
      <c r="U170">
        <v>0</v>
      </c>
      <c r="V170">
        <v>-0.1117879152298</v>
      </c>
      <c r="AC170">
        <v>0</v>
      </c>
    </row>
    <row r="171" spans="1:29" hidden="1" x14ac:dyDescent="0.3">
      <c r="A171" t="s">
        <v>41</v>
      </c>
      <c r="B171">
        <v>2045</v>
      </c>
      <c r="J171">
        <v>1.7846806234124</v>
      </c>
      <c r="R171">
        <v>23.707969249872001</v>
      </c>
      <c r="U171">
        <v>0</v>
      </c>
      <c r="V171">
        <v>-0.11737731099128999</v>
      </c>
      <c r="AC171">
        <v>0</v>
      </c>
    </row>
    <row r="172" spans="1:29" hidden="1" x14ac:dyDescent="0.3">
      <c r="A172" t="s">
        <v>41</v>
      </c>
      <c r="B172">
        <v>2046</v>
      </c>
      <c r="J172">
        <v>1.7407937623494001</v>
      </c>
      <c r="R172">
        <v>23.740641434094002</v>
      </c>
      <c r="U172">
        <v>0</v>
      </c>
      <c r="V172">
        <v>-0.12296670675278</v>
      </c>
      <c r="AC172">
        <v>0</v>
      </c>
    </row>
    <row r="173" spans="1:29" hidden="1" x14ac:dyDescent="0.3">
      <c r="A173" t="s">
        <v>41</v>
      </c>
      <c r="B173">
        <v>2047</v>
      </c>
      <c r="J173">
        <v>1.6997807508584999</v>
      </c>
      <c r="R173">
        <v>23.811477907929</v>
      </c>
      <c r="U173">
        <v>0</v>
      </c>
      <c r="V173">
        <v>-0.12855610251426999</v>
      </c>
      <c r="AC173">
        <v>0</v>
      </c>
    </row>
    <row r="174" spans="1:29" hidden="1" x14ac:dyDescent="0.3">
      <c r="A174" t="s">
        <v>41</v>
      </c>
      <c r="B174">
        <v>2048</v>
      </c>
      <c r="J174">
        <v>1.6568620393771001</v>
      </c>
      <c r="R174">
        <v>23.894479082197002</v>
      </c>
      <c r="U174">
        <v>0</v>
      </c>
      <c r="V174">
        <v>-0.13414549827576</v>
      </c>
      <c r="AC174">
        <v>0</v>
      </c>
    </row>
    <row r="175" spans="1:29" hidden="1" x14ac:dyDescent="0.3">
      <c r="A175" t="s">
        <v>41</v>
      </c>
      <c r="B175">
        <v>2049</v>
      </c>
      <c r="J175">
        <v>1.585738650396</v>
      </c>
      <c r="R175">
        <v>23.643882479352001</v>
      </c>
      <c r="U175">
        <v>0</v>
      </c>
      <c r="V175">
        <v>-0.13973489403725001</v>
      </c>
      <c r="AC175">
        <v>1</v>
      </c>
    </row>
    <row r="176" spans="1:29" hidden="1" x14ac:dyDescent="0.3">
      <c r="A176" t="s">
        <v>41</v>
      </c>
      <c r="B176">
        <v>2050</v>
      </c>
      <c r="J176">
        <v>1.5088934290692999</v>
      </c>
      <c r="R176">
        <v>23.727921743671001</v>
      </c>
      <c r="U176">
        <v>0</v>
      </c>
      <c r="V176">
        <v>-0.14532428979873999</v>
      </c>
      <c r="AC176">
        <v>0.5</v>
      </c>
    </row>
    <row r="177" spans="1:29" hidden="1" x14ac:dyDescent="0.3">
      <c r="A177" t="s">
        <v>41</v>
      </c>
      <c r="B177">
        <v>2051</v>
      </c>
      <c r="J177">
        <v>1.4387557731013001</v>
      </c>
      <c r="R177">
        <v>23.797770957318999</v>
      </c>
      <c r="U177">
        <v>0</v>
      </c>
      <c r="V177">
        <v>-0.15091368556022999</v>
      </c>
      <c r="AC177">
        <v>0</v>
      </c>
    </row>
    <row r="178" spans="1:29" hidden="1" x14ac:dyDescent="0.3">
      <c r="A178" t="s">
        <v>41</v>
      </c>
      <c r="B178">
        <v>2052</v>
      </c>
      <c r="J178">
        <v>1.3677787145733</v>
      </c>
      <c r="R178">
        <v>23.926478019796001</v>
      </c>
      <c r="U178">
        <v>0</v>
      </c>
      <c r="V178">
        <v>-0.15650308132172</v>
      </c>
      <c r="AC178">
        <v>0</v>
      </c>
    </row>
    <row r="179" spans="1:29" hidden="1" x14ac:dyDescent="0.3">
      <c r="A179" t="s">
        <v>41</v>
      </c>
      <c r="B179">
        <v>2053</v>
      </c>
      <c r="J179">
        <v>1.3000371806647</v>
      </c>
      <c r="R179">
        <v>24.095018977334</v>
      </c>
      <c r="U179">
        <v>0</v>
      </c>
      <c r="V179">
        <v>-0.16209247708321001</v>
      </c>
      <c r="AC179">
        <v>0</v>
      </c>
    </row>
    <row r="180" spans="1:29" hidden="1" x14ac:dyDescent="0.3">
      <c r="A180" t="s">
        <v>41</v>
      </c>
      <c r="B180">
        <v>2054</v>
      </c>
      <c r="J180">
        <v>1.2604594954056001</v>
      </c>
      <c r="R180">
        <v>24.280761395387</v>
      </c>
      <c r="U180">
        <v>0</v>
      </c>
      <c r="V180">
        <v>-0.16768187284469999</v>
      </c>
      <c r="AC180">
        <v>0</v>
      </c>
    </row>
    <row r="181" spans="1:29" hidden="1" x14ac:dyDescent="0.3">
      <c r="A181" t="s">
        <v>41</v>
      </c>
      <c r="B181">
        <v>2055</v>
      </c>
      <c r="J181">
        <v>1.2210875232895</v>
      </c>
      <c r="R181">
        <v>24.460176904394</v>
      </c>
      <c r="U181">
        <v>0</v>
      </c>
      <c r="V181">
        <v>-0.17327126860618999</v>
      </c>
      <c r="AC181">
        <v>0</v>
      </c>
    </row>
    <row r="182" spans="1:29" hidden="1" x14ac:dyDescent="0.3">
      <c r="A182" t="s">
        <v>41</v>
      </c>
      <c r="B182">
        <v>2056</v>
      </c>
      <c r="J182">
        <v>1.1934855092257</v>
      </c>
      <c r="R182">
        <v>24.633673465651</v>
      </c>
      <c r="U182">
        <v>0</v>
      </c>
      <c r="V182">
        <v>-0.17886066436768</v>
      </c>
      <c r="AC182">
        <v>0</v>
      </c>
    </row>
    <row r="183" spans="1:29" hidden="1" x14ac:dyDescent="0.3">
      <c r="A183" t="s">
        <v>41</v>
      </c>
      <c r="B183">
        <v>2057</v>
      </c>
      <c r="J183">
        <v>1.1751920631485999</v>
      </c>
      <c r="R183">
        <v>24.818960012192999</v>
      </c>
      <c r="U183">
        <v>0</v>
      </c>
      <c r="V183">
        <v>-0.18445006012917001</v>
      </c>
      <c r="AC183">
        <v>0</v>
      </c>
    </row>
    <row r="184" spans="1:29" hidden="1" x14ac:dyDescent="0.3">
      <c r="A184" t="s">
        <v>41</v>
      </c>
      <c r="B184">
        <v>2058</v>
      </c>
      <c r="J184">
        <v>1.1611638349316</v>
      </c>
      <c r="R184">
        <v>24.636277289769001</v>
      </c>
      <c r="U184">
        <v>0</v>
      </c>
      <c r="V184">
        <v>-0.19003945589065999</v>
      </c>
      <c r="AC184">
        <v>0</v>
      </c>
    </row>
    <row r="185" spans="1:29" hidden="1" x14ac:dyDescent="0.3">
      <c r="A185" t="s">
        <v>41</v>
      </c>
      <c r="B185">
        <v>2059</v>
      </c>
      <c r="J185">
        <v>1.1492720442108</v>
      </c>
      <c r="R185">
        <v>24.797845505967999</v>
      </c>
      <c r="U185">
        <v>0</v>
      </c>
      <c r="V185">
        <v>-0.19562885165214999</v>
      </c>
      <c r="AC185">
        <v>0</v>
      </c>
    </row>
    <row r="186" spans="1:29" hidden="1" x14ac:dyDescent="0.3">
      <c r="A186" t="s">
        <v>41</v>
      </c>
      <c r="B186">
        <v>2060</v>
      </c>
      <c r="J186">
        <v>1.1429893449527</v>
      </c>
      <c r="R186">
        <v>24.901519573224</v>
      </c>
      <c r="U186">
        <v>0</v>
      </c>
      <c r="V186">
        <v>-0.20121824741364</v>
      </c>
      <c r="AC186">
        <v>0</v>
      </c>
    </row>
    <row r="187" spans="1:29" hidden="1" x14ac:dyDescent="0.3">
      <c r="A187" t="s">
        <v>41</v>
      </c>
      <c r="B187">
        <v>2061</v>
      </c>
      <c r="J187">
        <v>1.1401383477292</v>
      </c>
      <c r="R187">
        <v>25.076238307575998</v>
      </c>
      <c r="U187">
        <v>0</v>
      </c>
      <c r="V187">
        <v>-0.20680764317513001</v>
      </c>
      <c r="AC187">
        <v>0</v>
      </c>
    </row>
    <row r="188" spans="1:29" hidden="1" x14ac:dyDescent="0.3">
      <c r="A188" t="s">
        <v>41</v>
      </c>
      <c r="B188">
        <v>2062</v>
      </c>
      <c r="J188">
        <v>1.1450235676455001</v>
      </c>
      <c r="R188">
        <v>25.231535442348999</v>
      </c>
      <c r="U188">
        <v>0</v>
      </c>
      <c r="V188">
        <v>-0.21239703893660999</v>
      </c>
      <c r="AC188">
        <v>0</v>
      </c>
    </row>
    <row r="189" spans="1:29" hidden="1" x14ac:dyDescent="0.3">
      <c r="A189" t="s">
        <v>41</v>
      </c>
      <c r="B189">
        <v>2063</v>
      </c>
      <c r="J189">
        <v>1.1554135971001001</v>
      </c>
      <c r="R189">
        <v>25.356562430122001</v>
      </c>
      <c r="U189">
        <v>0</v>
      </c>
      <c r="V189">
        <v>-0.2179864346981</v>
      </c>
      <c r="AC189">
        <v>0</v>
      </c>
    </row>
    <row r="190" spans="1:29" hidden="1" x14ac:dyDescent="0.3">
      <c r="A190" t="s">
        <v>41</v>
      </c>
      <c r="B190">
        <v>2064</v>
      </c>
      <c r="J190">
        <v>1.1637538273351</v>
      </c>
      <c r="R190">
        <v>25.457128105801999</v>
      </c>
      <c r="U190">
        <v>0</v>
      </c>
      <c r="V190">
        <v>-0.22357583045959001</v>
      </c>
      <c r="AC190">
        <v>0</v>
      </c>
    </row>
    <row r="191" spans="1:29" hidden="1" x14ac:dyDescent="0.3">
      <c r="A191" t="s">
        <v>41</v>
      </c>
      <c r="B191">
        <v>2065</v>
      </c>
      <c r="J191">
        <v>1.1748952355258</v>
      </c>
      <c r="R191">
        <v>25.511086500948998</v>
      </c>
      <c r="U191">
        <v>0</v>
      </c>
      <c r="V191">
        <v>-0.22916522622107999</v>
      </c>
      <c r="AC191">
        <v>0</v>
      </c>
    </row>
    <row r="192" spans="1:29" hidden="1" x14ac:dyDescent="0.3">
      <c r="A192" t="s">
        <v>41</v>
      </c>
      <c r="B192">
        <v>2066</v>
      </c>
      <c r="J192">
        <v>1.1913559103378</v>
      </c>
      <c r="R192">
        <v>25.527469512776999</v>
      </c>
      <c r="U192">
        <v>0</v>
      </c>
      <c r="V192">
        <v>-0.23475462198256999</v>
      </c>
      <c r="AC192">
        <v>0</v>
      </c>
    </row>
    <row r="193" spans="1:38" hidden="1" x14ac:dyDescent="0.3">
      <c r="A193" t="s">
        <v>41</v>
      </c>
      <c r="B193">
        <v>2067</v>
      </c>
      <c r="J193">
        <v>1.2100777525412001</v>
      </c>
      <c r="R193">
        <v>25.514901312618001</v>
      </c>
      <c r="U193">
        <v>0</v>
      </c>
      <c r="V193">
        <v>-0.24034401774406</v>
      </c>
      <c r="AC193">
        <v>0</v>
      </c>
    </row>
    <row r="194" spans="1:38" hidden="1" x14ac:dyDescent="0.3">
      <c r="A194" t="s">
        <v>41</v>
      </c>
      <c r="B194">
        <v>2068</v>
      </c>
      <c r="J194">
        <v>1.2314276917119</v>
      </c>
      <c r="R194">
        <v>25.201985248604</v>
      </c>
      <c r="U194">
        <v>0</v>
      </c>
      <c r="V194">
        <v>-0.24593341350555001</v>
      </c>
      <c r="AC194">
        <v>0</v>
      </c>
    </row>
    <row r="195" spans="1:38" hidden="1" x14ac:dyDescent="0.3">
      <c r="A195" t="s">
        <v>41</v>
      </c>
      <c r="B195">
        <v>2069</v>
      </c>
      <c r="J195">
        <v>1.2512806452330001</v>
      </c>
      <c r="R195">
        <v>25.127805738412</v>
      </c>
      <c r="U195">
        <v>0</v>
      </c>
      <c r="V195">
        <v>-0.25152280926704002</v>
      </c>
      <c r="AC195">
        <v>0</v>
      </c>
    </row>
    <row r="196" spans="1:38" hidden="1" x14ac:dyDescent="0.3">
      <c r="A196" t="s">
        <v>41</v>
      </c>
      <c r="B196">
        <v>2070</v>
      </c>
      <c r="J196">
        <v>1.2686600701784001</v>
      </c>
      <c r="R196">
        <v>24.979883729259999</v>
      </c>
      <c r="U196">
        <v>0</v>
      </c>
      <c r="V196">
        <v>-0.25711220502852999</v>
      </c>
      <c r="AC196">
        <v>0</v>
      </c>
    </row>
    <row r="197" spans="1:38" hidden="1" x14ac:dyDescent="0.3">
      <c r="A197" t="s">
        <v>41</v>
      </c>
      <c r="B197">
        <v>2071</v>
      </c>
      <c r="V197">
        <v>-0.26270160079001997</v>
      </c>
    </row>
    <row r="198" spans="1:38" hidden="1" x14ac:dyDescent="0.3">
      <c r="A198" t="s">
        <v>42</v>
      </c>
      <c r="B198">
        <v>0</v>
      </c>
      <c r="AD198">
        <v>3.8570320713659997E-2</v>
      </c>
      <c r="AE198">
        <v>6.7903565280292996E-2</v>
      </c>
      <c r="AF198">
        <v>8.2686194115355993E-2</v>
      </c>
      <c r="AG198">
        <v>0.93157293949325004</v>
      </c>
      <c r="AH198">
        <v>6.6001738877426996E-2</v>
      </c>
      <c r="AI198">
        <v>4.2643605263157998</v>
      </c>
      <c r="AJ198">
        <v>5.1609547368420996</v>
      </c>
      <c r="AK198">
        <v>2.1578473684211001</v>
      </c>
      <c r="AL198">
        <v>0.39500000000000002</v>
      </c>
    </row>
    <row r="199" spans="1:38" hidden="1" x14ac:dyDescent="0.3">
      <c r="A199" t="s">
        <v>42</v>
      </c>
      <c r="B199">
        <v>2024</v>
      </c>
      <c r="C199">
        <v>3491.9</v>
      </c>
      <c r="D199">
        <v>43.590800000000002</v>
      </c>
      <c r="E199">
        <v>8010.6589999999997</v>
      </c>
      <c r="F199">
        <v>5.1470704052015996</v>
      </c>
      <c r="G199">
        <v>6302.1499988685</v>
      </c>
      <c r="H199">
        <v>1.1203845840069999</v>
      </c>
      <c r="I199">
        <v>6408.6172555802004</v>
      </c>
      <c r="J199">
        <v>1.4274214558567</v>
      </c>
      <c r="K199">
        <v>3.9820712964382001</v>
      </c>
      <c r="L199">
        <v>2.9323319626384001</v>
      </c>
      <c r="M199">
        <v>-0.86307509999999998</v>
      </c>
      <c r="N199">
        <v>-0.2069</v>
      </c>
      <c r="O199">
        <v>-2.2117157000000001</v>
      </c>
      <c r="P199">
        <v>80.7</v>
      </c>
      <c r="Q199">
        <v>41.650256200000001</v>
      </c>
      <c r="R199">
        <v>19.891051758753001</v>
      </c>
      <c r="U199">
        <v>0</v>
      </c>
      <c r="V199">
        <v>0</v>
      </c>
      <c r="W199">
        <v>3.3405203000000001</v>
      </c>
      <c r="X199">
        <v>3.8690000000000002</v>
      </c>
      <c r="Y199">
        <v>3.9783333333333002</v>
      </c>
      <c r="Z199">
        <v>3.9809239094451998E-2</v>
      </c>
      <c r="AA199">
        <v>4.3088742881586997E-2</v>
      </c>
    </row>
    <row r="200" spans="1:38" hidden="1" x14ac:dyDescent="0.3">
      <c r="A200" t="s">
        <v>42</v>
      </c>
      <c r="B200">
        <v>2025</v>
      </c>
      <c r="C200">
        <v>3743</v>
      </c>
      <c r="D200">
        <v>44.548000000000002</v>
      </c>
      <c r="E200">
        <v>8402.1730000000007</v>
      </c>
      <c r="F200">
        <v>4.8874131329269996</v>
      </c>
      <c r="G200">
        <v>6424.95998478</v>
      </c>
      <c r="H200">
        <v>1.9486998236084001</v>
      </c>
      <c r="I200">
        <v>6493.9107880401998</v>
      </c>
      <c r="J200">
        <v>1.3309194332956</v>
      </c>
      <c r="K200">
        <v>2.8825366745298999</v>
      </c>
      <c r="L200">
        <v>2.4767093808285998</v>
      </c>
      <c r="M200">
        <v>-0.95122569999999995</v>
      </c>
      <c r="N200">
        <v>-0.4128</v>
      </c>
      <c r="O200">
        <v>-2.2884560999999999</v>
      </c>
      <c r="P200">
        <v>58.8</v>
      </c>
      <c r="Q200">
        <v>41.724232000000001</v>
      </c>
      <c r="R200">
        <v>19.647260117620998</v>
      </c>
      <c r="U200">
        <v>0</v>
      </c>
      <c r="V200">
        <v>-1.3033986091614E-2</v>
      </c>
      <c r="W200">
        <v>3.217622</v>
      </c>
      <c r="X200">
        <v>3.3889999999999998</v>
      </c>
      <c r="Y200">
        <v>4.1539999999999999</v>
      </c>
      <c r="Z200">
        <v>3.9914212287735999E-2</v>
      </c>
      <c r="AA200">
        <v>4.4445255106531002E-2</v>
      </c>
      <c r="AC200">
        <v>4256.5147519680004</v>
      </c>
    </row>
    <row r="201" spans="1:38" hidden="1" x14ac:dyDescent="0.3">
      <c r="A201" t="s">
        <v>42</v>
      </c>
      <c r="B201">
        <v>2026</v>
      </c>
      <c r="C201">
        <v>4000</v>
      </c>
      <c r="D201">
        <v>45.372500000000002</v>
      </c>
      <c r="E201">
        <v>8815.991</v>
      </c>
      <c r="F201">
        <v>4.9251306775044998</v>
      </c>
      <c r="G201">
        <v>6557.2176608534</v>
      </c>
      <c r="H201">
        <v>2.0584980511427999</v>
      </c>
      <c r="I201">
        <v>6587.56036141</v>
      </c>
      <c r="J201">
        <v>1.4421136419411</v>
      </c>
      <c r="K201">
        <v>2.8088207792345998</v>
      </c>
      <c r="L201">
        <v>2.0119566334671002</v>
      </c>
      <c r="M201">
        <v>-0.88115730000000003</v>
      </c>
      <c r="N201">
        <v>-0.69920000000000004</v>
      </c>
      <c r="O201">
        <v>-2.2155182999999998</v>
      </c>
      <c r="P201">
        <v>61.7</v>
      </c>
      <c r="Q201">
        <v>41.189917600000001</v>
      </c>
      <c r="R201">
        <v>19.53460594017</v>
      </c>
      <c r="U201">
        <v>0</v>
      </c>
      <c r="V201">
        <v>-2.6067972183228E-2</v>
      </c>
      <c r="W201">
        <v>3.1428546000000002</v>
      </c>
      <c r="Z201">
        <v>3.9930520893645002E-2</v>
      </c>
      <c r="AA201">
        <v>4.5308363447601002E-2</v>
      </c>
      <c r="AC201">
        <v>300.21472753199998</v>
      </c>
    </row>
    <row r="202" spans="1:38" hidden="1" x14ac:dyDescent="0.3">
      <c r="A202" t="s">
        <v>42</v>
      </c>
      <c r="B202">
        <v>2027</v>
      </c>
      <c r="G202">
        <v>6650.8437831792999</v>
      </c>
      <c r="H202">
        <v>1.4278330714084999</v>
      </c>
      <c r="I202">
        <v>6671.3294806291997</v>
      </c>
      <c r="J202">
        <v>1.2716258314669999</v>
      </c>
      <c r="R202">
        <v>19.626182545578001</v>
      </c>
      <c r="U202">
        <v>0</v>
      </c>
      <c r="V202">
        <v>-3.9101958274841003E-2</v>
      </c>
      <c r="AC202">
        <v>354.93099613999999</v>
      </c>
    </row>
    <row r="203" spans="1:38" hidden="1" x14ac:dyDescent="0.3">
      <c r="A203" t="s">
        <v>42</v>
      </c>
      <c r="B203">
        <v>2028</v>
      </c>
      <c r="G203">
        <v>6742.8566760087997</v>
      </c>
      <c r="H203">
        <v>1.3834769817056001</v>
      </c>
      <c r="I203">
        <v>6753.2252637067004</v>
      </c>
      <c r="J203">
        <v>1.227578150881</v>
      </c>
      <c r="R203">
        <v>19.807986659396001</v>
      </c>
      <c r="U203">
        <v>0</v>
      </c>
      <c r="V203">
        <v>-5.2135944366455002E-2</v>
      </c>
      <c r="AC203">
        <v>286.49653376600003</v>
      </c>
    </row>
    <row r="204" spans="1:38" hidden="1" x14ac:dyDescent="0.3">
      <c r="A204" t="s">
        <v>42</v>
      </c>
      <c r="B204">
        <v>2029</v>
      </c>
      <c r="G204">
        <v>6839.8351477482001</v>
      </c>
      <c r="H204">
        <v>1.4382401465611001</v>
      </c>
      <c r="I204">
        <v>6839.8351477482001</v>
      </c>
      <c r="J204">
        <v>1.28249659473</v>
      </c>
      <c r="R204">
        <v>19.933280229051</v>
      </c>
      <c r="U204">
        <v>0</v>
      </c>
      <c r="V204">
        <v>-6.5169930458069E-2</v>
      </c>
      <c r="AC204">
        <v>319.08406789999998</v>
      </c>
    </row>
    <row r="205" spans="1:38" hidden="1" x14ac:dyDescent="0.3">
      <c r="A205" t="s">
        <v>42</v>
      </c>
      <c r="B205">
        <v>2030</v>
      </c>
      <c r="J205">
        <v>1.3044967751040999</v>
      </c>
      <c r="R205">
        <v>20.051031062132999</v>
      </c>
      <c r="U205">
        <v>0</v>
      </c>
      <c r="V205">
        <v>-7.8203916549683006E-2</v>
      </c>
      <c r="AC205">
        <v>299.192196706</v>
      </c>
    </row>
    <row r="206" spans="1:38" hidden="1" x14ac:dyDescent="0.3">
      <c r="A206" t="s">
        <v>42</v>
      </c>
      <c r="B206">
        <v>2031</v>
      </c>
      <c r="J206">
        <v>1.3264969554781001</v>
      </c>
      <c r="R206">
        <v>20.158247775837999</v>
      </c>
      <c r="U206">
        <v>0</v>
      </c>
      <c r="V206">
        <v>-9.1237843036652E-2</v>
      </c>
      <c r="AC206">
        <v>355.83042496000002</v>
      </c>
    </row>
    <row r="207" spans="1:38" hidden="1" x14ac:dyDescent="0.3">
      <c r="A207" t="s">
        <v>42</v>
      </c>
      <c r="B207">
        <v>2032</v>
      </c>
      <c r="J207">
        <v>1.3484971358522</v>
      </c>
      <c r="R207">
        <v>20.267390848887</v>
      </c>
      <c r="U207">
        <v>0</v>
      </c>
      <c r="V207">
        <v>-0.10427176952361999</v>
      </c>
      <c r="AC207">
        <v>307.75812185000001</v>
      </c>
    </row>
    <row r="208" spans="1:38" hidden="1" x14ac:dyDescent="0.3">
      <c r="A208" t="s">
        <v>42</v>
      </c>
      <c r="B208">
        <v>2033</v>
      </c>
      <c r="J208">
        <v>1.3704973162262</v>
      </c>
      <c r="R208">
        <v>20.381250390365999</v>
      </c>
      <c r="U208">
        <v>0</v>
      </c>
      <c r="V208">
        <v>-0.11730569601059</v>
      </c>
      <c r="AC208">
        <v>208.799364</v>
      </c>
    </row>
    <row r="209" spans="1:29" hidden="1" x14ac:dyDescent="0.3">
      <c r="A209" t="s">
        <v>42</v>
      </c>
      <c r="B209">
        <v>2034</v>
      </c>
      <c r="J209">
        <v>1.3924974966003001</v>
      </c>
      <c r="R209">
        <v>20.506287934473999</v>
      </c>
      <c r="U209">
        <v>0</v>
      </c>
      <c r="V209">
        <v>-0.13033962249756001</v>
      </c>
      <c r="AC209">
        <v>149.943344</v>
      </c>
    </row>
    <row r="210" spans="1:29" hidden="1" x14ac:dyDescent="0.3">
      <c r="A210" t="s">
        <v>42</v>
      </c>
      <c r="B210">
        <v>2035</v>
      </c>
      <c r="J210">
        <v>1.4144976769743001</v>
      </c>
      <c r="R210">
        <v>20.654689876669998</v>
      </c>
      <c r="U210">
        <v>0</v>
      </c>
      <c r="V210">
        <v>-0.14337358691475999</v>
      </c>
      <c r="AC210">
        <v>141.997928925</v>
      </c>
    </row>
    <row r="211" spans="1:29" hidden="1" x14ac:dyDescent="0.3">
      <c r="A211" t="s">
        <v>42</v>
      </c>
      <c r="B211">
        <v>2036</v>
      </c>
      <c r="J211">
        <v>1.4364978573484</v>
      </c>
      <c r="R211">
        <v>20.816583513649</v>
      </c>
      <c r="U211">
        <v>0</v>
      </c>
      <c r="V211">
        <v>-0.15640755133195</v>
      </c>
      <c r="AC211">
        <v>151.369415428</v>
      </c>
    </row>
    <row r="212" spans="1:29" hidden="1" x14ac:dyDescent="0.3">
      <c r="A212" t="s">
        <v>42</v>
      </c>
      <c r="B212">
        <v>2037</v>
      </c>
      <c r="J212">
        <v>1.4866483650491999</v>
      </c>
      <c r="R212">
        <v>21.004318278393001</v>
      </c>
      <c r="U212">
        <v>0</v>
      </c>
      <c r="V212">
        <v>-0.16944151574915001</v>
      </c>
      <c r="AC212">
        <v>73.855080000000001</v>
      </c>
    </row>
    <row r="213" spans="1:29" hidden="1" x14ac:dyDescent="0.3">
      <c r="A213" t="s">
        <v>42</v>
      </c>
      <c r="B213">
        <v>2038</v>
      </c>
      <c r="J213">
        <v>1.492616780496</v>
      </c>
      <c r="R213">
        <v>21.219824235577999</v>
      </c>
      <c r="U213">
        <v>0</v>
      </c>
      <c r="V213">
        <v>-0.18247548016635001</v>
      </c>
      <c r="AC213">
        <v>2.755474424</v>
      </c>
    </row>
    <row r="214" spans="1:29" hidden="1" x14ac:dyDescent="0.3">
      <c r="A214" t="s">
        <v>42</v>
      </c>
      <c r="B214">
        <v>2039</v>
      </c>
      <c r="J214">
        <v>1.5196634521486001</v>
      </c>
      <c r="R214">
        <v>21.463595184599001</v>
      </c>
      <c r="U214">
        <v>0</v>
      </c>
      <c r="V214">
        <v>-0.19550944458354999</v>
      </c>
      <c r="AC214">
        <v>1.2375326499999999</v>
      </c>
    </row>
    <row r="215" spans="1:29" hidden="1" x14ac:dyDescent="0.3">
      <c r="A215" t="s">
        <v>42</v>
      </c>
      <c r="B215">
        <v>2040</v>
      </c>
      <c r="J215">
        <v>1.5991967858436</v>
      </c>
      <c r="R215">
        <v>21.702004265728998</v>
      </c>
      <c r="U215">
        <v>0</v>
      </c>
      <c r="V215">
        <v>-0.20854340900074</v>
      </c>
      <c r="AC215">
        <v>87.555250000000001</v>
      </c>
    </row>
    <row r="216" spans="1:29" hidden="1" x14ac:dyDescent="0.3">
      <c r="A216" t="s">
        <v>42</v>
      </c>
      <c r="B216">
        <v>2041</v>
      </c>
      <c r="J216">
        <v>1.5959025484748</v>
      </c>
      <c r="R216">
        <v>21.950316803269001</v>
      </c>
      <c r="U216">
        <v>0</v>
      </c>
      <c r="V216">
        <v>-0.22157737341794001</v>
      </c>
      <c r="AC216">
        <v>0</v>
      </c>
    </row>
    <row r="217" spans="1:29" hidden="1" x14ac:dyDescent="0.3">
      <c r="A217" t="s">
        <v>42</v>
      </c>
      <c r="B217">
        <v>2042</v>
      </c>
      <c r="J217">
        <v>1.6002231753845999</v>
      </c>
      <c r="R217">
        <v>22.194327556771999</v>
      </c>
      <c r="U217">
        <v>0</v>
      </c>
      <c r="V217">
        <v>-0.23461133783513999</v>
      </c>
      <c r="AC217">
        <v>15.107054789999999</v>
      </c>
    </row>
    <row r="218" spans="1:29" hidden="1" x14ac:dyDescent="0.3">
      <c r="A218" t="s">
        <v>42</v>
      </c>
      <c r="B218">
        <v>2043</v>
      </c>
      <c r="J218">
        <v>1.6142970859926</v>
      </c>
      <c r="R218">
        <v>22.428144011952</v>
      </c>
      <c r="U218">
        <v>0</v>
      </c>
      <c r="V218">
        <v>-0.24764530225233999</v>
      </c>
      <c r="AC218">
        <v>55.634950000000003</v>
      </c>
    </row>
    <row r="219" spans="1:29" hidden="1" x14ac:dyDescent="0.3">
      <c r="A219" t="s">
        <v>42</v>
      </c>
      <c r="B219">
        <v>2044</v>
      </c>
      <c r="J219">
        <v>1.6396315819224001</v>
      </c>
      <c r="R219">
        <v>22.64670767202</v>
      </c>
      <c r="U219">
        <v>0</v>
      </c>
      <c r="V219">
        <v>-0.26067926666953001</v>
      </c>
      <c r="AC219">
        <v>6.3123199999999997</v>
      </c>
    </row>
    <row r="220" spans="1:29" hidden="1" x14ac:dyDescent="0.3">
      <c r="A220" t="s">
        <v>42</v>
      </c>
      <c r="B220">
        <v>2045</v>
      </c>
      <c r="J220">
        <v>1.6604825130679</v>
      </c>
      <c r="R220">
        <v>22.851376931322001</v>
      </c>
      <c r="U220">
        <v>0</v>
      </c>
      <c r="V220">
        <v>-0.27371323108673001</v>
      </c>
      <c r="AC220">
        <v>0</v>
      </c>
    </row>
    <row r="221" spans="1:29" hidden="1" x14ac:dyDescent="0.3">
      <c r="A221" t="s">
        <v>42</v>
      </c>
      <c r="B221">
        <v>2046</v>
      </c>
      <c r="J221">
        <v>1.6723009489258001</v>
      </c>
      <c r="R221">
        <v>23.036303301040999</v>
      </c>
      <c r="U221">
        <v>0</v>
      </c>
      <c r="V221">
        <v>-0.28674719550393002</v>
      </c>
      <c r="AC221">
        <v>0</v>
      </c>
    </row>
    <row r="222" spans="1:29" hidden="1" x14ac:dyDescent="0.3">
      <c r="A222" t="s">
        <v>42</v>
      </c>
      <c r="B222">
        <v>2047</v>
      </c>
      <c r="J222">
        <v>1.6596154716189</v>
      </c>
      <c r="R222">
        <v>23.220956316906999</v>
      </c>
      <c r="U222">
        <v>0</v>
      </c>
      <c r="V222">
        <v>-0.29978115992113002</v>
      </c>
      <c r="AC222">
        <v>3.2470224540000001</v>
      </c>
    </row>
    <row r="223" spans="1:29" hidden="1" x14ac:dyDescent="0.3">
      <c r="A223" t="s">
        <v>42</v>
      </c>
      <c r="B223">
        <v>2048</v>
      </c>
      <c r="J223">
        <v>1.644621449792</v>
      </c>
      <c r="R223">
        <v>23.398980619351999</v>
      </c>
      <c r="U223">
        <v>0</v>
      </c>
      <c r="V223">
        <v>-0.31281512433831998</v>
      </c>
      <c r="AC223">
        <v>0</v>
      </c>
    </row>
    <row r="224" spans="1:29" hidden="1" x14ac:dyDescent="0.3">
      <c r="A224" t="s">
        <v>42</v>
      </c>
      <c r="B224">
        <v>2049</v>
      </c>
      <c r="J224">
        <v>1.6219752379040999</v>
      </c>
      <c r="R224">
        <v>23.575775562973</v>
      </c>
      <c r="U224">
        <v>0</v>
      </c>
      <c r="V224">
        <v>-0.32584908875551999</v>
      </c>
      <c r="AC224">
        <v>0</v>
      </c>
    </row>
    <row r="225" spans="1:29" hidden="1" x14ac:dyDescent="0.3">
      <c r="A225" t="s">
        <v>42</v>
      </c>
      <c r="B225">
        <v>2050</v>
      </c>
      <c r="J225">
        <v>1.5914622895243</v>
      </c>
      <c r="R225">
        <v>23.750009033809</v>
      </c>
      <c r="U225">
        <v>0</v>
      </c>
      <c r="V225">
        <v>-0.33888305317271999</v>
      </c>
      <c r="AC225">
        <v>0</v>
      </c>
    </row>
    <row r="226" spans="1:29" hidden="1" x14ac:dyDescent="0.3">
      <c r="A226" t="s">
        <v>42</v>
      </c>
      <c r="B226">
        <v>2051</v>
      </c>
      <c r="J226">
        <v>1.5652052964308001</v>
      </c>
      <c r="R226">
        <v>23.924389305588001</v>
      </c>
      <c r="U226">
        <v>0</v>
      </c>
      <c r="V226">
        <v>-0.35191701758992</v>
      </c>
      <c r="AC226">
        <v>0</v>
      </c>
    </row>
    <row r="227" spans="1:29" hidden="1" x14ac:dyDescent="0.3">
      <c r="A227" t="s">
        <v>42</v>
      </c>
      <c r="B227">
        <v>2052</v>
      </c>
      <c r="J227">
        <v>1.5378679999789</v>
      </c>
      <c r="R227">
        <v>24.08611794238</v>
      </c>
      <c r="U227">
        <v>0</v>
      </c>
      <c r="V227">
        <v>-0.36495098200711001</v>
      </c>
      <c r="AC227">
        <v>0</v>
      </c>
    </row>
    <row r="228" spans="1:29" hidden="1" x14ac:dyDescent="0.3">
      <c r="A228" t="s">
        <v>42</v>
      </c>
      <c r="B228">
        <v>2053</v>
      </c>
      <c r="J228">
        <v>1.5130741637047</v>
      </c>
      <c r="R228">
        <v>24.249167333348002</v>
      </c>
      <c r="U228">
        <v>0</v>
      </c>
      <c r="V228">
        <v>-0.37798494642431002</v>
      </c>
      <c r="AC228">
        <v>0</v>
      </c>
    </row>
    <row r="229" spans="1:29" hidden="1" x14ac:dyDescent="0.3">
      <c r="A229" t="s">
        <v>42</v>
      </c>
      <c r="B229">
        <v>2054</v>
      </c>
      <c r="J229">
        <v>1.5021793402907</v>
      </c>
      <c r="R229">
        <v>24.411318655304001</v>
      </c>
      <c r="U229">
        <v>0</v>
      </c>
      <c r="V229">
        <v>-0.39101891084151003</v>
      </c>
      <c r="AC229">
        <v>0</v>
      </c>
    </row>
    <row r="230" spans="1:29" hidden="1" x14ac:dyDescent="0.3">
      <c r="A230" t="s">
        <v>42</v>
      </c>
      <c r="B230">
        <v>2055</v>
      </c>
      <c r="J230">
        <v>1.4985519706417001</v>
      </c>
      <c r="R230">
        <v>24.557182379977</v>
      </c>
      <c r="U230">
        <v>0</v>
      </c>
      <c r="V230">
        <v>-0.40405287525870998</v>
      </c>
      <c r="AC230">
        <v>0</v>
      </c>
    </row>
    <row r="231" spans="1:29" hidden="1" x14ac:dyDescent="0.3">
      <c r="A231" t="s">
        <v>42</v>
      </c>
      <c r="B231">
        <v>2056</v>
      </c>
      <c r="J231">
        <v>1.5081603383557001</v>
      </c>
      <c r="R231">
        <v>24.679045151366001</v>
      </c>
      <c r="U231">
        <v>0</v>
      </c>
      <c r="V231">
        <v>-0.41708683967589999</v>
      </c>
      <c r="AC231">
        <v>0</v>
      </c>
    </row>
    <row r="232" spans="1:29" hidden="1" x14ac:dyDescent="0.3">
      <c r="A232" t="s">
        <v>42</v>
      </c>
      <c r="B232">
        <v>2057</v>
      </c>
      <c r="J232">
        <v>1.5367764009277001</v>
      </c>
      <c r="R232">
        <v>24.780365158792002</v>
      </c>
      <c r="U232">
        <v>0</v>
      </c>
      <c r="V232">
        <v>-0.4301208040931</v>
      </c>
      <c r="AC232">
        <v>24.841640000000002</v>
      </c>
    </row>
    <row r="233" spans="1:29" hidden="1" x14ac:dyDescent="0.3">
      <c r="A233" t="s">
        <v>42</v>
      </c>
      <c r="B233">
        <v>2058</v>
      </c>
      <c r="J233">
        <v>1.5730054127919999</v>
      </c>
      <c r="R233">
        <v>24.850536931585999</v>
      </c>
      <c r="U233">
        <v>0</v>
      </c>
      <c r="V233">
        <v>-0.4431547685103</v>
      </c>
      <c r="AC233">
        <v>0</v>
      </c>
    </row>
    <row r="234" spans="1:29" hidden="1" x14ac:dyDescent="0.3">
      <c r="A234" t="s">
        <v>42</v>
      </c>
      <c r="B234">
        <v>2059</v>
      </c>
      <c r="J234">
        <v>1.6113443161868</v>
      </c>
      <c r="R234">
        <v>24.891781406448001</v>
      </c>
      <c r="U234">
        <v>0</v>
      </c>
      <c r="V234">
        <v>-0.45618873292750001</v>
      </c>
      <c r="AC234">
        <v>0</v>
      </c>
    </row>
    <row r="235" spans="1:29" hidden="1" x14ac:dyDescent="0.3">
      <c r="A235" t="s">
        <v>42</v>
      </c>
      <c r="B235">
        <v>2060</v>
      </c>
      <c r="J235">
        <v>1.6496509671045001</v>
      </c>
      <c r="R235">
        <v>24.89626947547</v>
      </c>
      <c r="U235">
        <v>0</v>
      </c>
      <c r="V235">
        <v>-0.46922269734469002</v>
      </c>
      <c r="AC235">
        <v>0</v>
      </c>
    </row>
    <row r="236" spans="1:29" hidden="1" x14ac:dyDescent="0.3">
      <c r="A236" t="s">
        <v>42</v>
      </c>
      <c r="B236">
        <v>2061</v>
      </c>
      <c r="J236">
        <v>1.6701689655765</v>
      </c>
      <c r="R236">
        <v>24.873164840415999</v>
      </c>
      <c r="U236">
        <v>0</v>
      </c>
      <c r="V236">
        <v>-0.48225666176189003</v>
      </c>
      <c r="AC236">
        <v>0</v>
      </c>
    </row>
    <row r="237" spans="1:29" hidden="1" x14ac:dyDescent="0.3">
      <c r="A237" t="s">
        <v>42</v>
      </c>
      <c r="B237">
        <v>2062</v>
      </c>
      <c r="J237">
        <v>1.6637895639802001</v>
      </c>
      <c r="R237">
        <v>24.828126988076001</v>
      </c>
      <c r="U237">
        <v>0</v>
      </c>
      <c r="V237">
        <v>-0.49529062617908998</v>
      </c>
      <c r="AC237">
        <v>0</v>
      </c>
    </row>
    <row r="238" spans="1:29" hidden="1" x14ac:dyDescent="0.3">
      <c r="A238" t="s">
        <v>42</v>
      </c>
      <c r="B238">
        <v>2063</v>
      </c>
      <c r="J238">
        <v>1.6403665293773</v>
      </c>
      <c r="R238">
        <v>24.772875454354999</v>
      </c>
      <c r="U238">
        <v>0</v>
      </c>
      <c r="V238">
        <v>-0.50832459059628998</v>
      </c>
      <c r="AC238">
        <v>0</v>
      </c>
    </row>
    <row r="239" spans="1:29" hidden="1" x14ac:dyDescent="0.3">
      <c r="A239" t="s">
        <v>42</v>
      </c>
      <c r="B239">
        <v>2064</v>
      </c>
      <c r="J239">
        <v>1.6067344381887001</v>
      </c>
      <c r="R239">
        <v>24.706917592556</v>
      </c>
      <c r="U239">
        <v>0</v>
      </c>
      <c r="V239">
        <v>-0.52135855501348005</v>
      </c>
      <c r="AC239">
        <v>0</v>
      </c>
    </row>
    <row r="240" spans="1:29" hidden="1" x14ac:dyDescent="0.3">
      <c r="A240" t="s">
        <v>42</v>
      </c>
      <c r="B240">
        <v>2065</v>
      </c>
      <c r="J240">
        <v>1.5629338890669999</v>
      </c>
      <c r="R240">
        <v>24.633927251945</v>
      </c>
      <c r="U240">
        <v>0</v>
      </c>
      <c r="V240">
        <v>-0.53439251943068</v>
      </c>
      <c r="AC240">
        <v>0</v>
      </c>
    </row>
    <row r="241" spans="1:38" hidden="1" x14ac:dyDescent="0.3">
      <c r="A241" t="s">
        <v>42</v>
      </c>
      <c r="B241">
        <v>2066</v>
      </c>
      <c r="J241">
        <v>1.5105910894272001</v>
      </c>
      <c r="R241">
        <v>24.549404709066</v>
      </c>
      <c r="U241">
        <v>0</v>
      </c>
      <c r="V241">
        <v>-0.54742648384787995</v>
      </c>
      <c r="AC241">
        <v>0</v>
      </c>
    </row>
    <row r="242" spans="1:38" hidden="1" x14ac:dyDescent="0.3">
      <c r="A242" t="s">
        <v>42</v>
      </c>
      <c r="B242">
        <v>2067</v>
      </c>
      <c r="J242">
        <v>1.4489953926615999</v>
      </c>
      <c r="R242">
        <v>24.468630259828998</v>
      </c>
      <c r="U242">
        <v>0</v>
      </c>
      <c r="V242">
        <v>-0.56046044826508001</v>
      </c>
      <c r="AC242">
        <v>0</v>
      </c>
    </row>
    <row r="243" spans="1:38" hidden="1" x14ac:dyDescent="0.3">
      <c r="A243" t="s">
        <v>42</v>
      </c>
      <c r="B243">
        <v>2068</v>
      </c>
      <c r="J243">
        <v>1.3793924074841</v>
      </c>
      <c r="R243">
        <v>24.392438045437</v>
      </c>
      <c r="U243">
        <v>0</v>
      </c>
      <c r="V243">
        <v>-0.57349441268226997</v>
      </c>
      <c r="AC243">
        <v>0</v>
      </c>
    </row>
    <row r="244" spans="1:38" hidden="1" x14ac:dyDescent="0.3">
      <c r="A244" t="s">
        <v>42</v>
      </c>
      <c r="B244">
        <v>2069</v>
      </c>
      <c r="J244">
        <v>1.2968504227544</v>
      </c>
      <c r="R244">
        <v>24.328195260554999</v>
      </c>
      <c r="U244">
        <v>0</v>
      </c>
      <c r="V244">
        <v>-0.58652837709947003</v>
      </c>
      <c r="AC244">
        <v>0</v>
      </c>
    </row>
    <row r="245" spans="1:38" hidden="1" x14ac:dyDescent="0.3">
      <c r="A245" t="s">
        <v>42</v>
      </c>
      <c r="B245">
        <v>2070</v>
      </c>
      <c r="J245">
        <v>1.2022256315374</v>
      </c>
      <c r="R245">
        <v>24.284029084215</v>
      </c>
      <c r="U245">
        <v>0</v>
      </c>
      <c r="V245">
        <v>-0.59956234151666998</v>
      </c>
      <c r="AC245">
        <v>0</v>
      </c>
    </row>
    <row r="246" spans="1:38" hidden="1" x14ac:dyDescent="0.3">
      <c r="A246" t="s">
        <v>42</v>
      </c>
      <c r="B246">
        <v>2071</v>
      </c>
      <c r="V246">
        <v>-0.61259630593387004</v>
      </c>
    </row>
    <row r="247" spans="1:38" x14ac:dyDescent="0.3">
      <c r="A247" t="s">
        <v>43</v>
      </c>
      <c r="B247">
        <v>0</v>
      </c>
      <c r="AD247">
        <v>9.0610646189682995E-2</v>
      </c>
      <c r="AE247">
        <v>0.11258883782409999</v>
      </c>
      <c r="AF247">
        <v>0.12441530444826999</v>
      </c>
      <c r="AG247">
        <v>0.99314398305019003</v>
      </c>
      <c r="AH247">
        <v>0</v>
      </c>
      <c r="AI247">
        <v>2.8201126315788998</v>
      </c>
      <c r="AJ247">
        <v>3.4125000000000001</v>
      </c>
      <c r="AK247">
        <v>2.1578473684211001</v>
      </c>
      <c r="AL247">
        <v>0.504</v>
      </c>
    </row>
    <row r="248" spans="1:38" x14ac:dyDescent="0.3">
      <c r="A248" t="s">
        <v>43</v>
      </c>
      <c r="B248">
        <v>2024</v>
      </c>
      <c r="C248">
        <v>2688.9</v>
      </c>
      <c r="D248">
        <v>62.4557</v>
      </c>
      <c r="E248">
        <v>4305.26</v>
      </c>
      <c r="F248">
        <v>2.8600781259332999</v>
      </c>
      <c r="G248">
        <v>3606.9226715479999</v>
      </c>
      <c r="H248">
        <v>-0.23852698106035999</v>
      </c>
      <c r="I248">
        <v>3656.8928157215</v>
      </c>
      <c r="J248">
        <v>0.45046036708562998</v>
      </c>
      <c r="K248">
        <v>3.1060138257563001</v>
      </c>
      <c r="L248">
        <v>2.9323319626384001</v>
      </c>
      <c r="M248">
        <v>-1.7039854000000001</v>
      </c>
      <c r="N248">
        <v>-1.0153000000000001</v>
      </c>
      <c r="O248">
        <v>-2.7588810000000001</v>
      </c>
      <c r="P248">
        <v>-62</v>
      </c>
      <c r="Q248">
        <v>48.457259299999997</v>
      </c>
      <c r="R248">
        <v>24.28104859554</v>
      </c>
      <c r="S248">
        <v>1.0271381489139999</v>
      </c>
      <c r="U248">
        <v>0</v>
      </c>
      <c r="V248">
        <v>0</v>
      </c>
      <c r="W248">
        <v>1.7254640999999999</v>
      </c>
      <c r="X248">
        <v>4.1479999999999997</v>
      </c>
      <c r="Y248">
        <v>2.3205</v>
      </c>
      <c r="Z248">
        <v>1</v>
      </c>
      <c r="AA248">
        <v>1.0823804690000001</v>
      </c>
    </row>
    <row r="249" spans="1:38" x14ac:dyDescent="0.3">
      <c r="A249" t="s">
        <v>43</v>
      </c>
      <c r="B249">
        <v>2025</v>
      </c>
      <c r="C249">
        <v>2812</v>
      </c>
      <c r="D249">
        <v>63.779800000000002</v>
      </c>
      <c r="E249">
        <v>4408.9639999999999</v>
      </c>
      <c r="F249">
        <v>2.4087743829641002</v>
      </c>
      <c r="G249">
        <v>3605.8467945817001</v>
      </c>
      <c r="H249">
        <v>-2.9828112891538999E-2</v>
      </c>
      <c r="I249">
        <v>3666.6688238925999</v>
      </c>
      <c r="J249">
        <v>0.26733100103584001</v>
      </c>
      <c r="K249">
        <v>2.4393190425303999</v>
      </c>
      <c r="L249">
        <v>2.4767093808285998</v>
      </c>
      <c r="M249">
        <v>-1.5819972</v>
      </c>
      <c r="N249">
        <v>-0.746</v>
      </c>
      <c r="O249">
        <v>-2.6797567999999998</v>
      </c>
      <c r="P249">
        <v>5</v>
      </c>
      <c r="Q249">
        <v>49.127104199999998</v>
      </c>
      <c r="R249">
        <v>24.448006982308002</v>
      </c>
      <c r="S249">
        <v>1.0902599432905999</v>
      </c>
      <c r="U249">
        <v>0</v>
      </c>
      <c r="V249">
        <v>6.5496295690535999E-2</v>
      </c>
      <c r="W249">
        <v>1.7999997999999999</v>
      </c>
      <c r="X249">
        <v>3.49</v>
      </c>
      <c r="Y249">
        <v>2.5406</v>
      </c>
      <c r="Z249">
        <v>1</v>
      </c>
      <c r="AA249">
        <v>1.113519535</v>
      </c>
      <c r="AC249">
        <v>282.64903237700003</v>
      </c>
    </row>
    <row r="250" spans="1:38" x14ac:dyDescent="0.3">
      <c r="A250" t="s">
        <v>43</v>
      </c>
      <c r="B250">
        <v>2026</v>
      </c>
      <c r="C250">
        <v>2947.2</v>
      </c>
      <c r="D250">
        <v>64.720200000000006</v>
      </c>
      <c r="E250">
        <v>4553.8130000000001</v>
      </c>
      <c r="F250">
        <v>3.2853296148483002</v>
      </c>
      <c r="G250">
        <v>3645.3580143828999</v>
      </c>
      <c r="H250">
        <v>1.0957542583504001</v>
      </c>
      <c r="I250">
        <v>3679.4237756337002</v>
      </c>
      <c r="J250">
        <v>0.34786211555327001</v>
      </c>
      <c r="K250">
        <v>2.1658511888216001</v>
      </c>
      <c r="L250">
        <v>2.0119566334671002</v>
      </c>
      <c r="M250">
        <v>-1.7477529000000001</v>
      </c>
      <c r="N250">
        <v>-1.2810999999999999</v>
      </c>
      <c r="O250">
        <v>-2.8592833</v>
      </c>
      <c r="P250">
        <v>5</v>
      </c>
      <c r="Q250">
        <v>49.338525599999997</v>
      </c>
      <c r="R250">
        <v>24.526854405813999</v>
      </c>
      <c r="S250">
        <v>1.1069282232977999</v>
      </c>
      <c r="U250">
        <v>0</v>
      </c>
      <c r="V250">
        <v>8.4538504481316001E-2</v>
      </c>
      <c r="W250">
        <v>1.8000176000000001</v>
      </c>
      <c r="Z250">
        <v>1</v>
      </c>
      <c r="AA250">
        <v>1.1346799999999999</v>
      </c>
      <c r="AC250">
        <v>299.83314934399999</v>
      </c>
    </row>
    <row r="251" spans="1:38" x14ac:dyDescent="0.3">
      <c r="A251" t="s">
        <v>43</v>
      </c>
      <c r="B251">
        <v>2027</v>
      </c>
      <c r="G251">
        <v>3673.2788064836</v>
      </c>
      <c r="H251">
        <v>0.76592729686895</v>
      </c>
      <c r="I251">
        <v>3696.0921964787999</v>
      </c>
      <c r="J251">
        <v>0.45301715326800002</v>
      </c>
      <c r="R251">
        <v>24.716092075041001</v>
      </c>
      <c r="S251">
        <v>1.1245844957677</v>
      </c>
      <c r="U251">
        <v>0</v>
      </c>
      <c r="V251">
        <v>0.10456874966621001</v>
      </c>
      <c r="AC251">
        <v>262.68853308500002</v>
      </c>
    </row>
    <row r="252" spans="1:38" x14ac:dyDescent="0.3">
      <c r="A252" t="s">
        <v>43</v>
      </c>
      <c r="B252">
        <v>2028</v>
      </c>
      <c r="G252">
        <v>3705.2245566094002</v>
      </c>
      <c r="H252">
        <v>0.86967942834640999</v>
      </c>
      <c r="I252">
        <v>3716.6948344385</v>
      </c>
      <c r="J252">
        <v>0.55741677600344997</v>
      </c>
      <c r="R252">
        <v>24.834749370592</v>
      </c>
      <c r="S252">
        <v>1.1392315598089</v>
      </c>
      <c r="U252">
        <v>0</v>
      </c>
      <c r="V252">
        <v>0.12159091234207001</v>
      </c>
      <c r="AC252">
        <v>253.46364509200001</v>
      </c>
    </row>
    <row r="253" spans="1:38" x14ac:dyDescent="0.3">
      <c r="A253" t="s">
        <v>43</v>
      </c>
      <c r="B253">
        <v>2029</v>
      </c>
      <c r="G253">
        <v>3741.1496165030999</v>
      </c>
      <c r="H253">
        <v>0.96957847884190995</v>
      </c>
      <c r="I253">
        <v>3741.1496165030999</v>
      </c>
      <c r="J253">
        <v>0.65797121243258005</v>
      </c>
      <c r="R253">
        <v>24.905530496516999</v>
      </c>
      <c r="S253">
        <v>1.1536711015498999</v>
      </c>
      <c r="U253">
        <v>0</v>
      </c>
      <c r="V253">
        <v>0.13840419054031</v>
      </c>
      <c r="AC253">
        <v>218.34698954800001</v>
      </c>
    </row>
    <row r="254" spans="1:38" x14ac:dyDescent="0.3">
      <c r="A254" t="s">
        <v>43</v>
      </c>
      <c r="B254">
        <v>2030</v>
      </c>
      <c r="I254">
        <f>I253*(1+J254/100)</f>
        <v>3768.3374521125602</v>
      </c>
      <c r="J254">
        <v>0.72672409276356997</v>
      </c>
      <c r="R254">
        <v>25.035293428517001</v>
      </c>
      <c r="S254">
        <v>1.1765009730192</v>
      </c>
      <c r="U254">
        <v>0</v>
      </c>
      <c r="V254">
        <v>0.16360838711261999</v>
      </c>
      <c r="AC254">
        <v>188.69251281000001</v>
      </c>
    </row>
    <row r="255" spans="1:38" x14ac:dyDescent="0.3">
      <c r="A255" t="s">
        <v>43</v>
      </c>
      <c r="B255">
        <v>2031</v>
      </c>
      <c r="I255">
        <f t="shared" ref="I255:I265" si="0">I254*(1+J255/100)</f>
        <v>3798.3137088126132</v>
      </c>
      <c r="J255">
        <v>0.79547697309455001</v>
      </c>
      <c r="R255">
        <v>25.199802200556999</v>
      </c>
      <c r="S255">
        <v>1.1948846604046</v>
      </c>
      <c r="U255">
        <v>0</v>
      </c>
      <c r="V255">
        <v>0.18436664342879999</v>
      </c>
      <c r="AC255">
        <v>120.67075601800001</v>
      </c>
    </row>
    <row r="256" spans="1:38" x14ac:dyDescent="0.3">
      <c r="A256" t="s">
        <v>43</v>
      </c>
      <c r="B256">
        <v>2032</v>
      </c>
      <c r="I256">
        <f t="shared" si="0"/>
        <v>3831.1398698109265</v>
      </c>
      <c r="J256">
        <v>0.86422985342553005</v>
      </c>
      <c r="R256">
        <v>25.354418565334999</v>
      </c>
      <c r="S256">
        <v>1.2137979466754001</v>
      </c>
      <c r="U256">
        <v>0</v>
      </c>
      <c r="V256">
        <v>0.20565390586853</v>
      </c>
      <c r="AC256">
        <v>117.93245829599999</v>
      </c>
    </row>
    <row r="257" spans="1:29" x14ac:dyDescent="0.3">
      <c r="A257" t="s">
        <v>43</v>
      </c>
      <c r="B257">
        <v>2033</v>
      </c>
      <c r="I257">
        <f t="shared" si="0"/>
        <v>3866.8837433023236</v>
      </c>
      <c r="J257">
        <v>0.93298273375650997</v>
      </c>
      <c r="R257">
        <v>25.478586571474999</v>
      </c>
      <c r="S257">
        <v>1.2294789299936999</v>
      </c>
      <c r="U257">
        <v>0</v>
      </c>
      <c r="V257">
        <v>0.22370909154415</v>
      </c>
      <c r="AC257">
        <v>152.955511903</v>
      </c>
    </row>
    <row r="258" spans="1:29" x14ac:dyDescent="0.3">
      <c r="A258" t="s">
        <v>43</v>
      </c>
      <c r="B258">
        <v>2034</v>
      </c>
      <c r="I258">
        <f t="shared" si="0"/>
        <v>3905.6196949143427</v>
      </c>
      <c r="J258">
        <v>1.0017356140875</v>
      </c>
      <c r="R258">
        <v>25.592942589223998</v>
      </c>
      <c r="S258">
        <v>1.2441911005873001</v>
      </c>
      <c r="U258">
        <v>0</v>
      </c>
      <c r="V258">
        <v>0.24079532921314001</v>
      </c>
      <c r="AC258">
        <v>109.290604405</v>
      </c>
    </row>
    <row r="259" spans="1:29" x14ac:dyDescent="0.3">
      <c r="A259" t="s">
        <v>43</v>
      </c>
      <c r="B259">
        <v>2035</v>
      </c>
      <c r="I259">
        <f t="shared" si="0"/>
        <v>3947.4289043841441</v>
      </c>
      <c r="J259">
        <v>1.0704884944185</v>
      </c>
      <c r="R259">
        <v>25.678442061954001</v>
      </c>
      <c r="S259">
        <v>1.3054216869763</v>
      </c>
      <c r="U259">
        <v>0</v>
      </c>
      <c r="V259">
        <v>0.26262975917621001</v>
      </c>
      <c r="AC259">
        <v>48.896772165999998</v>
      </c>
    </row>
    <row r="260" spans="1:29" x14ac:dyDescent="0.3">
      <c r="A260" t="s">
        <v>43</v>
      </c>
      <c r="B260">
        <v>2036</v>
      </c>
      <c r="I260">
        <f t="shared" si="0"/>
        <v>3992.399647701709</v>
      </c>
      <c r="J260">
        <v>1.1392413747495</v>
      </c>
      <c r="R260">
        <v>25.730923651695001</v>
      </c>
      <c r="S260">
        <v>1.3120008809660999</v>
      </c>
      <c r="U260">
        <v>0</v>
      </c>
      <c r="V260">
        <v>0.28446418913928001</v>
      </c>
      <c r="AC260">
        <v>40.021064305000003</v>
      </c>
    </row>
    <row r="261" spans="1:29" x14ac:dyDescent="0.3">
      <c r="A261" t="s">
        <v>43</v>
      </c>
      <c r="B261">
        <v>2037</v>
      </c>
      <c r="I261">
        <f t="shared" si="0"/>
        <v>4043.7252174106461</v>
      </c>
      <c r="J261">
        <v>1.2855819616777</v>
      </c>
      <c r="R261">
        <v>25.771229957401999</v>
      </c>
      <c r="S261">
        <v>1.3196490337249001</v>
      </c>
      <c r="U261">
        <v>0</v>
      </c>
      <c r="V261">
        <v>0.30629861910235001</v>
      </c>
      <c r="AC261">
        <v>41.686185721000001</v>
      </c>
    </row>
    <row r="262" spans="1:29" x14ac:dyDescent="0.3">
      <c r="A262" t="s">
        <v>43</v>
      </c>
      <c r="B262">
        <v>2038</v>
      </c>
      <c r="I262">
        <f t="shared" si="0"/>
        <v>4099.6749580620308</v>
      </c>
      <c r="J262">
        <v>1.3836187585271</v>
      </c>
      <c r="R262">
        <v>25.787982408316001</v>
      </c>
      <c r="S262">
        <v>1.3273075563611001</v>
      </c>
      <c r="U262">
        <v>0</v>
      </c>
      <c r="V262">
        <v>0.32813304906542001</v>
      </c>
      <c r="AC262">
        <v>48.302433614999998</v>
      </c>
    </row>
    <row r="263" spans="1:29" x14ac:dyDescent="0.3">
      <c r="A263" t="s">
        <v>43</v>
      </c>
      <c r="B263">
        <v>2039</v>
      </c>
      <c r="I263">
        <f t="shared" si="0"/>
        <v>4160.0968670162792</v>
      </c>
      <c r="J263">
        <v>1.4738219388692999</v>
      </c>
      <c r="R263">
        <v>25.796362820734</v>
      </c>
      <c r="S263">
        <v>1.3304124351037001</v>
      </c>
      <c r="U263">
        <v>0</v>
      </c>
      <c r="V263">
        <v>0.34996747902848002</v>
      </c>
      <c r="AC263">
        <v>24.361198175999998</v>
      </c>
    </row>
    <row r="264" spans="1:29" x14ac:dyDescent="0.3">
      <c r="A264" t="s">
        <v>43</v>
      </c>
      <c r="B264">
        <v>2040</v>
      </c>
      <c r="I264">
        <f t="shared" si="0"/>
        <v>4224.7174336728003</v>
      </c>
      <c r="J264">
        <v>1.5533428360496</v>
      </c>
      <c r="R264">
        <v>25.798078198051002</v>
      </c>
      <c r="S264">
        <v>1.3827819534726999</v>
      </c>
      <c r="U264">
        <v>0</v>
      </c>
      <c r="V264">
        <v>0.37180190899155002</v>
      </c>
      <c r="AC264">
        <v>23.926168651000001</v>
      </c>
    </row>
    <row r="265" spans="1:29" x14ac:dyDescent="0.3">
      <c r="A265" t="s">
        <v>43</v>
      </c>
      <c r="B265">
        <v>2041</v>
      </c>
      <c r="I265">
        <f t="shared" si="0"/>
        <v>4290.7489842046798</v>
      </c>
      <c r="J265">
        <v>1.5629814672475</v>
      </c>
      <c r="R265">
        <v>25.808530834835</v>
      </c>
      <c r="S265">
        <v>1.3789087750260001</v>
      </c>
      <c r="U265">
        <v>0</v>
      </c>
      <c r="V265">
        <v>0.39363633895462002</v>
      </c>
      <c r="AC265">
        <v>10.896185257000001</v>
      </c>
    </row>
    <row r="266" spans="1:29" x14ac:dyDescent="0.3">
      <c r="A266" t="s">
        <v>43</v>
      </c>
      <c r="B266">
        <v>2042</v>
      </c>
      <c r="J266">
        <v>1.5650704039148</v>
      </c>
      <c r="R266">
        <v>25.810019403826001</v>
      </c>
      <c r="S266">
        <v>1.3740200697244001</v>
      </c>
      <c r="U266">
        <v>0</v>
      </c>
      <c r="V266">
        <v>0.41547076891769003</v>
      </c>
      <c r="AC266">
        <v>23.131692486999999</v>
      </c>
    </row>
    <row r="267" spans="1:29" x14ac:dyDescent="0.3">
      <c r="A267" t="s">
        <v>43</v>
      </c>
      <c r="B267">
        <v>2043</v>
      </c>
      <c r="J267">
        <v>1.5271223344007001</v>
      </c>
      <c r="R267">
        <v>25.818738986117999</v>
      </c>
      <c r="S267">
        <v>1.3699065784222999</v>
      </c>
      <c r="U267">
        <v>0</v>
      </c>
      <c r="V267">
        <v>0.43730519888076003</v>
      </c>
      <c r="AC267">
        <v>2.1796715849999999</v>
      </c>
    </row>
    <row r="268" spans="1:29" x14ac:dyDescent="0.3">
      <c r="A268" t="s">
        <v>43</v>
      </c>
      <c r="B268">
        <v>2044</v>
      </c>
      <c r="J268">
        <v>1.4887480020059001</v>
      </c>
      <c r="R268">
        <v>25.826960981789</v>
      </c>
      <c r="S268">
        <v>1.3665424432251001</v>
      </c>
      <c r="U268">
        <v>0</v>
      </c>
      <c r="V268">
        <v>0.45913962884383003</v>
      </c>
      <c r="AC268">
        <v>33.182779504999999</v>
      </c>
    </row>
    <row r="269" spans="1:29" x14ac:dyDescent="0.3">
      <c r="A269" t="s">
        <v>43</v>
      </c>
      <c r="B269">
        <v>2045</v>
      </c>
      <c r="J269">
        <v>1.4528369389547</v>
      </c>
      <c r="R269">
        <v>25.830974303118001</v>
      </c>
      <c r="S269">
        <v>1.4094887595682</v>
      </c>
      <c r="U269">
        <v>0</v>
      </c>
      <c r="V269">
        <v>0.48097405880689997</v>
      </c>
      <c r="AC269">
        <v>0.10893256</v>
      </c>
    </row>
    <row r="270" spans="1:29" x14ac:dyDescent="0.3">
      <c r="A270" t="s">
        <v>43</v>
      </c>
      <c r="B270">
        <v>2046</v>
      </c>
      <c r="J270">
        <v>1.4123739178435999</v>
      </c>
      <c r="R270">
        <v>25.842984125569998</v>
      </c>
      <c r="S270">
        <v>1.407094852985</v>
      </c>
      <c r="U270">
        <v>0</v>
      </c>
      <c r="V270">
        <v>0.50280848876995998</v>
      </c>
      <c r="AC270">
        <v>47.882205749000001</v>
      </c>
    </row>
    <row r="271" spans="1:29" x14ac:dyDescent="0.3">
      <c r="A271" t="s">
        <v>43</v>
      </c>
      <c r="B271">
        <v>2047</v>
      </c>
      <c r="J271">
        <v>1.3709995917101001</v>
      </c>
      <c r="R271">
        <v>25.848903918141001</v>
      </c>
      <c r="S271">
        <v>1.4051044842631999</v>
      </c>
      <c r="U271">
        <v>0</v>
      </c>
      <c r="V271">
        <v>0.52464291873303004</v>
      </c>
      <c r="AC271">
        <v>0.3175</v>
      </c>
    </row>
    <row r="272" spans="1:29" x14ac:dyDescent="0.3">
      <c r="A272" t="s">
        <v>43</v>
      </c>
      <c r="B272">
        <v>2048</v>
      </c>
      <c r="J272">
        <v>1.3262032289623999</v>
      </c>
      <c r="R272">
        <v>25.849418199525001</v>
      </c>
      <c r="S272">
        <v>1.4034695957198999</v>
      </c>
      <c r="U272">
        <v>0</v>
      </c>
      <c r="V272">
        <v>0.54647734869609998</v>
      </c>
      <c r="AC272">
        <v>38.131916001999997</v>
      </c>
    </row>
    <row r="273" spans="1:29" x14ac:dyDescent="0.3">
      <c r="A273" t="s">
        <v>43</v>
      </c>
      <c r="B273">
        <v>2049</v>
      </c>
      <c r="J273">
        <v>1.2880049464821</v>
      </c>
      <c r="R273">
        <v>25.851605353494001</v>
      </c>
      <c r="S273">
        <v>1.4020732151551001</v>
      </c>
      <c r="U273">
        <v>0</v>
      </c>
      <c r="V273">
        <v>0.56831177865917004</v>
      </c>
      <c r="AC273">
        <v>0.165858001</v>
      </c>
    </row>
    <row r="274" spans="1:29" x14ac:dyDescent="0.3">
      <c r="A274" t="s">
        <v>43</v>
      </c>
      <c r="B274">
        <v>2050</v>
      </c>
      <c r="J274">
        <v>1.2503186128071</v>
      </c>
      <c r="R274">
        <v>25.856315252557</v>
      </c>
      <c r="S274">
        <v>1.4012002427243999</v>
      </c>
      <c r="U274">
        <v>0</v>
      </c>
      <c r="V274">
        <v>0.59014620862223999</v>
      </c>
      <c r="AC274">
        <v>59.426000000000002</v>
      </c>
    </row>
    <row r="275" spans="1:29" x14ac:dyDescent="0.3">
      <c r="A275" t="s">
        <v>43</v>
      </c>
      <c r="B275">
        <v>2051</v>
      </c>
      <c r="J275">
        <v>1.211313060061</v>
      </c>
      <c r="R275">
        <v>25.866894944523001</v>
      </c>
      <c r="S275">
        <v>1.4012167452166999</v>
      </c>
      <c r="U275">
        <v>0</v>
      </c>
      <c r="V275">
        <v>0.61198063858531004</v>
      </c>
      <c r="AC275">
        <v>1.657</v>
      </c>
    </row>
    <row r="276" spans="1:29" x14ac:dyDescent="0.3">
      <c r="A276" t="s">
        <v>43</v>
      </c>
      <c r="B276">
        <v>2052</v>
      </c>
      <c r="J276">
        <v>1.177585611262</v>
      </c>
      <c r="R276">
        <v>25.884339226872001</v>
      </c>
      <c r="S276">
        <v>1.4022138239327</v>
      </c>
      <c r="U276">
        <v>0</v>
      </c>
      <c r="V276">
        <v>0.63381506854837999</v>
      </c>
      <c r="AC276">
        <v>33.572000000000003</v>
      </c>
    </row>
    <row r="277" spans="1:29" x14ac:dyDescent="0.3">
      <c r="A277" t="s">
        <v>43</v>
      </c>
      <c r="B277">
        <v>2053</v>
      </c>
      <c r="J277">
        <v>1.1472051919238</v>
      </c>
      <c r="R277">
        <v>25.907403022112</v>
      </c>
      <c r="S277">
        <v>1.4042409440435999</v>
      </c>
      <c r="U277">
        <v>0</v>
      </c>
      <c r="V277">
        <v>0.65564949851144005</v>
      </c>
      <c r="AC277">
        <v>64.072000000000003</v>
      </c>
    </row>
    <row r="278" spans="1:29" x14ac:dyDescent="0.3">
      <c r="A278" t="s">
        <v>43</v>
      </c>
      <c r="B278">
        <v>2054</v>
      </c>
      <c r="J278">
        <v>1.1239431675944</v>
      </c>
      <c r="R278">
        <v>25.935650168256998</v>
      </c>
      <c r="S278">
        <v>1.4070802668053</v>
      </c>
      <c r="U278">
        <v>0</v>
      </c>
      <c r="V278">
        <v>0.67748392847451</v>
      </c>
      <c r="AC278">
        <v>40.072000000000003</v>
      </c>
    </row>
    <row r="279" spans="1:29" x14ac:dyDescent="0.3">
      <c r="A279" t="s">
        <v>43</v>
      </c>
      <c r="B279">
        <v>2055</v>
      </c>
      <c r="J279">
        <v>1.118846675093</v>
      </c>
      <c r="R279">
        <v>25.963847010841</v>
      </c>
      <c r="S279">
        <v>1.4101386336217001</v>
      </c>
      <c r="U279">
        <v>0</v>
      </c>
      <c r="V279">
        <v>0.69931835843757995</v>
      </c>
      <c r="AC279">
        <v>0</v>
      </c>
    </row>
    <row r="280" spans="1:29" x14ac:dyDescent="0.3">
      <c r="A280" t="s">
        <v>43</v>
      </c>
      <c r="B280">
        <v>2056</v>
      </c>
      <c r="J280">
        <v>1.1162323942265999</v>
      </c>
      <c r="R280">
        <v>25.988766735527999</v>
      </c>
      <c r="S280">
        <v>1.4132458055112</v>
      </c>
      <c r="U280">
        <v>0</v>
      </c>
      <c r="V280">
        <v>0.72115278840065</v>
      </c>
      <c r="AC280">
        <v>6</v>
      </c>
    </row>
    <row r="281" spans="1:29" x14ac:dyDescent="0.3">
      <c r="A281" t="s">
        <v>43</v>
      </c>
      <c r="B281">
        <v>2057</v>
      </c>
      <c r="J281">
        <v>1.1163926941975999</v>
      </c>
      <c r="R281">
        <v>25.987294265603001</v>
      </c>
      <c r="S281">
        <v>1.4145710638014</v>
      </c>
      <c r="U281">
        <v>0</v>
      </c>
      <c r="V281">
        <v>0.74298721836371995</v>
      </c>
      <c r="AC281">
        <v>0</v>
      </c>
    </row>
    <row r="282" spans="1:29" x14ac:dyDescent="0.3">
      <c r="A282" t="s">
        <v>43</v>
      </c>
      <c r="B282">
        <v>2058</v>
      </c>
      <c r="J282">
        <v>1.1267464499258999</v>
      </c>
      <c r="R282">
        <v>25.984732275129002</v>
      </c>
      <c r="S282">
        <v>1.4159990168504</v>
      </c>
      <c r="U282">
        <v>0</v>
      </c>
      <c r="V282">
        <v>0.76482164832679</v>
      </c>
      <c r="AC282">
        <v>0</v>
      </c>
    </row>
    <row r="283" spans="1:29" x14ac:dyDescent="0.3">
      <c r="A283" t="s">
        <v>43</v>
      </c>
      <c r="B283">
        <v>2059</v>
      </c>
      <c r="J283">
        <v>1.1290045277720999</v>
      </c>
      <c r="R283">
        <v>25.99427930673</v>
      </c>
      <c r="S283">
        <v>1.4184504178174999</v>
      </c>
      <c r="U283">
        <v>0</v>
      </c>
      <c r="V283">
        <v>0.78665607828984996</v>
      </c>
      <c r="AC283">
        <v>0</v>
      </c>
    </row>
    <row r="284" spans="1:29" x14ac:dyDescent="0.3">
      <c r="A284" t="s">
        <v>43</v>
      </c>
      <c r="B284">
        <v>2060</v>
      </c>
      <c r="J284">
        <v>1.1196042580101</v>
      </c>
      <c r="R284">
        <v>26.007432382324001</v>
      </c>
      <c r="S284">
        <v>1.4214374255566999</v>
      </c>
      <c r="U284">
        <v>0</v>
      </c>
      <c r="V284">
        <v>0.80849050825292001</v>
      </c>
      <c r="AC284">
        <v>0</v>
      </c>
    </row>
    <row r="285" spans="1:29" x14ac:dyDescent="0.3">
      <c r="A285" t="s">
        <v>43</v>
      </c>
      <c r="B285">
        <v>2061</v>
      </c>
      <c r="J285">
        <v>1.1167420949625</v>
      </c>
      <c r="R285">
        <v>26.039165662816998</v>
      </c>
      <c r="S285">
        <v>1.4490400125816001</v>
      </c>
      <c r="U285">
        <v>0</v>
      </c>
      <c r="V285">
        <v>0.83032493821598996</v>
      </c>
      <c r="AC285">
        <v>0</v>
      </c>
    </row>
    <row r="286" spans="1:29" x14ac:dyDescent="0.3">
      <c r="A286" t="s">
        <v>43</v>
      </c>
      <c r="B286">
        <v>2062</v>
      </c>
      <c r="J286">
        <v>1.1180691815448001</v>
      </c>
      <c r="R286">
        <v>26.080035897923999</v>
      </c>
      <c r="S286">
        <v>1.4536999584789001</v>
      </c>
      <c r="U286">
        <v>0</v>
      </c>
      <c r="V286">
        <v>0.85215936817906002</v>
      </c>
      <c r="AC286">
        <v>0</v>
      </c>
    </row>
    <row r="287" spans="1:29" x14ac:dyDescent="0.3">
      <c r="A287" t="s">
        <v>43</v>
      </c>
      <c r="B287">
        <v>2063</v>
      </c>
      <c r="J287">
        <v>1.1188311733036</v>
      </c>
      <c r="R287">
        <v>26.117623306354002</v>
      </c>
      <c r="S287">
        <v>1.4578451455714001</v>
      </c>
      <c r="U287">
        <v>0</v>
      </c>
      <c r="V287">
        <v>0.87399379814212996</v>
      </c>
      <c r="AC287">
        <v>0</v>
      </c>
    </row>
    <row r="288" spans="1:29" x14ac:dyDescent="0.3">
      <c r="A288" t="s">
        <v>43</v>
      </c>
      <c r="B288">
        <v>2064</v>
      </c>
      <c r="J288">
        <v>1.1286363177957</v>
      </c>
      <c r="R288">
        <v>26.162008620285999</v>
      </c>
      <c r="S288">
        <v>1.4618630593688</v>
      </c>
      <c r="U288">
        <v>0</v>
      </c>
      <c r="V288">
        <v>0.89582822810520002</v>
      </c>
      <c r="AC288">
        <v>0</v>
      </c>
    </row>
    <row r="289" spans="1:38" x14ac:dyDescent="0.3">
      <c r="A289" t="s">
        <v>43</v>
      </c>
      <c r="B289">
        <v>2065</v>
      </c>
      <c r="J289">
        <v>1.1506062082357</v>
      </c>
      <c r="R289">
        <v>26.196022689709</v>
      </c>
      <c r="S289">
        <v>1.4647359086823</v>
      </c>
      <c r="U289">
        <v>0</v>
      </c>
      <c r="V289">
        <v>0.91766265806826997</v>
      </c>
      <c r="AC289">
        <v>0</v>
      </c>
    </row>
    <row r="290" spans="1:38" x14ac:dyDescent="0.3">
      <c r="A290" t="s">
        <v>43</v>
      </c>
      <c r="B290">
        <v>2066</v>
      </c>
      <c r="J290">
        <v>1.1726298337211001</v>
      </c>
      <c r="R290">
        <v>26.231548460144001</v>
      </c>
      <c r="S290">
        <v>1.467093438322</v>
      </c>
      <c r="U290">
        <v>0</v>
      </c>
      <c r="V290">
        <v>0.93949708803133003</v>
      </c>
      <c r="AC290">
        <v>0</v>
      </c>
    </row>
    <row r="291" spans="1:38" x14ac:dyDescent="0.3">
      <c r="A291" t="s">
        <v>43</v>
      </c>
      <c r="B291">
        <v>2067</v>
      </c>
      <c r="J291">
        <v>1.1860942082178001</v>
      </c>
      <c r="R291">
        <v>26.273098785403</v>
      </c>
      <c r="S291">
        <v>1.4702658936316</v>
      </c>
      <c r="U291">
        <v>0</v>
      </c>
      <c r="V291">
        <v>0.96133151799439998</v>
      </c>
      <c r="AC291">
        <v>0</v>
      </c>
    </row>
    <row r="292" spans="1:38" x14ac:dyDescent="0.3">
      <c r="A292" t="s">
        <v>43</v>
      </c>
      <c r="B292">
        <v>2068</v>
      </c>
      <c r="J292">
        <v>1.1999382078573999</v>
      </c>
      <c r="R292">
        <v>26.308210356467001</v>
      </c>
      <c r="S292">
        <v>1.4723687737402</v>
      </c>
      <c r="U292">
        <v>0</v>
      </c>
      <c r="V292">
        <v>0.98316594795747003</v>
      </c>
      <c r="AC292">
        <v>0</v>
      </c>
    </row>
    <row r="293" spans="1:38" x14ac:dyDescent="0.3">
      <c r="A293" t="s">
        <v>43</v>
      </c>
      <c r="B293">
        <v>2069</v>
      </c>
      <c r="J293">
        <v>1.2105254132565</v>
      </c>
      <c r="R293">
        <v>26.337444354889001</v>
      </c>
      <c r="S293">
        <v>1.474208086685</v>
      </c>
      <c r="U293">
        <v>0</v>
      </c>
      <c r="V293">
        <v>1.0050003779204999</v>
      </c>
      <c r="AC293">
        <v>0</v>
      </c>
    </row>
    <row r="294" spans="1:38" x14ac:dyDescent="0.3">
      <c r="A294" t="s">
        <v>43</v>
      </c>
      <c r="B294">
        <v>2070</v>
      </c>
      <c r="J294">
        <v>1.2114713444944001</v>
      </c>
      <c r="R294">
        <v>26.368193446787998</v>
      </c>
      <c r="S294">
        <v>1.4756667021559</v>
      </c>
      <c r="U294">
        <v>0</v>
      </c>
      <c r="V294">
        <v>1.0268348078836</v>
      </c>
      <c r="AC294">
        <v>0</v>
      </c>
    </row>
    <row r="295" spans="1:38" x14ac:dyDescent="0.3">
      <c r="A295" t="s">
        <v>43</v>
      </c>
      <c r="B295">
        <v>2071</v>
      </c>
      <c r="V295">
        <v>1.0486692378467</v>
      </c>
    </row>
    <row r="296" spans="1:38" hidden="1" x14ac:dyDescent="0.3">
      <c r="A296" t="s">
        <v>44</v>
      </c>
      <c r="B296">
        <v>0</v>
      </c>
      <c r="AD296">
        <v>1.1026314607392E-2</v>
      </c>
      <c r="AE296">
        <v>0.11030804589885999</v>
      </c>
      <c r="AF296">
        <v>0.11030804589885999</v>
      </c>
      <c r="AG296">
        <v>0.81384863608182001</v>
      </c>
      <c r="AH296">
        <v>9.8856989643125004E-2</v>
      </c>
      <c r="AI296">
        <v>2.6065226315788999</v>
      </c>
      <c r="AJ296">
        <v>3.0174057894736999</v>
      </c>
      <c r="AK296">
        <v>2.1578473684211001</v>
      </c>
      <c r="AL296">
        <v>0.58899999999999997</v>
      </c>
    </row>
    <row r="297" spans="1:38" hidden="1" x14ac:dyDescent="0.3">
      <c r="A297" t="s">
        <v>44</v>
      </c>
      <c r="B297">
        <v>2024</v>
      </c>
      <c r="C297">
        <v>920.6</v>
      </c>
      <c r="D297">
        <v>31.0916</v>
      </c>
      <c r="E297">
        <v>2960.886</v>
      </c>
      <c r="F297">
        <v>5.5671430741223</v>
      </c>
      <c r="G297">
        <v>2695.7055757100002</v>
      </c>
      <c r="H297">
        <v>3.6761974109636002</v>
      </c>
      <c r="I297">
        <v>2717.8134191928002</v>
      </c>
      <c r="J297">
        <v>2.5405088762029</v>
      </c>
      <c r="K297">
        <v>1.8238817679574999</v>
      </c>
      <c r="L297">
        <v>2.9323319626384001</v>
      </c>
      <c r="M297">
        <v>5.2316096999999999</v>
      </c>
      <c r="N297">
        <v>6.3288000000000002</v>
      </c>
      <c r="O297">
        <v>4.4996328999999999</v>
      </c>
      <c r="P297">
        <v>111.7</v>
      </c>
      <c r="Q297">
        <v>45.7301632</v>
      </c>
      <c r="R297">
        <v>24.522827746731998</v>
      </c>
      <c r="S297">
        <v>2.3114370791324998</v>
      </c>
      <c r="U297">
        <v>0</v>
      </c>
      <c r="V297">
        <v>0</v>
      </c>
      <c r="W297">
        <v>2.3005640999999999</v>
      </c>
      <c r="X297">
        <v>3.391</v>
      </c>
      <c r="Y297">
        <v>2.3030833333333001</v>
      </c>
      <c r="Z297">
        <v>0.13406778037315001</v>
      </c>
      <c r="AA297">
        <v>0.14511234699808001</v>
      </c>
    </row>
    <row r="298" spans="1:38" hidden="1" x14ac:dyDescent="0.3">
      <c r="A298" t="s">
        <v>44</v>
      </c>
      <c r="B298">
        <v>2025</v>
      </c>
      <c r="C298">
        <v>926.6</v>
      </c>
      <c r="D298">
        <v>29.706299999999999</v>
      </c>
      <c r="E298">
        <v>3119.0929999999998</v>
      </c>
      <c r="F298">
        <v>5.3432317218562</v>
      </c>
      <c r="G298">
        <v>2791.7428077056002</v>
      </c>
      <c r="H298">
        <v>3.5626009331633002</v>
      </c>
      <c r="I298">
        <v>2780.8869513807999</v>
      </c>
      <c r="J298">
        <v>2.3207454839467001</v>
      </c>
      <c r="K298">
        <v>1.7193836475269999</v>
      </c>
      <c r="L298">
        <v>2.4767093808285998</v>
      </c>
      <c r="M298">
        <v>2.2308359000000002</v>
      </c>
      <c r="N298">
        <v>2.0009000000000001</v>
      </c>
      <c r="O298">
        <v>1.5081926000000001</v>
      </c>
      <c r="P298">
        <v>53</v>
      </c>
      <c r="Q298">
        <v>47.117672900000002</v>
      </c>
      <c r="R298">
        <v>24.665345964277002</v>
      </c>
      <c r="S298">
        <v>2.3386012549591002</v>
      </c>
      <c r="U298">
        <v>0</v>
      </c>
      <c r="V298">
        <v>5.8578655123711E-2</v>
      </c>
      <c r="W298">
        <v>2.4484328</v>
      </c>
      <c r="X298">
        <v>3.8330000000000002</v>
      </c>
      <c r="Y298">
        <v>2.2915999999999999</v>
      </c>
      <c r="Z298">
        <v>0.13396666402415999</v>
      </c>
      <c r="AA298">
        <v>0.14917449742968</v>
      </c>
      <c r="AC298">
        <v>76.382119771999996</v>
      </c>
    </row>
    <row r="299" spans="1:38" hidden="1" x14ac:dyDescent="0.3">
      <c r="A299" t="s">
        <v>44</v>
      </c>
      <c r="B299">
        <v>2026</v>
      </c>
      <c r="C299">
        <v>951.5</v>
      </c>
      <c r="D299">
        <v>29.369</v>
      </c>
      <c r="E299">
        <v>3239.7759999999998</v>
      </c>
      <c r="F299">
        <v>3.8691696592567002</v>
      </c>
      <c r="G299">
        <v>2846.8235443261001</v>
      </c>
      <c r="H299">
        <v>1.9729874997256001</v>
      </c>
      <c r="I299">
        <v>2838.0289582220998</v>
      </c>
      <c r="J299">
        <v>2.0548122897576002</v>
      </c>
      <c r="K299">
        <v>1.8595019197577001</v>
      </c>
      <c r="L299">
        <v>2.0119566334671002</v>
      </c>
      <c r="M299">
        <v>1.2904462000000001</v>
      </c>
      <c r="N299">
        <v>1.1079000000000001</v>
      </c>
      <c r="O299">
        <v>0.58080719999999997</v>
      </c>
      <c r="P299">
        <v>43.7</v>
      </c>
      <c r="Q299">
        <v>47.726409500000003</v>
      </c>
      <c r="R299">
        <v>24.961675005408999</v>
      </c>
      <c r="S299">
        <v>2.3903452702546999</v>
      </c>
      <c r="U299">
        <v>0</v>
      </c>
      <c r="V299">
        <v>0.13759686052799</v>
      </c>
      <c r="W299">
        <v>2.4812763000000002</v>
      </c>
      <c r="Z299">
        <v>0.13393819823656999</v>
      </c>
      <c r="AA299">
        <v>0.15197699477507001</v>
      </c>
      <c r="AC299">
        <v>45.901201143999998</v>
      </c>
    </row>
    <row r="300" spans="1:38" hidden="1" x14ac:dyDescent="0.3">
      <c r="A300" t="s">
        <v>44</v>
      </c>
      <c r="B300">
        <v>2027</v>
      </c>
      <c r="G300">
        <v>2888.5957167907</v>
      </c>
      <c r="H300">
        <v>1.4673256636466001</v>
      </c>
      <c r="I300">
        <v>2882.6404968288998</v>
      </c>
      <c r="J300">
        <v>1.5719197817766</v>
      </c>
      <c r="R300">
        <v>25.264296535397001</v>
      </c>
      <c r="S300">
        <v>2.4145866377048</v>
      </c>
      <c r="U300">
        <v>0</v>
      </c>
      <c r="V300">
        <v>0.18710853159428001</v>
      </c>
      <c r="AC300">
        <v>56.571011409999997</v>
      </c>
    </row>
    <row r="301" spans="1:38" hidden="1" x14ac:dyDescent="0.3">
      <c r="A301" t="s">
        <v>44</v>
      </c>
      <c r="B301">
        <v>2028</v>
      </c>
      <c r="G301">
        <v>2918.9005671962</v>
      </c>
      <c r="H301">
        <v>1.0491205200264</v>
      </c>
      <c r="I301">
        <v>2915.8886137289001</v>
      </c>
      <c r="J301">
        <v>1.1533910293887</v>
      </c>
      <c r="R301">
        <v>25.504899978739999</v>
      </c>
      <c r="S301">
        <v>2.4429583908192001</v>
      </c>
      <c r="U301">
        <v>0</v>
      </c>
      <c r="V301">
        <v>0.23728293180466001</v>
      </c>
      <c r="AC301">
        <v>5.4253393699999997</v>
      </c>
    </row>
    <row r="302" spans="1:38" hidden="1" x14ac:dyDescent="0.3">
      <c r="A302" t="s">
        <v>44</v>
      </c>
      <c r="B302">
        <v>2029</v>
      </c>
      <c r="G302">
        <v>2944.5831256148999</v>
      </c>
      <c r="H302">
        <v>0.87987095920185998</v>
      </c>
      <c r="I302">
        <v>2944.5831256148999</v>
      </c>
      <c r="J302">
        <v>0.98407434875774003</v>
      </c>
      <c r="R302">
        <v>25.673853854008001</v>
      </c>
      <c r="S302">
        <v>2.4517176531375999</v>
      </c>
      <c r="U302">
        <v>0</v>
      </c>
      <c r="V302">
        <v>0.28890460729598999</v>
      </c>
      <c r="AC302">
        <v>56.193974060000002</v>
      </c>
    </row>
    <row r="303" spans="1:38" hidden="1" x14ac:dyDescent="0.3">
      <c r="A303" t="s">
        <v>44</v>
      </c>
      <c r="B303">
        <v>2030</v>
      </c>
      <c r="J303">
        <v>1.0363155615012001</v>
      </c>
      <c r="R303">
        <v>25.775160990060002</v>
      </c>
      <c r="S303">
        <v>2.4454437678460001</v>
      </c>
      <c r="U303">
        <v>0</v>
      </c>
      <c r="V303">
        <v>0.32624614238739003</v>
      </c>
      <c r="AC303">
        <v>26.627406506</v>
      </c>
    </row>
    <row r="304" spans="1:38" hidden="1" x14ac:dyDescent="0.3">
      <c r="A304" t="s">
        <v>44</v>
      </c>
      <c r="B304">
        <v>2031</v>
      </c>
      <c r="J304">
        <v>1.0885567742447</v>
      </c>
      <c r="R304">
        <v>25.880142162481</v>
      </c>
      <c r="S304">
        <v>2.4428206501463001</v>
      </c>
      <c r="U304">
        <v>0</v>
      </c>
      <c r="V304">
        <v>0.33234971761703003</v>
      </c>
      <c r="AC304">
        <v>67.502768872000004</v>
      </c>
    </row>
    <row r="305" spans="1:29" hidden="1" x14ac:dyDescent="0.3">
      <c r="A305" t="s">
        <v>44</v>
      </c>
      <c r="B305">
        <v>2032</v>
      </c>
      <c r="J305">
        <v>1.1407979869881999</v>
      </c>
      <c r="R305">
        <v>26.017447192955999</v>
      </c>
      <c r="S305">
        <v>2.446481974233</v>
      </c>
      <c r="U305">
        <v>0</v>
      </c>
      <c r="V305">
        <v>0.3719634115696</v>
      </c>
      <c r="AC305">
        <v>6.6823522200000003</v>
      </c>
    </row>
    <row r="306" spans="1:29" hidden="1" x14ac:dyDescent="0.3">
      <c r="A306" t="s">
        <v>44</v>
      </c>
      <c r="B306">
        <v>2033</v>
      </c>
      <c r="J306">
        <v>1.1930391997316001</v>
      </c>
      <c r="R306">
        <v>26.137488735489999</v>
      </c>
      <c r="S306">
        <v>2.4482600397744001</v>
      </c>
      <c r="U306">
        <v>0</v>
      </c>
      <c r="V306">
        <v>0.38938283920288003</v>
      </c>
      <c r="AC306">
        <v>102.731914948</v>
      </c>
    </row>
    <row r="307" spans="1:29" hidden="1" x14ac:dyDescent="0.3">
      <c r="A307" t="s">
        <v>44</v>
      </c>
      <c r="B307">
        <v>2034</v>
      </c>
      <c r="J307">
        <v>1.2452804124751</v>
      </c>
      <c r="R307">
        <v>26.235118495527999</v>
      </c>
      <c r="S307">
        <v>2.4448190489531001</v>
      </c>
      <c r="U307">
        <v>0</v>
      </c>
      <c r="V307">
        <v>0.41887143254280002</v>
      </c>
      <c r="AC307">
        <v>29.010548910000001</v>
      </c>
    </row>
    <row r="308" spans="1:29" hidden="1" x14ac:dyDescent="0.3">
      <c r="A308" t="s">
        <v>44</v>
      </c>
      <c r="B308">
        <v>2035</v>
      </c>
      <c r="J308">
        <v>1.2975216252185999</v>
      </c>
      <c r="R308">
        <v>26.250934090163</v>
      </c>
      <c r="S308">
        <v>2.4234128555873999</v>
      </c>
      <c r="U308">
        <v>0</v>
      </c>
      <c r="V308">
        <v>0.45978160649538002</v>
      </c>
      <c r="AC308">
        <v>15.866042456000001</v>
      </c>
    </row>
    <row r="309" spans="1:29" hidden="1" x14ac:dyDescent="0.3">
      <c r="A309" t="s">
        <v>44</v>
      </c>
      <c r="B309">
        <v>2036</v>
      </c>
      <c r="J309">
        <v>1.3497628379621001</v>
      </c>
      <c r="R309">
        <v>26.279918809152001</v>
      </c>
      <c r="S309">
        <v>2.4066602434547999</v>
      </c>
      <c r="U309">
        <v>0</v>
      </c>
      <c r="V309">
        <v>0.50069178044796003</v>
      </c>
      <c r="AC309">
        <v>0</v>
      </c>
    </row>
    <row r="310" spans="1:29" hidden="1" x14ac:dyDescent="0.3">
      <c r="A310" t="s">
        <v>44</v>
      </c>
      <c r="B310">
        <v>2037</v>
      </c>
      <c r="J310">
        <v>1.4102622111309999</v>
      </c>
      <c r="R310">
        <v>26.343471631286</v>
      </c>
      <c r="S310">
        <v>2.3953388442566999</v>
      </c>
      <c r="U310">
        <v>0</v>
      </c>
      <c r="V310">
        <v>0.54160195440054004</v>
      </c>
      <c r="AC310">
        <v>0</v>
      </c>
    </row>
    <row r="311" spans="1:29" hidden="1" x14ac:dyDescent="0.3">
      <c r="A311" t="s">
        <v>44</v>
      </c>
      <c r="B311">
        <v>2038</v>
      </c>
      <c r="J311">
        <v>1.473943309152</v>
      </c>
      <c r="R311">
        <v>26.372821499522001</v>
      </c>
      <c r="S311">
        <v>2.3800358930017</v>
      </c>
      <c r="U311">
        <v>0</v>
      </c>
      <c r="V311">
        <v>0.58251212835312005</v>
      </c>
      <c r="AC311">
        <v>0</v>
      </c>
    </row>
    <row r="312" spans="1:29" hidden="1" x14ac:dyDescent="0.3">
      <c r="A312" t="s">
        <v>44</v>
      </c>
      <c r="B312">
        <v>2039</v>
      </c>
      <c r="J312">
        <v>1.5554030816222</v>
      </c>
      <c r="R312">
        <v>26.362830712514</v>
      </c>
      <c r="S312">
        <v>2.3572655787415999</v>
      </c>
      <c r="U312">
        <v>0</v>
      </c>
      <c r="V312">
        <v>0.62342230230569995</v>
      </c>
      <c r="AC312">
        <v>102.89400000000001</v>
      </c>
    </row>
    <row r="313" spans="1:29" hidden="1" x14ac:dyDescent="0.3">
      <c r="A313" t="s">
        <v>44</v>
      </c>
      <c r="B313">
        <v>2040</v>
      </c>
      <c r="J313">
        <v>1.6407531214491</v>
      </c>
      <c r="R313">
        <v>26.273058857458</v>
      </c>
      <c r="S313">
        <v>2.3164829700851</v>
      </c>
      <c r="U313">
        <v>0</v>
      </c>
      <c r="V313">
        <v>0.66433247625827996</v>
      </c>
      <c r="AC313">
        <v>6.1275075000000001</v>
      </c>
    </row>
    <row r="314" spans="1:29" hidden="1" x14ac:dyDescent="0.3">
      <c r="A314" t="s">
        <v>44</v>
      </c>
      <c r="B314">
        <v>2041</v>
      </c>
      <c r="J314">
        <v>1.6622109078272</v>
      </c>
      <c r="R314">
        <v>26.201013229379999</v>
      </c>
      <c r="S314">
        <v>2.2827535149465001</v>
      </c>
      <c r="U314">
        <v>0</v>
      </c>
      <c r="V314">
        <v>0.70524265021085997</v>
      </c>
      <c r="AC314">
        <v>0</v>
      </c>
    </row>
    <row r="315" spans="1:29" hidden="1" x14ac:dyDescent="0.3">
      <c r="A315" t="s">
        <v>44</v>
      </c>
      <c r="B315">
        <v>2042</v>
      </c>
      <c r="J315">
        <v>1.6731812577081</v>
      </c>
      <c r="R315">
        <v>26.18742340391</v>
      </c>
      <c r="S315">
        <v>2.2625622514874002</v>
      </c>
      <c r="U315">
        <v>0</v>
      </c>
      <c r="V315">
        <v>0.74615282416343998</v>
      </c>
      <c r="AC315">
        <v>5.123136702</v>
      </c>
    </row>
    <row r="316" spans="1:29" hidden="1" x14ac:dyDescent="0.3">
      <c r="A316" t="s">
        <v>44</v>
      </c>
      <c r="B316">
        <v>2043</v>
      </c>
      <c r="J316">
        <v>1.6755252811309</v>
      </c>
      <c r="R316">
        <v>26.162023552811</v>
      </c>
      <c r="S316">
        <v>2.2418790552746999</v>
      </c>
      <c r="U316">
        <v>0</v>
      </c>
      <c r="V316">
        <v>0.78706299811601999</v>
      </c>
      <c r="AC316">
        <v>0</v>
      </c>
    </row>
    <row r="317" spans="1:29" hidden="1" x14ac:dyDescent="0.3">
      <c r="A317" t="s">
        <v>44</v>
      </c>
      <c r="B317">
        <v>2044</v>
      </c>
      <c r="J317">
        <v>1.6827218185732999</v>
      </c>
      <c r="R317">
        <v>26.114188102067001</v>
      </c>
      <c r="S317">
        <v>2.2157430864342</v>
      </c>
      <c r="U317">
        <v>0</v>
      </c>
      <c r="V317">
        <v>0.82797317206859999</v>
      </c>
      <c r="AC317">
        <v>0</v>
      </c>
    </row>
    <row r="318" spans="1:29" hidden="1" x14ac:dyDescent="0.3">
      <c r="A318" t="s">
        <v>44</v>
      </c>
      <c r="B318">
        <v>2045</v>
      </c>
      <c r="J318">
        <v>1.6753579574554001</v>
      </c>
      <c r="R318">
        <v>26.005514098407001</v>
      </c>
      <c r="S318">
        <v>2.1729166045113999</v>
      </c>
      <c r="U318">
        <v>0</v>
      </c>
      <c r="V318">
        <v>0.86888334602118</v>
      </c>
      <c r="AC318">
        <v>0</v>
      </c>
    </row>
    <row r="319" spans="1:29" hidden="1" x14ac:dyDescent="0.3">
      <c r="A319" t="s">
        <v>44</v>
      </c>
      <c r="B319">
        <v>2046</v>
      </c>
      <c r="J319">
        <v>1.6727508067859</v>
      </c>
      <c r="R319">
        <v>25.917687701359</v>
      </c>
      <c r="S319">
        <v>2.1364766124074999</v>
      </c>
      <c r="U319">
        <v>0</v>
      </c>
      <c r="V319">
        <v>0.90979351997375002</v>
      </c>
      <c r="AC319">
        <v>0</v>
      </c>
    </row>
    <row r="320" spans="1:29" hidden="1" x14ac:dyDescent="0.3">
      <c r="A320" t="s">
        <v>44</v>
      </c>
      <c r="B320">
        <v>2047</v>
      </c>
      <c r="J320">
        <v>1.6718363111179999</v>
      </c>
      <c r="R320">
        <v>25.885837595523</v>
      </c>
      <c r="S320">
        <v>2.1118918929545001</v>
      </c>
      <c r="U320">
        <v>0</v>
      </c>
      <c r="V320">
        <v>0.95070369392633003</v>
      </c>
      <c r="AC320">
        <v>0</v>
      </c>
    </row>
    <row r="321" spans="1:29" hidden="1" x14ac:dyDescent="0.3">
      <c r="A321" t="s">
        <v>44</v>
      </c>
      <c r="B321">
        <v>2048</v>
      </c>
      <c r="J321">
        <v>1.6640409217009</v>
      </c>
      <c r="R321">
        <v>25.850072266501002</v>
      </c>
      <c r="S321">
        <v>2.0864322132335</v>
      </c>
      <c r="U321">
        <v>0</v>
      </c>
      <c r="V321">
        <v>0.99161386787891004</v>
      </c>
      <c r="AC321">
        <v>0</v>
      </c>
    </row>
    <row r="322" spans="1:29" hidden="1" x14ac:dyDescent="0.3">
      <c r="A322" t="s">
        <v>44</v>
      </c>
      <c r="B322">
        <v>2049</v>
      </c>
      <c r="J322">
        <v>1.6566869525971</v>
      </c>
      <c r="R322">
        <v>25.790224332788</v>
      </c>
      <c r="S322">
        <v>2.0570821432370998</v>
      </c>
      <c r="U322">
        <v>0</v>
      </c>
      <c r="V322">
        <v>1.0325240418315</v>
      </c>
      <c r="AC322">
        <v>0</v>
      </c>
    </row>
    <row r="323" spans="1:29" hidden="1" x14ac:dyDescent="0.3">
      <c r="A323" t="s">
        <v>44</v>
      </c>
      <c r="B323">
        <v>2050</v>
      </c>
      <c r="J323">
        <v>1.6451151923803</v>
      </c>
      <c r="R323">
        <v>25.690230413258998</v>
      </c>
      <c r="S323">
        <v>2.0156629121625</v>
      </c>
      <c r="U323">
        <v>0</v>
      </c>
      <c r="V323">
        <v>1.0734342157840999</v>
      </c>
      <c r="AC323">
        <v>0</v>
      </c>
    </row>
    <row r="324" spans="1:29" hidden="1" x14ac:dyDescent="0.3">
      <c r="A324" t="s">
        <v>44</v>
      </c>
      <c r="B324">
        <v>2051</v>
      </c>
      <c r="J324">
        <v>1.6246879429056</v>
      </c>
      <c r="R324">
        <v>25.638690264927</v>
      </c>
      <c r="S324">
        <v>1.9854041924159</v>
      </c>
      <c r="U324">
        <v>0</v>
      </c>
      <c r="V324">
        <v>1.1143443897367</v>
      </c>
      <c r="AC324">
        <v>0</v>
      </c>
    </row>
    <row r="325" spans="1:29" hidden="1" x14ac:dyDescent="0.3">
      <c r="A325" t="s">
        <v>44</v>
      </c>
      <c r="B325">
        <v>2052</v>
      </c>
      <c r="J325">
        <v>1.5985883801787</v>
      </c>
      <c r="R325">
        <v>25.597216067847</v>
      </c>
      <c r="S325">
        <v>1.9571939250364001</v>
      </c>
      <c r="U325">
        <v>0</v>
      </c>
      <c r="V325">
        <v>1.1552545636892</v>
      </c>
      <c r="AC325">
        <v>68.09</v>
      </c>
    </row>
    <row r="326" spans="1:29" hidden="1" x14ac:dyDescent="0.3">
      <c r="A326" t="s">
        <v>44</v>
      </c>
      <c r="B326">
        <v>2053</v>
      </c>
      <c r="J326">
        <v>1.5706689116885999</v>
      </c>
      <c r="R326">
        <v>25.546007419927999</v>
      </c>
      <c r="S326">
        <v>1.9271429738771999</v>
      </c>
      <c r="U326">
        <v>0</v>
      </c>
      <c r="V326">
        <v>1.1961647376418001</v>
      </c>
      <c r="AC326">
        <v>0</v>
      </c>
    </row>
    <row r="327" spans="1:29" hidden="1" x14ac:dyDescent="0.3">
      <c r="A327" t="s">
        <v>44</v>
      </c>
      <c r="B327">
        <v>2054</v>
      </c>
      <c r="J327">
        <v>1.5358571894515001</v>
      </c>
      <c r="R327">
        <v>25.491825274772999</v>
      </c>
      <c r="S327">
        <v>1.8968975315971</v>
      </c>
      <c r="U327">
        <v>0</v>
      </c>
      <c r="V327">
        <v>1.2370749115944</v>
      </c>
      <c r="AC327">
        <v>0</v>
      </c>
    </row>
    <row r="328" spans="1:29" hidden="1" x14ac:dyDescent="0.3">
      <c r="A328" t="s">
        <v>44</v>
      </c>
      <c r="B328">
        <v>2055</v>
      </c>
      <c r="J328">
        <v>1.4998810372478</v>
      </c>
      <c r="R328">
        <v>25.394470105351001</v>
      </c>
      <c r="S328">
        <v>1.8544689622002</v>
      </c>
      <c r="U328">
        <v>0</v>
      </c>
      <c r="V328">
        <v>1.2779850855470001</v>
      </c>
      <c r="AC328">
        <v>0</v>
      </c>
    </row>
    <row r="329" spans="1:29" hidden="1" x14ac:dyDescent="0.3">
      <c r="A329" t="s">
        <v>44</v>
      </c>
      <c r="B329">
        <v>2056</v>
      </c>
      <c r="J329">
        <v>1.4366585400414</v>
      </c>
      <c r="R329">
        <v>25.360910185110001</v>
      </c>
      <c r="S329">
        <v>1.8253735362826999</v>
      </c>
      <c r="U329">
        <v>0</v>
      </c>
      <c r="V329">
        <v>1.3188952594995</v>
      </c>
      <c r="AC329">
        <v>0</v>
      </c>
    </row>
    <row r="330" spans="1:29" hidden="1" x14ac:dyDescent="0.3">
      <c r="A330" t="s">
        <v>44</v>
      </c>
      <c r="B330">
        <v>2057</v>
      </c>
      <c r="J330">
        <v>1.3763765864024999</v>
      </c>
      <c r="R330">
        <v>25.353985609529001</v>
      </c>
      <c r="S330">
        <v>1.8038785042767</v>
      </c>
      <c r="U330">
        <v>0</v>
      </c>
      <c r="V330">
        <v>1.3598054334520999</v>
      </c>
      <c r="AC330">
        <v>0</v>
      </c>
    </row>
    <row r="331" spans="1:29" hidden="1" x14ac:dyDescent="0.3">
      <c r="A331" t="s">
        <v>44</v>
      </c>
      <c r="B331">
        <v>2058</v>
      </c>
      <c r="J331">
        <v>1.3144213753236</v>
      </c>
      <c r="R331">
        <v>25.337045309377999</v>
      </c>
      <c r="S331">
        <v>1.7847488349075999</v>
      </c>
      <c r="U331">
        <v>0</v>
      </c>
      <c r="V331">
        <v>1.4007156074047</v>
      </c>
      <c r="AC331">
        <v>0</v>
      </c>
    </row>
    <row r="332" spans="1:29" hidden="1" x14ac:dyDescent="0.3">
      <c r="A332" t="s">
        <v>44</v>
      </c>
      <c r="B332">
        <v>2059</v>
      </c>
      <c r="J332">
        <v>1.2627491733928</v>
      </c>
      <c r="R332">
        <v>25.310440942385998</v>
      </c>
      <c r="S332">
        <v>1.7650526883416</v>
      </c>
      <c r="U332">
        <v>0</v>
      </c>
      <c r="V332">
        <v>1.4416257813572999</v>
      </c>
      <c r="AC332">
        <v>0</v>
      </c>
    </row>
    <row r="333" spans="1:29" hidden="1" x14ac:dyDescent="0.3">
      <c r="A333" t="s">
        <v>44</v>
      </c>
      <c r="B333">
        <v>2060</v>
      </c>
      <c r="J333">
        <v>1.2156406192631</v>
      </c>
      <c r="R333">
        <v>25.246827800769999</v>
      </c>
      <c r="S333">
        <v>1.7354413721476001</v>
      </c>
      <c r="U333">
        <v>0</v>
      </c>
      <c r="V333">
        <v>1.4825359553099</v>
      </c>
      <c r="AC333">
        <v>0</v>
      </c>
    </row>
    <row r="334" spans="1:29" hidden="1" x14ac:dyDescent="0.3">
      <c r="A334" t="s">
        <v>44</v>
      </c>
      <c r="B334">
        <v>2061</v>
      </c>
      <c r="J334">
        <v>1.1554619783028</v>
      </c>
      <c r="R334">
        <v>25.221492751122</v>
      </c>
      <c r="S334">
        <v>1.7176737544892999</v>
      </c>
      <c r="U334">
        <v>0</v>
      </c>
      <c r="V334">
        <v>1.5234461292624</v>
      </c>
      <c r="AC334">
        <v>0</v>
      </c>
    </row>
    <row r="335" spans="1:29" hidden="1" x14ac:dyDescent="0.3">
      <c r="A335" t="s">
        <v>44</v>
      </c>
      <c r="B335">
        <v>2062</v>
      </c>
      <c r="J335">
        <v>1.1091145391999</v>
      </c>
      <c r="R335">
        <v>25.269408989723001</v>
      </c>
      <c r="S335">
        <v>1.7129050867294</v>
      </c>
      <c r="U335">
        <v>0</v>
      </c>
      <c r="V335">
        <v>1.5643563032150001</v>
      </c>
      <c r="AC335">
        <v>0</v>
      </c>
    </row>
    <row r="336" spans="1:29" hidden="1" x14ac:dyDescent="0.3">
      <c r="A336" t="s">
        <v>44</v>
      </c>
      <c r="B336">
        <v>2063</v>
      </c>
      <c r="J336">
        <v>1.0793779277216999</v>
      </c>
      <c r="R336">
        <v>25.335995580273</v>
      </c>
      <c r="S336">
        <v>1.7109861476707999</v>
      </c>
      <c r="U336">
        <v>0</v>
      </c>
      <c r="V336">
        <v>1.6052664771676</v>
      </c>
      <c r="AC336">
        <v>0</v>
      </c>
    </row>
    <row r="337" spans="1:38" hidden="1" x14ac:dyDescent="0.3">
      <c r="A337" t="s">
        <v>44</v>
      </c>
      <c r="B337">
        <v>2064</v>
      </c>
      <c r="J337">
        <v>1.0510544018470001</v>
      </c>
      <c r="R337">
        <v>25.398202674181999</v>
      </c>
      <c r="S337">
        <v>1.7086635458815</v>
      </c>
      <c r="U337">
        <v>0</v>
      </c>
      <c r="V337">
        <v>1.6461766511202001</v>
      </c>
      <c r="AC337">
        <v>0</v>
      </c>
    </row>
    <row r="338" spans="1:38" hidden="1" x14ac:dyDescent="0.3">
      <c r="A338" t="s">
        <v>44</v>
      </c>
      <c r="B338">
        <v>2065</v>
      </c>
      <c r="J338">
        <v>1.0391212793169</v>
      </c>
      <c r="R338">
        <v>25.428341316927</v>
      </c>
      <c r="S338">
        <v>1.6946446056229001</v>
      </c>
      <c r="U338">
        <v>0</v>
      </c>
      <c r="V338">
        <v>1.6870868250727999</v>
      </c>
      <c r="AC338">
        <v>0</v>
      </c>
    </row>
    <row r="339" spans="1:38" hidden="1" x14ac:dyDescent="0.3">
      <c r="A339" t="s">
        <v>44</v>
      </c>
      <c r="B339">
        <v>2066</v>
      </c>
      <c r="J339">
        <v>1.0251267818931999</v>
      </c>
      <c r="R339">
        <v>25.506171423057001</v>
      </c>
      <c r="S339">
        <v>1.6936158037288001</v>
      </c>
      <c r="U339">
        <v>0</v>
      </c>
      <c r="V339">
        <v>1.7279969990252999</v>
      </c>
      <c r="AC339">
        <v>0</v>
      </c>
    </row>
    <row r="340" spans="1:38" hidden="1" x14ac:dyDescent="0.3">
      <c r="A340" t="s">
        <v>44</v>
      </c>
      <c r="B340">
        <v>2067</v>
      </c>
      <c r="J340">
        <v>1.0203214972599</v>
      </c>
      <c r="R340">
        <v>25.590358533092001</v>
      </c>
      <c r="S340">
        <v>1.6991870187175</v>
      </c>
      <c r="U340">
        <v>0</v>
      </c>
      <c r="V340">
        <v>1.7689071729779</v>
      </c>
      <c r="AC340">
        <v>0</v>
      </c>
    </row>
    <row r="341" spans="1:38" hidden="1" x14ac:dyDescent="0.3">
      <c r="A341" t="s">
        <v>44</v>
      </c>
      <c r="B341">
        <v>2068</v>
      </c>
      <c r="J341">
        <v>1.0316608045339</v>
      </c>
      <c r="R341">
        <v>25.678100654508999</v>
      </c>
      <c r="S341">
        <v>1.7058781800566001</v>
      </c>
      <c r="U341">
        <v>0</v>
      </c>
      <c r="V341">
        <v>1.8098173469304999</v>
      </c>
      <c r="AC341">
        <v>0</v>
      </c>
    </row>
    <row r="342" spans="1:38" hidden="1" x14ac:dyDescent="0.3">
      <c r="A342" t="s">
        <v>44</v>
      </c>
      <c r="B342">
        <v>2069</v>
      </c>
      <c r="J342">
        <v>1.0544176222095001</v>
      </c>
      <c r="R342">
        <v>25.766246995584002</v>
      </c>
      <c r="S342">
        <v>1.7093660325505</v>
      </c>
      <c r="U342">
        <v>0</v>
      </c>
      <c r="V342">
        <v>1.8507275208831</v>
      </c>
      <c r="AC342">
        <v>0</v>
      </c>
    </row>
    <row r="343" spans="1:38" hidden="1" x14ac:dyDescent="0.3">
      <c r="A343" t="s">
        <v>44</v>
      </c>
      <c r="B343">
        <v>2070</v>
      </c>
      <c r="J343">
        <v>1.0763288592186</v>
      </c>
      <c r="R343">
        <v>25.794243669776002</v>
      </c>
      <c r="S343">
        <v>1.6981236402726001</v>
      </c>
      <c r="U343">
        <v>0</v>
      </c>
      <c r="V343">
        <v>1.8916376948357001</v>
      </c>
      <c r="AC343">
        <v>0</v>
      </c>
    </row>
    <row r="344" spans="1:38" hidden="1" x14ac:dyDescent="0.3">
      <c r="A344" t="s">
        <v>44</v>
      </c>
      <c r="B344">
        <v>2071</v>
      </c>
      <c r="V344">
        <v>1.9325478687882001</v>
      </c>
    </row>
    <row r="345" spans="1:38" hidden="1" x14ac:dyDescent="0.3">
      <c r="A345" t="s">
        <v>45</v>
      </c>
      <c r="B345">
        <v>0</v>
      </c>
      <c r="AD345">
        <v>5.3002786003397001E-2</v>
      </c>
      <c r="AE345">
        <v>8.7207489013572004E-2</v>
      </c>
      <c r="AF345">
        <v>8.5265947398001002E-2</v>
      </c>
      <c r="AG345">
        <v>0.99985190688398995</v>
      </c>
      <c r="AH345">
        <v>0</v>
      </c>
      <c r="AI345">
        <v>3.4645094736841999</v>
      </c>
      <c r="AJ345">
        <v>4.6967663157894997</v>
      </c>
      <c r="AK345">
        <v>2.1578473684211001</v>
      </c>
      <c r="AL345">
        <v>0.59699999999999998</v>
      </c>
    </row>
    <row r="346" spans="1:38" hidden="1" x14ac:dyDescent="0.3">
      <c r="A346" t="s">
        <v>45</v>
      </c>
      <c r="B346">
        <v>2024</v>
      </c>
      <c r="C346">
        <v>1620.6</v>
      </c>
      <c r="D346">
        <v>101.8205</v>
      </c>
      <c r="E346">
        <v>1591.627</v>
      </c>
      <c r="F346">
        <v>6.2271578109941004</v>
      </c>
      <c r="G346">
        <v>1354.7199967905999</v>
      </c>
      <c r="H346">
        <v>3.1501949369597999</v>
      </c>
      <c r="I346">
        <v>1335.0953964942</v>
      </c>
      <c r="J346">
        <v>2.2963146687383</v>
      </c>
      <c r="K346">
        <v>2.9829927810785</v>
      </c>
      <c r="L346">
        <v>2.9323319626384001</v>
      </c>
      <c r="M346">
        <v>-0.70374530000000002</v>
      </c>
      <c r="N346">
        <v>-0.70779999999999998</v>
      </c>
      <c r="O346">
        <v>-3.1531885000000002</v>
      </c>
      <c r="P346">
        <v>-4.96</v>
      </c>
      <c r="Q346">
        <v>42.966096999999998</v>
      </c>
      <c r="R346">
        <v>24.389639389877999</v>
      </c>
      <c r="S346">
        <v>1.1333681335782999</v>
      </c>
      <c r="U346">
        <v>0</v>
      </c>
      <c r="V346">
        <v>0</v>
      </c>
      <c r="W346">
        <v>2.4747077000000002</v>
      </c>
      <c r="X346">
        <v>3.0190000000000001</v>
      </c>
      <c r="Y346">
        <v>3.1485833333333</v>
      </c>
      <c r="Z346">
        <v>1</v>
      </c>
      <c r="AA346">
        <v>1.0823804690000001</v>
      </c>
      <c r="AB346">
        <v>4.5752433333333</v>
      </c>
    </row>
    <row r="347" spans="1:38" hidden="1" x14ac:dyDescent="0.3">
      <c r="A347" t="s">
        <v>45</v>
      </c>
      <c r="B347">
        <v>2025</v>
      </c>
      <c r="C347">
        <v>1685.6</v>
      </c>
      <c r="D347">
        <v>100.90730000000001</v>
      </c>
      <c r="E347">
        <v>1670.441</v>
      </c>
      <c r="F347">
        <v>4.9517883272903003</v>
      </c>
      <c r="G347">
        <v>1389.2789412901</v>
      </c>
      <c r="H347">
        <v>2.5510027593378002</v>
      </c>
      <c r="I347">
        <v>1366.5438283894</v>
      </c>
      <c r="J347">
        <v>2.3555194615894002</v>
      </c>
      <c r="K347">
        <v>2.3410885458994</v>
      </c>
      <c r="L347">
        <v>2.4767093808285998</v>
      </c>
      <c r="M347">
        <v>-0.2212721</v>
      </c>
      <c r="N347">
        <v>-0.65310000000000001</v>
      </c>
      <c r="O347">
        <v>-2.7908675000000001</v>
      </c>
      <c r="P347">
        <v>18.37</v>
      </c>
      <c r="Q347">
        <v>43.032910299999998</v>
      </c>
      <c r="R347">
        <v>24.443327192782998</v>
      </c>
      <c r="S347">
        <v>1.1383718326118</v>
      </c>
      <c r="U347">
        <v>0</v>
      </c>
      <c r="V347">
        <v>1.1269301176071E-3</v>
      </c>
      <c r="W347">
        <v>2.6486198000000001</v>
      </c>
      <c r="X347">
        <v>2.5720000000000001</v>
      </c>
      <c r="Y347">
        <v>3.2193999999999998</v>
      </c>
      <c r="Z347">
        <v>1</v>
      </c>
      <c r="AA347">
        <v>1.113519535</v>
      </c>
      <c r="AB347">
        <v>4.5752433333333</v>
      </c>
      <c r="AC347">
        <v>173.080616873</v>
      </c>
    </row>
    <row r="348" spans="1:38" hidden="1" x14ac:dyDescent="0.3">
      <c r="A348" t="s">
        <v>45</v>
      </c>
      <c r="B348">
        <v>2026</v>
      </c>
      <c r="C348">
        <v>1753.4</v>
      </c>
      <c r="D348">
        <v>100.7993</v>
      </c>
      <c r="E348">
        <v>1739.518</v>
      </c>
      <c r="F348">
        <v>4.1352553008457003</v>
      </c>
      <c r="G348">
        <v>1417.7352006020999</v>
      </c>
      <c r="H348">
        <v>2.0482754374479</v>
      </c>
      <c r="I348">
        <v>1396.0174371025</v>
      </c>
      <c r="J348">
        <v>2.1567993723116001</v>
      </c>
      <c r="K348">
        <v>2.0450707317247998</v>
      </c>
      <c r="L348">
        <v>2.0119566334671002</v>
      </c>
      <c r="M348">
        <v>0.1411586</v>
      </c>
      <c r="N348">
        <v>-0.55759999999999998</v>
      </c>
      <c r="O348">
        <v>-2.4991265</v>
      </c>
      <c r="P348">
        <v>24.35</v>
      </c>
      <c r="Q348">
        <v>42.977884699999997</v>
      </c>
      <c r="R348">
        <v>24.527082877520002</v>
      </c>
      <c r="S348">
        <v>1.1461984672044001</v>
      </c>
      <c r="U348">
        <v>0</v>
      </c>
      <c r="V348">
        <v>7.1129426360129998E-3</v>
      </c>
      <c r="W348">
        <v>2.7247466</v>
      </c>
      <c r="Z348">
        <v>1</v>
      </c>
      <c r="AA348">
        <v>1.1346799999999999</v>
      </c>
      <c r="AB348">
        <v>3.6427433333332999</v>
      </c>
      <c r="AC348">
        <v>157.02093894999999</v>
      </c>
    </row>
    <row r="349" spans="1:38" hidden="1" x14ac:dyDescent="0.3">
      <c r="A349" t="s">
        <v>45</v>
      </c>
      <c r="B349">
        <v>2027</v>
      </c>
      <c r="G349">
        <v>1436.9739282027001</v>
      </c>
      <c r="H349">
        <v>1.357004297584</v>
      </c>
      <c r="I349">
        <v>1422.2236270696999</v>
      </c>
      <c r="J349">
        <v>1.8772107905436</v>
      </c>
      <c r="R349">
        <v>24.641201527930999</v>
      </c>
      <c r="S349">
        <v>1.1554499764196999</v>
      </c>
      <c r="U349">
        <v>0</v>
      </c>
      <c r="V349">
        <v>1.5129890292883001E-2</v>
      </c>
      <c r="AB349">
        <v>3.6427433333332999</v>
      </c>
      <c r="AC349">
        <v>149.543759346</v>
      </c>
    </row>
    <row r="350" spans="1:38" hidden="1" x14ac:dyDescent="0.3">
      <c r="A350" t="s">
        <v>45</v>
      </c>
      <c r="B350">
        <v>2028</v>
      </c>
      <c r="G350">
        <v>1454.2420114173001</v>
      </c>
      <c r="H350">
        <v>1.2016977396512001</v>
      </c>
      <c r="I350">
        <v>1446.7397289851999</v>
      </c>
      <c r="J350">
        <v>1.7237867132093001</v>
      </c>
      <c r="R350">
        <v>24.737112400419001</v>
      </c>
      <c r="S350">
        <v>1.1635065992633</v>
      </c>
      <c r="U350">
        <v>0</v>
      </c>
      <c r="V350">
        <v>2.3769892752171E-2</v>
      </c>
      <c r="AC350">
        <v>114.387158809</v>
      </c>
    </row>
    <row r="351" spans="1:38" hidden="1" x14ac:dyDescent="0.3">
      <c r="A351" t="s">
        <v>45</v>
      </c>
      <c r="B351">
        <v>2029</v>
      </c>
      <c r="G351">
        <v>1471.66200093</v>
      </c>
      <c r="H351">
        <v>1.1978741760961</v>
      </c>
      <c r="I351">
        <v>1471.66200093</v>
      </c>
      <c r="J351">
        <v>1.7226506914441</v>
      </c>
      <c r="R351">
        <v>24.875513481034002</v>
      </c>
      <c r="S351">
        <v>1.1746893985618001</v>
      </c>
      <c r="U351">
        <v>0</v>
      </c>
      <c r="V351">
        <v>3.1706839799881002E-2</v>
      </c>
      <c r="AC351">
        <v>132.32996952100001</v>
      </c>
    </row>
    <row r="352" spans="1:38" hidden="1" x14ac:dyDescent="0.3">
      <c r="A352" t="s">
        <v>45</v>
      </c>
      <c r="B352">
        <v>2030</v>
      </c>
      <c r="J352">
        <v>1.6446006656790999</v>
      </c>
      <c r="R352">
        <v>25.057592150209999</v>
      </c>
      <c r="S352">
        <v>1.1892297339729001</v>
      </c>
      <c r="U352">
        <v>0</v>
      </c>
      <c r="V352">
        <v>4.4160794466734002E-2</v>
      </c>
      <c r="AC352">
        <v>112.18647364100001</v>
      </c>
    </row>
    <row r="353" spans="1:29" hidden="1" x14ac:dyDescent="0.3">
      <c r="A353" t="s">
        <v>45</v>
      </c>
      <c r="B353">
        <v>2031</v>
      </c>
      <c r="J353">
        <v>1.5665506399139999</v>
      </c>
      <c r="R353">
        <v>25.286695877284998</v>
      </c>
      <c r="S353">
        <v>1.2066832574669999</v>
      </c>
      <c r="U353">
        <v>0</v>
      </c>
      <c r="V353">
        <v>5.9001728892326001E-2</v>
      </c>
      <c r="AC353">
        <v>73.397043494000002</v>
      </c>
    </row>
    <row r="354" spans="1:29" hidden="1" x14ac:dyDescent="0.3">
      <c r="A354" t="s">
        <v>45</v>
      </c>
      <c r="B354">
        <v>2032</v>
      </c>
      <c r="J354">
        <v>1.488500614149</v>
      </c>
      <c r="R354">
        <v>25.545151445196002</v>
      </c>
      <c r="S354">
        <v>1.2265693319619999</v>
      </c>
      <c r="U354">
        <v>0</v>
      </c>
      <c r="V354">
        <v>7.5260758399963004E-2</v>
      </c>
      <c r="AC354">
        <v>78.698687000000007</v>
      </c>
    </row>
    <row r="355" spans="1:29" hidden="1" x14ac:dyDescent="0.3">
      <c r="A355" t="s">
        <v>45</v>
      </c>
      <c r="B355">
        <v>2033</v>
      </c>
      <c r="J355">
        <v>1.4104505883839999</v>
      </c>
      <c r="R355">
        <v>25.806174835589999</v>
      </c>
      <c r="S355">
        <v>1.2462048555572001</v>
      </c>
      <c r="U355">
        <v>0</v>
      </c>
      <c r="V355">
        <v>9.1482803225516995E-2</v>
      </c>
      <c r="AC355">
        <v>97.353565958000004</v>
      </c>
    </row>
    <row r="356" spans="1:29" hidden="1" x14ac:dyDescent="0.3">
      <c r="A356" t="s">
        <v>45</v>
      </c>
      <c r="B356">
        <v>2034</v>
      </c>
      <c r="J356">
        <v>1.3324005626190001</v>
      </c>
      <c r="R356">
        <v>26.059477173550999</v>
      </c>
      <c r="S356">
        <v>1.2649455925469</v>
      </c>
      <c r="U356">
        <v>0</v>
      </c>
      <c r="V356">
        <v>0.10734978318214</v>
      </c>
      <c r="AC356">
        <v>52.428193894000003</v>
      </c>
    </row>
    <row r="357" spans="1:29" hidden="1" x14ac:dyDescent="0.3">
      <c r="A357" t="s">
        <v>45</v>
      </c>
      <c r="B357">
        <v>2035</v>
      </c>
      <c r="J357">
        <v>1.2543505368539001</v>
      </c>
      <c r="R357">
        <v>26.297531330881998</v>
      </c>
      <c r="S357">
        <v>1.2821893787236001</v>
      </c>
      <c r="U357">
        <v>0</v>
      </c>
      <c r="V357">
        <v>0.1183566053144</v>
      </c>
      <c r="AC357">
        <v>44.114733000000001</v>
      </c>
    </row>
    <row r="358" spans="1:29" hidden="1" x14ac:dyDescent="0.3">
      <c r="A358" t="s">
        <v>45</v>
      </c>
      <c r="B358">
        <v>2036</v>
      </c>
      <c r="J358">
        <v>1.1763005110889</v>
      </c>
      <c r="R358">
        <v>26.516287336516999</v>
      </c>
      <c r="S358">
        <v>1.2977349153455</v>
      </c>
      <c r="U358">
        <v>0</v>
      </c>
      <c r="V358">
        <v>0.12936342744665</v>
      </c>
      <c r="AC358">
        <v>6.4771960000000002</v>
      </c>
    </row>
    <row r="359" spans="1:29" hidden="1" x14ac:dyDescent="0.3">
      <c r="A359" t="s">
        <v>45</v>
      </c>
      <c r="B359">
        <v>2037</v>
      </c>
      <c r="J359">
        <v>1.3472948243234</v>
      </c>
      <c r="R359">
        <v>26.719431847027</v>
      </c>
      <c r="S359">
        <v>1.3114567240988999</v>
      </c>
      <c r="U359">
        <v>0</v>
      </c>
      <c r="V359">
        <v>0.14037024957890001</v>
      </c>
      <c r="AC359">
        <v>43.544607999999997</v>
      </c>
    </row>
    <row r="360" spans="1:29" hidden="1" x14ac:dyDescent="0.3">
      <c r="A360" t="s">
        <v>45</v>
      </c>
      <c r="B360">
        <v>2038</v>
      </c>
      <c r="J360">
        <v>1.4308357560080001</v>
      </c>
      <c r="R360">
        <v>26.918103688944999</v>
      </c>
      <c r="S360">
        <v>1.3242291249114999</v>
      </c>
      <c r="U360">
        <v>0</v>
      </c>
      <c r="V360">
        <v>0.15137707171115</v>
      </c>
      <c r="AC360">
        <v>0.73560000000000003</v>
      </c>
    </row>
    <row r="361" spans="1:29" hidden="1" x14ac:dyDescent="0.3">
      <c r="A361" t="s">
        <v>45</v>
      </c>
      <c r="B361">
        <v>2039</v>
      </c>
      <c r="J361">
        <v>1.5276547381018</v>
      </c>
      <c r="R361">
        <v>27.112007851607</v>
      </c>
      <c r="S361">
        <v>1.3356596331457</v>
      </c>
      <c r="U361">
        <v>0</v>
      </c>
      <c r="V361">
        <v>0.16238389384339999</v>
      </c>
      <c r="AC361">
        <v>23.892507999999999</v>
      </c>
    </row>
    <row r="362" spans="1:29" hidden="1" x14ac:dyDescent="0.3">
      <c r="A362" t="s">
        <v>45</v>
      </c>
      <c r="B362">
        <v>2040</v>
      </c>
      <c r="J362">
        <v>1.6417392640335999</v>
      </c>
      <c r="R362">
        <v>27.283042418106</v>
      </c>
      <c r="S362">
        <v>1.3449940747231</v>
      </c>
      <c r="U362">
        <v>0</v>
      </c>
      <c r="V362">
        <v>0.17339071597565001</v>
      </c>
      <c r="AC362">
        <v>41.200743000000003</v>
      </c>
    </row>
    <row r="363" spans="1:29" hidden="1" x14ac:dyDescent="0.3">
      <c r="A363" t="s">
        <v>45</v>
      </c>
      <c r="B363">
        <v>2041</v>
      </c>
      <c r="J363">
        <v>1.5633255215195001</v>
      </c>
      <c r="R363">
        <v>27.488754894113999</v>
      </c>
      <c r="S363">
        <v>1.3562678212393999</v>
      </c>
      <c r="U363">
        <v>0</v>
      </c>
      <c r="V363">
        <v>0.18439753810789999</v>
      </c>
      <c r="AC363">
        <v>30.298095</v>
      </c>
    </row>
    <row r="364" spans="1:29" hidden="1" x14ac:dyDescent="0.3">
      <c r="A364" t="s">
        <v>45</v>
      </c>
      <c r="B364">
        <v>2042</v>
      </c>
      <c r="J364">
        <v>1.4958573623136</v>
      </c>
      <c r="R364">
        <v>27.708883730882999</v>
      </c>
      <c r="S364">
        <v>1.3683099640389</v>
      </c>
      <c r="U364">
        <v>0</v>
      </c>
      <c r="V364">
        <v>0.19540436024016</v>
      </c>
      <c r="AC364">
        <v>15.684735</v>
      </c>
    </row>
    <row r="365" spans="1:29" hidden="1" x14ac:dyDescent="0.3">
      <c r="A365" t="s">
        <v>45</v>
      </c>
      <c r="B365">
        <v>2043</v>
      </c>
      <c r="J365">
        <v>1.4277916266351001</v>
      </c>
      <c r="R365">
        <v>27.942170166193002</v>
      </c>
      <c r="S365">
        <v>1.3807828646503</v>
      </c>
      <c r="U365">
        <v>0</v>
      </c>
      <c r="V365">
        <v>0.20641118237240999</v>
      </c>
      <c r="AC365">
        <v>16.274111999999999</v>
      </c>
    </row>
    <row r="366" spans="1:29" hidden="1" x14ac:dyDescent="0.3">
      <c r="A366" t="s">
        <v>45</v>
      </c>
      <c r="B366">
        <v>2044</v>
      </c>
      <c r="J366">
        <v>1.3793849630249</v>
      </c>
      <c r="R366">
        <v>28.177208046760001</v>
      </c>
      <c r="S366">
        <v>1.3930599723817001</v>
      </c>
      <c r="U366">
        <v>0</v>
      </c>
      <c r="V366">
        <v>0.21741800450466001</v>
      </c>
      <c r="AC366">
        <v>18.249533161999999</v>
      </c>
    </row>
    <row r="367" spans="1:29" hidden="1" x14ac:dyDescent="0.3">
      <c r="A367" t="s">
        <v>45</v>
      </c>
      <c r="B367">
        <v>2045</v>
      </c>
      <c r="J367">
        <v>1.3513253422997999</v>
      </c>
      <c r="R367">
        <v>28.403290102273999</v>
      </c>
      <c r="S367">
        <v>1.4044250952731001</v>
      </c>
      <c r="U367">
        <v>0</v>
      </c>
      <c r="V367">
        <v>0.22842482663690999</v>
      </c>
      <c r="AC367">
        <v>0.27923999999999999</v>
      </c>
    </row>
    <row r="368" spans="1:29" hidden="1" x14ac:dyDescent="0.3">
      <c r="A368" t="s">
        <v>45</v>
      </c>
      <c r="B368">
        <v>2046</v>
      </c>
      <c r="J368">
        <v>1.3436476029263</v>
      </c>
      <c r="R368">
        <v>28.614101550137999</v>
      </c>
      <c r="S368">
        <v>1.4145309519450999</v>
      </c>
      <c r="U368">
        <v>0</v>
      </c>
      <c r="V368">
        <v>0.23943164876916001</v>
      </c>
      <c r="AC368">
        <v>21.305630000000001</v>
      </c>
    </row>
    <row r="369" spans="1:29" hidden="1" x14ac:dyDescent="0.3">
      <c r="A369" t="s">
        <v>45</v>
      </c>
      <c r="B369">
        <v>2047</v>
      </c>
      <c r="J369">
        <v>1.3615623897991</v>
      </c>
      <c r="R369">
        <v>28.798253103463999</v>
      </c>
      <c r="S369">
        <v>1.422421591242</v>
      </c>
      <c r="U369">
        <v>0</v>
      </c>
      <c r="V369">
        <v>0.25043847090141003</v>
      </c>
      <c r="AC369">
        <v>0.26429000000000002</v>
      </c>
    </row>
    <row r="370" spans="1:29" hidden="1" x14ac:dyDescent="0.3">
      <c r="A370" t="s">
        <v>45</v>
      </c>
      <c r="B370">
        <v>2048</v>
      </c>
      <c r="J370">
        <v>1.3915917489219001</v>
      </c>
      <c r="R370">
        <v>28.948102353688999</v>
      </c>
      <c r="S370">
        <v>1.4278299470377001</v>
      </c>
      <c r="U370">
        <v>0</v>
      </c>
      <c r="V370">
        <v>0.26144529303365999</v>
      </c>
      <c r="AC370">
        <v>20.868307000000001</v>
      </c>
    </row>
    <row r="371" spans="1:29" hidden="1" x14ac:dyDescent="0.3">
      <c r="A371" t="s">
        <v>45</v>
      </c>
      <c r="B371">
        <v>2049</v>
      </c>
      <c r="J371">
        <v>1.3576648350842999</v>
      </c>
      <c r="R371">
        <v>29.080552503711001</v>
      </c>
      <c r="S371">
        <v>1.4318253860221</v>
      </c>
      <c r="U371">
        <v>0</v>
      </c>
      <c r="V371">
        <v>0.27245211516591999</v>
      </c>
      <c r="AC371">
        <v>0.56459000000000004</v>
      </c>
    </row>
    <row r="372" spans="1:29" hidden="1" x14ac:dyDescent="0.3">
      <c r="A372" t="s">
        <v>45</v>
      </c>
      <c r="B372">
        <v>2050</v>
      </c>
      <c r="J372">
        <v>1.3359415374573</v>
      </c>
      <c r="R372">
        <v>29.189029127790999</v>
      </c>
      <c r="S372">
        <v>1.4341719345912001</v>
      </c>
      <c r="U372">
        <v>0</v>
      </c>
      <c r="V372">
        <v>0.28345893729817001</v>
      </c>
      <c r="AC372">
        <v>24.819391</v>
      </c>
    </row>
    <row r="373" spans="1:29" hidden="1" x14ac:dyDescent="0.3">
      <c r="A373" t="s">
        <v>45</v>
      </c>
      <c r="B373">
        <v>2051</v>
      </c>
      <c r="J373">
        <v>1.3158944818772</v>
      </c>
      <c r="R373">
        <v>29.276004891932999</v>
      </c>
      <c r="S373">
        <v>1.4351047983759999</v>
      </c>
      <c r="U373">
        <v>0</v>
      </c>
      <c r="V373">
        <v>0.29446575943042003</v>
      </c>
      <c r="AC373">
        <v>0.21736</v>
      </c>
    </row>
    <row r="374" spans="1:29" hidden="1" x14ac:dyDescent="0.3">
      <c r="A374" t="s">
        <v>45</v>
      </c>
      <c r="B374">
        <v>2052</v>
      </c>
      <c r="J374">
        <v>1.2939273655696</v>
      </c>
      <c r="R374">
        <v>29.342671066865002</v>
      </c>
      <c r="S374">
        <v>1.4348195579161001</v>
      </c>
      <c r="U374">
        <v>0</v>
      </c>
      <c r="V374">
        <v>0.30547258156266999</v>
      </c>
      <c r="AC374">
        <v>20.20776</v>
      </c>
    </row>
    <row r="375" spans="1:29" hidden="1" x14ac:dyDescent="0.3">
      <c r="A375" t="s">
        <v>45</v>
      </c>
      <c r="B375">
        <v>2053</v>
      </c>
      <c r="J375">
        <v>1.2684618562043</v>
      </c>
      <c r="R375">
        <v>29.394270693803001</v>
      </c>
      <c r="S375">
        <v>1.4336816391811</v>
      </c>
      <c r="U375">
        <v>0</v>
      </c>
      <c r="V375">
        <v>0.31647940369492</v>
      </c>
      <c r="AC375">
        <v>0.20196</v>
      </c>
    </row>
    <row r="376" spans="1:29" hidden="1" x14ac:dyDescent="0.3">
      <c r="A376" t="s">
        <v>45</v>
      </c>
      <c r="B376">
        <v>2054</v>
      </c>
      <c r="J376">
        <v>1.2922564257472</v>
      </c>
      <c r="R376">
        <v>29.419795254989999</v>
      </c>
      <c r="S376">
        <v>1.4310186950904</v>
      </c>
      <c r="U376">
        <v>0</v>
      </c>
      <c r="V376">
        <v>0.32748622582717002</v>
      </c>
      <c r="AC376">
        <v>12.299808000000001</v>
      </c>
    </row>
    <row r="377" spans="1:29" hidden="1" x14ac:dyDescent="0.3">
      <c r="A377" t="s">
        <v>45</v>
      </c>
      <c r="B377">
        <v>2055</v>
      </c>
      <c r="J377">
        <v>1.3108537779564999</v>
      </c>
      <c r="R377">
        <v>29.421052021902</v>
      </c>
      <c r="S377">
        <v>1.4270912704198999</v>
      </c>
      <c r="U377">
        <v>0</v>
      </c>
      <c r="V377">
        <v>0.33849304795943003</v>
      </c>
      <c r="AC377">
        <v>0.19420999999999999</v>
      </c>
    </row>
    <row r="378" spans="1:29" hidden="1" x14ac:dyDescent="0.3">
      <c r="A378" t="s">
        <v>45</v>
      </c>
      <c r="B378">
        <v>2056</v>
      </c>
      <c r="J378">
        <v>1.3210663215053</v>
      </c>
      <c r="R378">
        <v>29.405138635853</v>
      </c>
      <c r="S378">
        <v>1.4222974105260999</v>
      </c>
      <c r="U378">
        <v>0</v>
      </c>
      <c r="V378">
        <v>0.34949987009167999</v>
      </c>
      <c r="AC378">
        <v>0.19420999999999999</v>
      </c>
    </row>
    <row r="379" spans="1:29" hidden="1" x14ac:dyDescent="0.3">
      <c r="A379" t="s">
        <v>45</v>
      </c>
      <c r="B379">
        <v>2057</v>
      </c>
      <c r="J379">
        <v>1.3285866457479001</v>
      </c>
      <c r="R379">
        <v>29.369842762543001</v>
      </c>
      <c r="S379">
        <v>1.4167290844939999</v>
      </c>
      <c r="U379">
        <v>0</v>
      </c>
      <c r="V379">
        <v>0.36050669222393</v>
      </c>
      <c r="AC379">
        <v>0.19420999999999999</v>
      </c>
    </row>
    <row r="380" spans="1:29" hidden="1" x14ac:dyDescent="0.3">
      <c r="A380" t="s">
        <v>45</v>
      </c>
      <c r="B380">
        <v>2058</v>
      </c>
      <c r="J380">
        <v>1.327626694199</v>
      </c>
      <c r="R380">
        <v>29.324868559862001</v>
      </c>
      <c r="S380">
        <v>1.4108850173181</v>
      </c>
      <c r="U380">
        <v>0</v>
      </c>
      <c r="V380">
        <v>0.37151351435618002</v>
      </c>
      <c r="AC380">
        <v>0.19420999999999999</v>
      </c>
    </row>
    <row r="381" spans="1:29" hidden="1" x14ac:dyDescent="0.3">
      <c r="A381" t="s">
        <v>45</v>
      </c>
      <c r="B381">
        <v>2059</v>
      </c>
      <c r="J381">
        <v>1.3151270466667</v>
      </c>
      <c r="R381">
        <v>29.271412198672</v>
      </c>
      <c r="S381">
        <v>1.4050279418025</v>
      </c>
      <c r="U381">
        <v>0</v>
      </c>
      <c r="V381">
        <v>0.38252033648842998</v>
      </c>
      <c r="AC381">
        <v>0.19420999999999999</v>
      </c>
    </row>
    <row r="382" spans="1:29" hidden="1" x14ac:dyDescent="0.3">
      <c r="A382" t="s">
        <v>45</v>
      </c>
      <c r="B382">
        <v>2060</v>
      </c>
      <c r="J382">
        <v>1.2981266997697001</v>
      </c>
      <c r="R382">
        <v>29.213940111193999</v>
      </c>
      <c r="S382">
        <v>1.399249552883</v>
      </c>
      <c r="U382">
        <v>0</v>
      </c>
      <c r="V382">
        <v>0.39352715862068</v>
      </c>
      <c r="AC382">
        <v>0.19420999999999999</v>
      </c>
    </row>
    <row r="383" spans="1:29" hidden="1" x14ac:dyDescent="0.3">
      <c r="A383" t="s">
        <v>45</v>
      </c>
      <c r="B383">
        <v>2061</v>
      </c>
      <c r="J383">
        <v>1.2740335721855001</v>
      </c>
      <c r="R383">
        <v>29.151890920999001</v>
      </c>
      <c r="S383">
        <v>1.3938707116605999</v>
      </c>
      <c r="U383">
        <v>0</v>
      </c>
      <c r="V383">
        <v>0.40453398075293001</v>
      </c>
      <c r="AC383">
        <v>0.19420999999999999</v>
      </c>
    </row>
    <row r="384" spans="1:29" hidden="1" x14ac:dyDescent="0.3">
      <c r="A384" t="s">
        <v>45</v>
      </c>
      <c r="B384">
        <v>2062</v>
      </c>
      <c r="J384">
        <v>1.2444416126321001</v>
      </c>
      <c r="R384">
        <v>29.094857810667001</v>
      </c>
      <c r="S384">
        <v>1.389030651398</v>
      </c>
      <c r="U384">
        <v>0</v>
      </c>
      <c r="V384">
        <v>0.41554080288519002</v>
      </c>
      <c r="AC384">
        <v>0.19420999999999999</v>
      </c>
    </row>
    <row r="385" spans="1:38" hidden="1" x14ac:dyDescent="0.3">
      <c r="A385" t="s">
        <v>45</v>
      </c>
      <c r="B385">
        <v>2063</v>
      </c>
      <c r="J385">
        <v>1.2043660263542999</v>
      </c>
      <c r="R385">
        <v>29.041727465440999</v>
      </c>
      <c r="S385">
        <v>1.384948660993</v>
      </c>
      <c r="U385">
        <v>0</v>
      </c>
      <c r="V385">
        <v>0.42654762501743998</v>
      </c>
      <c r="AC385">
        <v>0.19420999999999999</v>
      </c>
    </row>
    <row r="386" spans="1:38" hidden="1" x14ac:dyDescent="0.3">
      <c r="A386" t="s">
        <v>45</v>
      </c>
      <c r="B386">
        <v>2064</v>
      </c>
      <c r="J386">
        <v>1.1614882951465999</v>
      </c>
      <c r="R386">
        <v>28.996210390352001</v>
      </c>
      <c r="S386">
        <v>1.381758545351</v>
      </c>
      <c r="U386">
        <v>0</v>
      </c>
      <c r="V386">
        <v>0.43755444714969</v>
      </c>
      <c r="AC386">
        <v>1.19421</v>
      </c>
    </row>
    <row r="387" spans="1:38" hidden="1" x14ac:dyDescent="0.3">
      <c r="A387" t="s">
        <v>45</v>
      </c>
      <c r="B387">
        <v>2065</v>
      </c>
      <c r="J387">
        <v>1.116011312316</v>
      </c>
      <c r="R387">
        <v>28.960774597444001</v>
      </c>
      <c r="S387">
        <v>1.3795106940659001</v>
      </c>
      <c r="U387">
        <v>0</v>
      </c>
      <c r="V387">
        <v>0.44856126928194001</v>
      </c>
      <c r="AC387">
        <v>0.18636</v>
      </c>
    </row>
    <row r="388" spans="1:38" hidden="1" x14ac:dyDescent="0.3">
      <c r="A388" t="s">
        <v>45</v>
      </c>
      <c r="B388">
        <v>2066</v>
      </c>
      <c r="J388">
        <v>1.06145947531</v>
      </c>
      <c r="R388">
        <v>28.934099443531998</v>
      </c>
      <c r="S388">
        <v>1.3782747242469999</v>
      </c>
      <c r="U388">
        <v>0</v>
      </c>
      <c r="V388">
        <v>0.45956809141419003</v>
      </c>
      <c r="AC388">
        <v>16.112919999999999</v>
      </c>
    </row>
    <row r="389" spans="1:38" hidden="1" x14ac:dyDescent="0.3">
      <c r="A389" t="s">
        <v>45</v>
      </c>
      <c r="B389">
        <v>2067</v>
      </c>
      <c r="J389">
        <v>1.0025088045663999</v>
      </c>
      <c r="R389">
        <v>28.923147726250001</v>
      </c>
      <c r="S389">
        <v>1.3782156668584</v>
      </c>
      <c r="U389">
        <v>0</v>
      </c>
      <c r="V389">
        <v>0.47057491354643999</v>
      </c>
      <c r="AC389">
        <v>6.4900000000000001E-3</v>
      </c>
    </row>
    <row r="390" spans="1:38" hidden="1" x14ac:dyDescent="0.3">
      <c r="A390" t="s">
        <v>45</v>
      </c>
      <c r="B390">
        <v>2068</v>
      </c>
      <c r="J390">
        <v>0.94499193778613999</v>
      </c>
      <c r="R390">
        <v>28.928003063293001</v>
      </c>
      <c r="S390">
        <v>1.3794671473783999</v>
      </c>
      <c r="U390">
        <v>0</v>
      </c>
      <c r="V390">
        <v>0.48158173567869</v>
      </c>
      <c r="AC390">
        <v>6.4900000000000001E-3</v>
      </c>
    </row>
    <row r="391" spans="1:38" hidden="1" x14ac:dyDescent="0.3">
      <c r="A391" t="s">
        <v>45</v>
      </c>
      <c r="B391">
        <v>2069</v>
      </c>
      <c r="J391">
        <v>0.88566225058047998</v>
      </c>
      <c r="R391">
        <v>28.947616450963999</v>
      </c>
      <c r="S391">
        <v>1.3821136102633</v>
      </c>
      <c r="U391">
        <v>0</v>
      </c>
      <c r="V391">
        <v>0.49258855781095001</v>
      </c>
      <c r="AC391">
        <v>6.4900000000000001E-3</v>
      </c>
    </row>
    <row r="392" spans="1:38" hidden="1" x14ac:dyDescent="0.3">
      <c r="A392" t="s">
        <v>45</v>
      </c>
      <c r="B392">
        <v>2070</v>
      </c>
      <c r="J392">
        <v>0.81969402092888999</v>
      </c>
      <c r="R392">
        <v>28.991560701116001</v>
      </c>
      <c r="S392">
        <v>1.3862661387748001</v>
      </c>
      <c r="U392">
        <v>0</v>
      </c>
      <c r="V392">
        <v>0.50359537994320003</v>
      </c>
      <c r="AC392">
        <v>6.4900000000000001E-3</v>
      </c>
    </row>
    <row r="393" spans="1:38" hidden="1" x14ac:dyDescent="0.3">
      <c r="A393" t="s">
        <v>45</v>
      </c>
      <c r="B393">
        <v>2071</v>
      </c>
      <c r="V393">
        <v>0.51460220207545004</v>
      </c>
    </row>
    <row r="394" spans="1:38" hidden="1" x14ac:dyDescent="0.3">
      <c r="A394" t="s">
        <v>46</v>
      </c>
      <c r="B394">
        <v>0</v>
      </c>
      <c r="AD394">
        <v>8.5082320900636998E-2</v>
      </c>
      <c r="AE394">
        <v>-0.11268673785074999</v>
      </c>
      <c r="AF394">
        <v>-6.7408564463061996E-2</v>
      </c>
      <c r="AG394">
        <v>1</v>
      </c>
      <c r="AH394">
        <v>0</v>
      </c>
      <c r="AI394">
        <v>3.0357968421053001</v>
      </c>
      <c r="AJ394">
        <v>4.1272543859648998</v>
      </c>
      <c r="AK394">
        <v>2.1578473684211001</v>
      </c>
      <c r="AL394">
        <v>0.48599999999999999</v>
      </c>
    </row>
    <row r="395" spans="1:38" hidden="1" x14ac:dyDescent="0.3">
      <c r="A395" t="s">
        <v>46</v>
      </c>
      <c r="B395">
        <v>2024</v>
      </c>
      <c r="C395">
        <v>9.33</v>
      </c>
      <c r="D395">
        <v>23.606400000000001</v>
      </c>
      <c r="E395">
        <v>39.510069999999999</v>
      </c>
      <c r="F395">
        <v>3.4625998159621001</v>
      </c>
      <c r="G395">
        <v>28.89190812887</v>
      </c>
      <c r="H395">
        <v>-0.26101360490566999</v>
      </c>
      <c r="I395">
        <v>30.185752458791001</v>
      </c>
      <c r="J395">
        <v>0.13373069955049</v>
      </c>
      <c r="K395">
        <v>3.7333579893929998</v>
      </c>
      <c r="L395">
        <v>2.9323319626384001</v>
      </c>
      <c r="M395">
        <v>-0.93216670000000001</v>
      </c>
      <c r="N395">
        <v>1.151</v>
      </c>
      <c r="O395">
        <v>-1.5221423999999999</v>
      </c>
      <c r="P395">
        <v>1.018</v>
      </c>
      <c r="Q395">
        <v>43.398523400000002</v>
      </c>
      <c r="R395">
        <v>17.333989031735001</v>
      </c>
      <c r="S395">
        <v>8.481566795329E-2</v>
      </c>
      <c r="U395">
        <v>0</v>
      </c>
      <c r="V395">
        <v>0</v>
      </c>
      <c r="W395">
        <v>3.0242485000000001</v>
      </c>
      <c r="X395">
        <v>3.1920000000000002</v>
      </c>
      <c r="Y395">
        <v>3.5466666666667002</v>
      </c>
      <c r="Z395">
        <v>1</v>
      </c>
      <c r="AA395">
        <v>1.0823804690000001</v>
      </c>
    </row>
    <row r="396" spans="1:38" hidden="1" x14ac:dyDescent="0.3">
      <c r="A396" t="s">
        <v>46</v>
      </c>
      <c r="B396">
        <v>2025</v>
      </c>
      <c r="C396">
        <v>9.89</v>
      </c>
      <c r="D396">
        <v>23.839500000000001</v>
      </c>
      <c r="E396">
        <v>41.501469999999998</v>
      </c>
      <c r="F396">
        <v>5.0402340466620004</v>
      </c>
      <c r="G396">
        <v>29.206059111963</v>
      </c>
      <c r="H396">
        <v>1.0873320712923</v>
      </c>
      <c r="I396">
        <v>30.232390334335999</v>
      </c>
      <c r="J396">
        <v>0.15450294177202001</v>
      </c>
      <c r="K396">
        <v>3.9103759475044</v>
      </c>
      <c r="L396">
        <v>2.4767093808285998</v>
      </c>
      <c r="M396">
        <v>-0.81908539999999996</v>
      </c>
      <c r="N396">
        <v>0.83079999999999998</v>
      </c>
      <c r="O396">
        <v>-1.3659033</v>
      </c>
      <c r="P396">
        <v>0</v>
      </c>
      <c r="Q396">
        <v>44.629516500000001</v>
      </c>
      <c r="R396">
        <v>17.379168448205998</v>
      </c>
      <c r="S396">
        <v>9.5930716973152003E-2</v>
      </c>
      <c r="U396">
        <v>0</v>
      </c>
      <c r="V396">
        <v>1.0491831228137001E-2</v>
      </c>
      <c r="W396">
        <v>2.4331518000000001</v>
      </c>
      <c r="X396">
        <v>2.6549999999999998</v>
      </c>
      <c r="Y396">
        <v>3.3980000000000001</v>
      </c>
      <c r="Z396">
        <v>1</v>
      </c>
      <c r="AA396">
        <v>1.113519535</v>
      </c>
      <c r="AC396">
        <v>0.33400000000000002</v>
      </c>
    </row>
    <row r="397" spans="1:38" hidden="1" x14ac:dyDescent="0.3">
      <c r="A397" t="s">
        <v>46</v>
      </c>
      <c r="B397">
        <v>2026</v>
      </c>
      <c r="C397">
        <v>11.04</v>
      </c>
      <c r="D397">
        <v>25.362500000000001</v>
      </c>
      <c r="E397">
        <v>43.527189999999997</v>
      </c>
      <c r="F397">
        <v>4.8810801159572996</v>
      </c>
      <c r="G397">
        <v>29.866577596791</v>
      </c>
      <c r="H397">
        <v>2.2615803189885</v>
      </c>
      <c r="I397">
        <v>30.333754717605999</v>
      </c>
      <c r="J397">
        <v>0.33528405180419002</v>
      </c>
      <c r="K397">
        <v>2.5615704242341999</v>
      </c>
      <c r="L397">
        <v>2.0119566334671002</v>
      </c>
      <c r="M397">
        <v>-1.8452101000000001</v>
      </c>
      <c r="N397">
        <v>-1.0967</v>
      </c>
      <c r="O397">
        <v>-2.4256555</v>
      </c>
      <c r="P397">
        <v>0.09</v>
      </c>
      <c r="Q397">
        <v>44.694582599999997</v>
      </c>
      <c r="R397">
        <v>17.389954695010999</v>
      </c>
      <c r="S397">
        <v>9.5804082970584001E-2</v>
      </c>
      <c r="U397">
        <v>0</v>
      </c>
      <c r="V397">
        <v>9.7416667267679995E-3</v>
      </c>
      <c r="W397">
        <v>2.5536447</v>
      </c>
      <c r="Z397">
        <v>1</v>
      </c>
      <c r="AA397">
        <v>1.1346799999999999</v>
      </c>
      <c r="AC397">
        <v>0.2</v>
      </c>
    </row>
    <row r="398" spans="1:38" hidden="1" x14ac:dyDescent="0.3">
      <c r="A398" t="s">
        <v>46</v>
      </c>
      <c r="B398">
        <v>2027</v>
      </c>
      <c r="G398">
        <v>30.179386373408001</v>
      </c>
      <c r="H398">
        <v>1.0473539380376</v>
      </c>
      <c r="I398">
        <v>30.492467367256001</v>
      </c>
      <c r="J398">
        <v>0.52322124685010996</v>
      </c>
      <c r="R398">
        <v>17.407460890633001</v>
      </c>
      <c r="S398">
        <v>9.8113351252358996E-2</v>
      </c>
      <c r="U398">
        <v>0</v>
      </c>
      <c r="V398">
        <v>1.1427504941820999E-2</v>
      </c>
      <c r="AC398">
        <v>0</v>
      </c>
    </row>
    <row r="399" spans="1:38" hidden="1" x14ac:dyDescent="0.3">
      <c r="A399" t="s">
        <v>46</v>
      </c>
      <c r="B399">
        <v>2028</v>
      </c>
      <c r="G399">
        <v>30.40278274424</v>
      </c>
      <c r="H399">
        <v>0.74022834019112005</v>
      </c>
      <c r="I399">
        <v>30.559668233151999</v>
      </c>
      <c r="J399">
        <v>0.22038513671876001</v>
      </c>
      <c r="R399">
        <v>17.450643535825002</v>
      </c>
      <c r="S399">
        <v>0.10001353081265001</v>
      </c>
      <c r="U399">
        <v>0</v>
      </c>
      <c r="V399">
        <v>1.2705330736935E-2</v>
      </c>
      <c r="AC399">
        <v>0</v>
      </c>
    </row>
    <row r="400" spans="1:38" hidden="1" x14ac:dyDescent="0.3">
      <c r="A400" t="s">
        <v>46</v>
      </c>
      <c r="B400">
        <v>2029</v>
      </c>
      <c r="G400">
        <v>30.644838409334</v>
      </c>
      <c r="H400">
        <v>0.79616286157167004</v>
      </c>
      <c r="I400">
        <v>30.644838409334</v>
      </c>
      <c r="J400">
        <v>0.27870124614026998</v>
      </c>
      <c r="R400">
        <v>17.425827821854</v>
      </c>
      <c r="S400">
        <v>0.10121281789148</v>
      </c>
      <c r="U400">
        <v>0</v>
      </c>
      <c r="V400">
        <v>1.3281160965562E-2</v>
      </c>
      <c r="AC400">
        <v>0</v>
      </c>
    </row>
    <row r="401" spans="1:29" hidden="1" x14ac:dyDescent="0.3">
      <c r="A401" t="s">
        <v>46</v>
      </c>
      <c r="B401">
        <v>2030</v>
      </c>
      <c r="J401">
        <v>0.49931127064733</v>
      </c>
      <c r="R401">
        <v>17.384347615271999</v>
      </c>
      <c r="S401">
        <v>0.10221711962849001</v>
      </c>
      <c r="U401">
        <v>0</v>
      </c>
      <c r="V401">
        <v>1.3661995530128E-2</v>
      </c>
      <c r="AC401">
        <v>1.5</v>
      </c>
    </row>
    <row r="402" spans="1:29" hidden="1" x14ac:dyDescent="0.3">
      <c r="A402" t="s">
        <v>46</v>
      </c>
      <c r="B402">
        <v>2031</v>
      </c>
      <c r="J402">
        <v>0.71992129515437997</v>
      </c>
      <c r="R402">
        <v>17.331356247753</v>
      </c>
      <c r="S402">
        <v>0.10320887607909</v>
      </c>
      <c r="U402">
        <v>0</v>
      </c>
      <c r="V402">
        <v>1.4030838385224001E-2</v>
      </c>
      <c r="AC402">
        <v>0</v>
      </c>
    </row>
    <row r="403" spans="1:29" hidden="1" x14ac:dyDescent="0.3">
      <c r="A403" t="s">
        <v>46</v>
      </c>
      <c r="B403">
        <v>2032</v>
      </c>
      <c r="J403">
        <v>0.94053131966143999</v>
      </c>
      <c r="R403">
        <v>17.279792453369001</v>
      </c>
      <c r="S403">
        <v>0.10415278044626999</v>
      </c>
      <c r="U403">
        <v>0</v>
      </c>
      <c r="V403">
        <v>1.4351671561599E-2</v>
      </c>
      <c r="AC403">
        <v>1.5</v>
      </c>
    </row>
    <row r="404" spans="1:29" hidden="1" x14ac:dyDescent="0.3">
      <c r="A404" t="s">
        <v>46</v>
      </c>
      <c r="B404">
        <v>2033</v>
      </c>
      <c r="J404">
        <v>1.1611413441684999</v>
      </c>
      <c r="R404">
        <v>17.232945837778001</v>
      </c>
      <c r="S404">
        <v>0.1052441145608</v>
      </c>
      <c r="U404">
        <v>0</v>
      </c>
      <c r="V404">
        <v>1.4819502830505E-2</v>
      </c>
      <c r="AC404">
        <v>0</v>
      </c>
    </row>
    <row r="405" spans="1:29" hidden="1" x14ac:dyDescent="0.3">
      <c r="A405" t="s">
        <v>46</v>
      </c>
      <c r="B405">
        <v>2034</v>
      </c>
      <c r="J405">
        <v>1.3817513686756</v>
      </c>
      <c r="R405">
        <v>17.198736750845001</v>
      </c>
      <c r="S405">
        <v>0.10647256543736</v>
      </c>
      <c r="U405">
        <v>0</v>
      </c>
      <c r="V405">
        <v>1.5425331890583E-2</v>
      </c>
      <c r="AC405">
        <v>1</v>
      </c>
    </row>
    <row r="406" spans="1:29" hidden="1" x14ac:dyDescent="0.3">
      <c r="A406" t="s">
        <v>46</v>
      </c>
      <c r="B406">
        <v>2035</v>
      </c>
      <c r="J406">
        <v>1.6023613931826</v>
      </c>
      <c r="R406">
        <v>17.178303601353999</v>
      </c>
      <c r="S406">
        <v>0.10790356836496</v>
      </c>
      <c r="U406">
        <v>0</v>
      </c>
      <c r="V406">
        <v>1.6465610909190999E-2</v>
      </c>
      <c r="AC406">
        <v>0</v>
      </c>
    </row>
    <row r="407" spans="1:29" hidden="1" x14ac:dyDescent="0.3">
      <c r="A407" t="s">
        <v>46</v>
      </c>
      <c r="B407">
        <v>2036</v>
      </c>
      <c r="J407">
        <v>1.8229714176897001</v>
      </c>
      <c r="R407">
        <v>17.157811614460002</v>
      </c>
      <c r="S407">
        <v>0.1094688925507</v>
      </c>
      <c r="U407">
        <v>0</v>
      </c>
      <c r="V407">
        <v>1.7505889927799001E-2</v>
      </c>
      <c r="AC407">
        <v>0</v>
      </c>
    </row>
    <row r="408" spans="1:29" hidden="1" x14ac:dyDescent="0.3">
      <c r="A408" t="s">
        <v>46</v>
      </c>
      <c r="B408">
        <v>2037</v>
      </c>
      <c r="J408">
        <v>1.9168684808184</v>
      </c>
      <c r="R408">
        <v>17.137503406261001</v>
      </c>
      <c r="S408">
        <v>0.11107354514919</v>
      </c>
      <c r="U408">
        <v>0</v>
      </c>
      <c r="V408">
        <v>1.8546168946407E-2</v>
      </c>
      <c r="AC408">
        <v>0</v>
      </c>
    </row>
    <row r="409" spans="1:29" hidden="1" x14ac:dyDescent="0.3">
      <c r="A409" t="s">
        <v>46</v>
      </c>
      <c r="B409">
        <v>2038</v>
      </c>
      <c r="J409">
        <v>1.9800806159947999</v>
      </c>
      <c r="R409">
        <v>17.116579627453</v>
      </c>
      <c r="S409">
        <v>0.11275956550668</v>
      </c>
      <c r="U409">
        <v>0</v>
      </c>
      <c r="V409">
        <v>1.9586447965014998E-2</v>
      </c>
      <c r="AC409">
        <v>0</v>
      </c>
    </row>
    <row r="410" spans="1:29" hidden="1" x14ac:dyDescent="0.3">
      <c r="A410" t="s">
        <v>46</v>
      </c>
      <c r="B410">
        <v>2039</v>
      </c>
      <c r="J410">
        <v>2.0045843030123001</v>
      </c>
      <c r="R410">
        <v>17.111650875281999</v>
      </c>
      <c r="S410">
        <v>0.11450930697664</v>
      </c>
      <c r="U410">
        <v>0</v>
      </c>
      <c r="V410">
        <v>2.0626726983623E-2</v>
      </c>
      <c r="AC410">
        <v>0</v>
      </c>
    </row>
    <row r="411" spans="1:29" hidden="1" x14ac:dyDescent="0.3">
      <c r="A411" t="s">
        <v>46</v>
      </c>
      <c r="B411">
        <v>2040</v>
      </c>
      <c r="J411">
        <v>2.0266948037036001</v>
      </c>
      <c r="R411">
        <v>17.104714043590999</v>
      </c>
      <c r="S411">
        <v>0.11640129536710001</v>
      </c>
      <c r="U411">
        <v>0</v>
      </c>
      <c r="V411">
        <v>2.1667006002230999E-2</v>
      </c>
      <c r="AC411">
        <v>0</v>
      </c>
    </row>
    <row r="412" spans="1:29" hidden="1" x14ac:dyDescent="0.3">
      <c r="A412" t="s">
        <v>46</v>
      </c>
      <c r="B412">
        <v>2041</v>
      </c>
      <c r="J412">
        <v>1.9902815841334001</v>
      </c>
      <c r="R412">
        <v>17.099982624753</v>
      </c>
      <c r="S412">
        <v>0.11836984828039999</v>
      </c>
      <c r="U412">
        <v>0</v>
      </c>
      <c r="V412">
        <v>2.2707285020839001E-2</v>
      </c>
      <c r="AC412">
        <v>0</v>
      </c>
    </row>
    <row r="413" spans="1:29" hidden="1" x14ac:dyDescent="0.3">
      <c r="A413" t="s">
        <v>46</v>
      </c>
      <c r="B413">
        <v>2042</v>
      </c>
      <c r="J413">
        <v>1.960701253039</v>
      </c>
      <c r="R413">
        <v>17.106662664182998</v>
      </c>
      <c r="S413">
        <v>0.12042883033181</v>
      </c>
      <c r="U413">
        <v>0</v>
      </c>
      <c r="V413">
        <v>2.3747564039447E-2</v>
      </c>
      <c r="AC413">
        <v>0</v>
      </c>
    </row>
    <row r="414" spans="1:29" hidden="1" x14ac:dyDescent="0.3">
      <c r="A414" t="s">
        <v>46</v>
      </c>
      <c r="B414">
        <v>2043</v>
      </c>
      <c r="J414">
        <v>1.9110132279394001</v>
      </c>
      <c r="R414">
        <v>17.119310649980001</v>
      </c>
      <c r="S414">
        <v>0.12254583891382</v>
      </c>
      <c r="U414">
        <v>0</v>
      </c>
      <c r="V414">
        <v>2.4787843058054999E-2</v>
      </c>
      <c r="AC414">
        <v>0</v>
      </c>
    </row>
    <row r="415" spans="1:29" hidden="1" x14ac:dyDescent="0.3">
      <c r="A415" t="s">
        <v>46</v>
      </c>
      <c r="B415">
        <v>2044</v>
      </c>
      <c r="J415">
        <v>1.8836281812910001</v>
      </c>
      <c r="R415">
        <v>17.138037164964</v>
      </c>
      <c r="S415">
        <v>0.12470118101776</v>
      </c>
      <c r="U415">
        <v>0</v>
      </c>
      <c r="V415">
        <v>2.5828122076663001E-2</v>
      </c>
      <c r="AC415">
        <v>0</v>
      </c>
    </row>
    <row r="416" spans="1:29" hidden="1" x14ac:dyDescent="0.3">
      <c r="A416" t="s">
        <v>46</v>
      </c>
      <c r="B416">
        <v>2045</v>
      </c>
      <c r="J416">
        <v>1.8473154472761</v>
      </c>
      <c r="R416">
        <v>17.154723260398001</v>
      </c>
      <c r="S416">
        <v>0.12681812433646</v>
      </c>
      <c r="U416">
        <v>0</v>
      </c>
      <c r="V416">
        <v>2.6868401095271E-2</v>
      </c>
      <c r="AC416">
        <v>0</v>
      </c>
    </row>
    <row r="417" spans="1:29" hidden="1" x14ac:dyDescent="0.3">
      <c r="A417" t="s">
        <v>46</v>
      </c>
      <c r="B417">
        <v>2046</v>
      </c>
      <c r="J417">
        <v>1.8194011185945</v>
      </c>
      <c r="R417">
        <v>17.168198290450999</v>
      </c>
      <c r="S417">
        <v>0.12889787103301001</v>
      </c>
      <c r="U417">
        <v>0</v>
      </c>
      <c r="V417">
        <v>2.7908680113879002E-2</v>
      </c>
      <c r="AC417">
        <v>0</v>
      </c>
    </row>
    <row r="418" spans="1:29" hidden="1" x14ac:dyDescent="0.3">
      <c r="A418" t="s">
        <v>46</v>
      </c>
      <c r="B418">
        <v>2047</v>
      </c>
      <c r="J418">
        <v>1.7793685395332</v>
      </c>
      <c r="R418">
        <v>17.184958371103999</v>
      </c>
      <c r="S418">
        <v>0.13103360845647999</v>
      </c>
      <c r="U418">
        <v>0</v>
      </c>
      <c r="V418">
        <v>2.8948959132487E-2</v>
      </c>
      <c r="AC418">
        <v>0</v>
      </c>
    </row>
    <row r="419" spans="1:29" hidden="1" x14ac:dyDescent="0.3">
      <c r="A419" t="s">
        <v>46</v>
      </c>
      <c r="B419">
        <v>2048</v>
      </c>
      <c r="J419">
        <v>1.7472819260326</v>
      </c>
      <c r="R419">
        <v>17.225859215854999</v>
      </c>
      <c r="S419">
        <v>0.13350302426551</v>
      </c>
      <c r="U419">
        <v>0</v>
      </c>
      <c r="V419">
        <v>2.9989238151094999E-2</v>
      </c>
      <c r="AC419">
        <v>0</v>
      </c>
    </row>
    <row r="420" spans="1:29" hidden="1" x14ac:dyDescent="0.3">
      <c r="A420" t="s">
        <v>46</v>
      </c>
      <c r="B420">
        <v>2049</v>
      </c>
      <c r="J420">
        <v>1.6710163659666</v>
      </c>
      <c r="R420">
        <v>17.253893123282001</v>
      </c>
      <c r="S420">
        <v>0.13582347564978001</v>
      </c>
      <c r="U420">
        <v>0</v>
      </c>
      <c r="V420">
        <v>3.1029517169703001E-2</v>
      </c>
      <c r="AC420">
        <v>0</v>
      </c>
    </row>
    <row r="421" spans="1:29" hidden="1" x14ac:dyDescent="0.3">
      <c r="A421" t="s">
        <v>46</v>
      </c>
      <c r="B421">
        <v>2050</v>
      </c>
      <c r="J421">
        <v>1.5955002509689999</v>
      </c>
      <c r="R421">
        <v>17.286218989733001</v>
      </c>
      <c r="S421">
        <v>0.13831781841463001</v>
      </c>
      <c r="U421">
        <v>0</v>
      </c>
      <c r="V421">
        <v>3.2069796188311003E-2</v>
      </c>
      <c r="AC421">
        <v>0</v>
      </c>
    </row>
    <row r="422" spans="1:29" hidden="1" x14ac:dyDescent="0.3">
      <c r="A422" t="s">
        <v>46</v>
      </c>
      <c r="B422">
        <v>2051</v>
      </c>
      <c r="J422">
        <v>1.5208007142012001</v>
      </c>
      <c r="R422">
        <v>17.325915177138</v>
      </c>
      <c r="S422">
        <v>0.14104056723757999</v>
      </c>
      <c r="U422">
        <v>0</v>
      </c>
      <c r="V422">
        <v>3.3110075206918999E-2</v>
      </c>
      <c r="AC422">
        <v>0</v>
      </c>
    </row>
    <row r="423" spans="1:29" hidden="1" x14ac:dyDescent="0.3">
      <c r="A423" t="s">
        <v>46</v>
      </c>
      <c r="B423">
        <v>2052</v>
      </c>
      <c r="J423">
        <v>1.4752696037598001</v>
      </c>
      <c r="R423">
        <v>17.369908655844998</v>
      </c>
      <c r="S423">
        <v>0.14385815557694001</v>
      </c>
      <c r="U423">
        <v>0</v>
      </c>
      <c r="V423">
        <v>3.4150354225527001E-2</v>
      </c>
      <c r="AC423">
        <v>0</v>
      </c>
    </row>
    <row r="424" spans="1:29" hidden="1" x14ac:dyDescent="0.3">
      <c r="A424" t="s">
        <v>46</v>
      </c>
      <c r="B424">
        <v>2053</v>
      </c>
      <c r="J424">
        <v>1.4335953529298999</v>
      </c>
      <c r="R424">
        <v>17.415523444321</v>
      </c>
      <c r="S424">
        <v>0.14686992112238001</v>
      </c>
      <c r="U424">
        <v>0</v>
      </c>
      <c r="V424">
        <v>3.5190633244135003E-2</v>
      </c>
      <c r="AC424">
        <v>0</v>
      </c>
    </row>
    <row r="425" spans="1:29" hidden="1" x14ac:dyDescent="0.3">
      <c r="A425" t="s">
        <v>46</v>
      </c>
      <c r="B425">
        <v>2054</v>
      </c>
      <c r="J425">
        <v>1.3901427794111001</v>
      </c>
      <c r="R425">
        <v>17.461822826352002</v>
      </c>
      <c r="S425">
        <v>0.14991783413050999</v>
      </c>
      <c r="U425">
        <v>0</v>
      </c>
      <c r="V425">
        <v>3.6230912262742998E-2</v>
      </c>
      <c r="AC425">
        <v>0</v>
      </c>
    </row>
    <row r="426" spans="1:29" hidden="1" x14ac:dyDescent="0.3">
      <c r="A426" t="s">
        <v>46</v>
      </c>
      <c r="B426">
        <v>2055</v>
      </c>
      <c r="J426">
        <v>1.3510641148235001</v>
      </c>
      <c r="R426">
        <v>17.508065927156</v>
      </c>
      <c r="S426">
        <v>0.15304290651801</v>
      </c>
      <c r="U426">
        <v>0</v>
      </c>
      <c r="V426">
        <v>3.7271191281351E-2</v>
      </c>
      <c r="AC426">
        <v>0</v>
      </c>
    </row>
    <row r="427" spans="1:29" hidden="1" x14ac:dyDescent="0.3">
      <c r="A427" t="s">
        <v>46</v>
      </c>
      <c r="B427">
        <v>2056</v>
      </c>
      <c r="J427">
        <v>1.3111147327263999</v>
      </c>
      <c r="R427">
        <v>17.560829761295999</v>
      </c>
      <c r="S427">
        <v>0.15646024370732001</v>
      </c>
      <c r="U427">
        <v>0</v>
      </c>
      <c r="V427">
        <v>3.8311470299959002E-2</v>
      </c>
      <c r="AC427">
        <v>0</v>
      </c>
    </row>
    <row r="428" spans="1:29" hidden="1" x14ac:dyDescent="0.3">
      <c r="A428" t="s">
        <v>46</v>
      </c>
      <c r="B428">
        <v>2057</v>
      </c>
      <c r="J428">
        <v>1.2980799673284</v>
      </c>
      <c r="R428">
        <v>17.608974792183002</v>
      </c>
      <c r="S428">
        <v>0.16002846514152</v>
      </c>
      <c r="U428">
        <v>0</v>
      </c>
      <c r="V428">
        <v>3.9351749318566998E-2</v>
      </c>
      <c r="AC428">
        <v>0</v>
      </c>
    </row>
    <row r="429" spans="1:29" hidden="1" x14ac:dyDescent="0.3">
      <c r="A429" t="s">
        <v>46</v>
      </c>
      <c r="B429">
        <v>2058</v>
      </c>
      <c r="J429">
        <v>1.2974358398459001</v>
      </c>
      <c r="R429">
        <v>17.654170232713</v>
      </c>
      <c r="S429">
        <v>0.163504811577</v>
      </c>
      <c r="U429">
        <v>0</v>
      </c>
      <c r="V429">
        <v>4.0392028337175E-2</v>
      </c>
      <c r="AC429">
        <v>0</v>
      </c>
    </row>
    <row r="430" spans="1:29" hidden="1" x14ac:dyDescent="0.3">
      <c r="A430" t="s">
        <v>46</v>
      </c>
      <c r="B430">
        <v>2059</v>
      </c>
      <c r="J430">
        <v>1.3179185713004999</v>
      </c>
      <c r="R430">
        <v>17.675032652510001</v>
      </c>
      <c r="S430">
        <v>0.16674988400051</v>
      </c>
      <c r="U430">
        <v>0</v>
      </c>
      <c r="V430">
        <v>4.1432307355783002E-2</v>
      </c>
      <c r="AC430">
        <v>0</v>
      </c>
    </row>
    <row r="431" spans="1:29" hidden="1" x14ac:dyDescent="0.3">
      <c r="A431" t="s">
        <v>46</v>
      </c>
      <c r="B431">
        <v>2060</v>
      </c>
      <c r="J431">
        <v>1.3466031616003999</v>
      </c>
      <c r="R431">
        <v>17.674143179032001</v>
      </c>
      <c r="S431">
        <v>0.16962801832641</v>
      </c>
      <c r="U431">
        <v>0</v>
      </c>
      <c r="V431">
        <v>4.2472586374390997E-2</v>
      </c>
      <c r="AC431">
        <v>0</v>
      </c>
    </row>
    <row r="432" spans="1:29" hidden="1" x14ac:dyDescent="0.3">
      <c r="A432" t="s">
        <v>46</v>
      </c>
      <c r="B432">
        <v>2061</v>
      </c>
      <c r="J432">
        <v>1.3881337459283001</v>
      </c>
      <c r="R432">
        <v>17.650196230879999</v>
      </c>
      <c r="S432">
        <v>0.17218040667767001</v>
      </c>
      <c r="U432">
        <v>0</v>
      </c>
      <c r="V432">
        <v>4.3512865392998999E-2</v>
      </c>
      <c r="AC432">
        <v>0</v>
      </c>
    </row>
    <row r="433" spans="1:38" hidden="1" x14ac:dyDescent="0.3">
      <c r="A433" t="s">
        <v>46</v>
      </c>
      <c r="B433">
        <v>2062</v>
      </c>
      <c r="J433">
        <v>1.4158401251981001</v>
      </c>
      <c r="R433">
        <v>17.608416389070001</v>
      </c>
      <c r="S433">
        <v>0.17445508083829001</v>
      </c>
      <c r="U433">
        <v>0</v>
      </c>
      <c r="V433">
        <v>4.4553144411607001E-2</v>
      </c>
      <c r="AC433">
        <v>0</v>
      </c>
    </row>
    <row r="434" spans="1:38" hidden="1" x14ac:dyDescent="0.3">
      <c r="A434" t="s">
        <v>46</v>
      </c>
      <c r="B434">
        <v>2063</v>
      </c>
      <c r="J434">
        <v>1.4451332126954</v>
      </c>
      <c r="R434">
        <v>17.549689304836001</v>
      </c>
      <c r="S434">
        <v>0.17627691890866001</v>
      </c>
      <c r="U434">
        <v>0</v>
      </c>
      <c r="V434">
        <v>4.5593423430214997E-2</v>
      </c>
      <c r="AC434">
        <v>0</v>
      </c>
    </row>
    <row r="435" spans="1:38" hidden="1" x14ac:dyDescent="0.3">
      <c r="A435" t="s">
        <v>46</v>
      </c>
      <c r="B435">
        <v>2064</v>
      </c>
      <c r="J435">
        <v>1.4794620529092</v>
      </c>
      <c r="R435">
        <v>17.469432830948001</v>
      </c>
      <c r="S435">
        <v>0.17785529132420999</v>
      </c>
      <c r="U435">
        <v>0</v>
      </c>
      <c r="V435">
        <v>4.6633702448822999E-2</v>
      </c>
      <c r="AC435">
        <v>0</v>
      </c>
    </row>
    <row r="436" spans="1:38" hidden="1" x14ac:dyDescent="0.3">
      <c r="A436" t="s">
        <v>46</v>
      </c>
      <c r="B436">
        <v>2065</v>
      </c>
      <c r="J436">
        <v>1.5063304928598</v>
      </c>
      <c r="R436">
        <v>17.386582596029001</v>
      </c>
      <c r="S436">
        <v>0.17948717422395</v>
      </c>
      <c r="U436">
        <v>0</v>
      </c>
      <c r="V436">
        <v>4.7673981467431001E-2</v>
      </c>
      <c r="AC436">
        <v>0</v>
      </c>
    </row>
    <row r="437" spans="1:38" hidden="1" x14ac:dyDescent="0.3">
      <c r="A437" t="s">
        <v>46</v>
      </c>
      <c r="B437">
        <v>2066</v>
      </c>
      <c r="J437">
        <v>1.5074285648623</v>
      </c>
      <c r="R437">
        <v>17.292844217511998</v>
      </c>
      <c r="S437">
        <v>0.18085963183008999</v>
      </c>
      <c r="U437">
        <v>0</v>
      </c>
      <c r="V437">
        <v>4.8714260486039003E-2</v>
      </c>
      <c r="AC437">
        <v>0</v>
      </c>
    </row>
    <row r="438" spans="1:38" hidden="1" x14ac:dyDescent="0.3">
      <c r="A438" t="s">
        <v>46</v>
      </c>
      <c r="B438">
        <v>2067</v>
      </c>
      <c r="J438">
        <v>1.4981819781057999</v>
      </c>
      <c r="R438">
        <v>17.191435222412998</v>
      </c>
      <c r="S438">
        <v>0.18223191150632001</v>
      </c>
      <c r="U438">
        <v>0</v>
      </c>
      <c r="V438">
        <v>4.9754539504646998E-2</v>
      </c>
      <c r="AC438">
        <v>0</v>
      </c>
    </row>
    <row r="439" spans="1:38" hidden="1" x14ac:dyDescent="0.3">
      <c r="A439" t="s">
        <v>46</v>
      </c>
      <c r="B439">
        <v>2068</v>
      </c>
      <c r="J439">
        <v>1.4785879451216</v>
      </c>
      <c r="R439">
        <v>17.087931528717</v>
      </c>
      <c r="S439">
        <v>0.18358550110470001</v>
      </c>
      <c r="U439">
        <v>0</v>
      </c>
      <c r="V439">
        <v>5.0794818523255E-2</v>
      </c>
      <c r="AC439">
        <v>0</v>
      </c>
    </row>
    <row r="440" spans="1:38" hidden="1" x14ac:dyDescent="0.3">
      <c r="A440" t="s">
        <v>46</v>
      </c>
      <c r="B440">
        <v>2069</v>
      </c>
      <c r="J440">
        <v>1.4443000592005999</v>
      </c>
      <c r="R440">
        <v>16.983394749931001</v>
      </c>
      <c r="S440">
        <v>0.18488223922943001</v>
      </c>
      <c r="U440">
        <v>0</v>
      </c>
      <c r="V440">
        <v>5.1835097541863003E-2</v>
      </c>
      <c r="AC440">
        <v>0</v>
      </c>
    </row>
    <row r="441" spans="1:38" hidden="1" x14ac:dyDescent="0.3">
      <c r="A441" t="s">
        <v>46</v>
      </c>
      <c r="B441">
        <v>2070</v>
      </c>
      <c r="J441">
        <v>1.3968089419683001</v>
      </c>
      <c r="R441">
        <v>16.883106614889002</v>
      </c>
      <c r="S441">
        <v>0.18637604126099</v>
      </c>
      <c r="U441">
        <v>0</v>
      </c>
      <c r="V441">
        <v>5.2875376560470998E-2</v>
      </c>
      <c r="AC441">
        <v>0</v>
      </c>
    </row>
    <row r="442" spans="1:38" hidden="1" x14ac:dyDescent="0.3">
      <c r="A442" t="s">
        <v>46</v>
      </c>
      <c r="B442">
        <v>2071</v>
      </c>
      <c r="V442">
        <v>5.3915655579079E-2</v>
      </c>
    </row>
    <row r="443" spans="1:38" x14ac:dyDescent="0.3">
      <c r="A443" t="s">
        <v>47</v>
      </c>
      <c r="B443">
        <v>0</v>
      </c>
      <c r="AD443">
        <v>0.11725305229951</v>
      </c>
      <c r="AE443">
        <v>4.7148195496115999E-2</v>
      </c>
      <c r="AF443">
        <v>4.0064811019381003E-2</v>
      </c>
      <c r="AG443">
        <v>0.97981482216663995</v>
      </c>
      <c r="AH443">
        <v>0</v>
      </c>
      <c r="AI443">
        <v>3.1894921052631999</v>
      </c>
      <c r="AJ443">
        <v>3.8424447368421002</v>
      </c>
      <c r="AK443">
        <v>2.1578473684211001</v>
      </c>
      <c r="AL443">
        <v>0.58199999999999996</v>
      </c>
    </row>
    <row r="444" spans="1:38" x14ac:dyDescent="0.3">
      <c r="A444" t="s">
        <v>47</v>
      </c>
      <c r="B444">
        <v>2024</v>
      </c>
      <c r="C444">
        <v>226.7</v>
      </c>
      <c r="D444">
        <v>82.0869</v>
      </c>
      <c r="E444">
        <v>276.17200000000003</v>
      </c>
      <c r="F444">
        <v>1.2427506213752999</v>
      </c>
      <c r="G444">
        <v>241.92497379775</v>
      </c>
      <c r="H444">
        <v>-0.13406176479609</v>
      </c>
      <c r="I444">
        <v>249.24125050974999</v>
      </c>
      <c r="J444">
        <v>0.59940843981321001</v>
      </c>
      <c r="K444">
        <v>1.3786606995766999</v>
      </c>
      <c r="L444">
        <v>2.9323319626384001</v>
      </c>
      <c r="M444">
        <v>-2.8304825</v>
      </c>
      <c r="N444">
        <v>-1.1221000000000001</v>
      </c>
      <c r="O444">
        <v>-4.4026911000000002</v>
      </c>
      <c r="P444">
        <v>3</v>
      </c>
      <c r="Q444">
        <v>56.0672335</v>
      </c>
      <c r="R444">
        <v>26.763874585854001</v>
      </c>
      <c r="S444">
        <v>2.8028314917127002</v>
      </c>
      <c r="T444">
        <v>1.5690607734807001</v>
      </c>
      <c r="U444">
        <v>0</v>
      </c>
      <c r="V444">
        <v>0</v>
      </c>
      <c r="W444">
        <v>2.0525766000000001</v>
      </c>
      <c r="X444">
        <v>3.3140000000000001</v>
      </c>
      <c r="Y444">
        <v>2.8528333333333</v>
      </c>
      <c r="Z444">
        <v>1</v>
      </c>
      <c r="AA444">
        <v>1.0823804690000001</v>
      </c>
    </row>
    <row r="445" spans="1:38" x14ac:dyDescent="0.3">
      <c r="A445" t="s">
        <v>47</v>
      </c>
      <c r="B445">
        <v>2025</v>
      </c>
      <c r="C445">
        <v>243</v>
      </c>
      <c r="D445">
        <v>85.586100000000002</v>
      </c>
      <c r="E445">
        <v>283.88470000000001</v>
      </c>
      <c r="F445">
        <v>2.7927161334241002</v>
      </c>
      <c r="G445">
        <v>244.28607865742001</v>
      </c>
      <c r="H445">
        <v>0.97596573954278998</v>
      </c>
      <c r="I445">
        <v>250.48591675525</v>
      </c>
      <c r="J445">
        <v>0.49938212192191</v>
      </c>
      <c r="K445">
        <v>1.7992060473535001</v>
      </c>
      <c r="L445">
        <v>2.4767093808285998</v>
      </c>
      <c r="M445">
        <v>-2.2289940000000001</v>
      </c>
      <c r="N445">
        <v>-0.78849999999999998</v>
      </c>
      <c r="O445">
        <v>-3.7294276000000002</v>
      </c>
      <c r="P445">
        <v>5.68</v>
      </c>
      <c r="Q445">
        <v>56.034428499999997</v>
      </c>
      <c r="R445">
        <v>26.698329985720999</v>
      </c>
      <c r="S445">
        <v>2.7870924817032998</v>
      </c>
      <c r="T445">
        <v>1.5851630073187</v>
      </c>
      <c r="U445">
        <v>0</v>
      </c>
      <c r="V445">
        <v>-1.7649188637733002E-2</v>
      </c>
      <c r="W445">
        <v>1.8789075</v>
      </c>
      <c r="X445">
        <v>2.6890000000000001</v>
      </c>
      <c r="Y445">
        <v>2.9550000000000001</v>
      </c>
      <c r="Z445">
        <v>1</v>
      </c>
      <c r="AA445">
        <v>1.113519535</v>
      </c>
      <c r="AC445">
        <v>12.338727206</v>
      </c>
    </row>
    <row r="446" spans="1:38" x14ac:dyDescent="0.3">
      <c r="A446" t="s">
        <v>47</v>
      </c>
      <c r="B446">
        <v>2026</v>
      </c>
      <c r="C446">
        <v>256</v>
      </c>
      <c r="D446">
        <v>87.534300000000002</v>
      </c>
      <c r="E446">
        <v>292.41460000000001</v>
      </c>
      <c r="F446">
        <v>3.0047057837212998</v>
      </c>
      <c r="G446">
        <v>247.40544764824</v>
      </c>
      <c r="H446">
        <v>1.2769327699588</v>
      </c>
      <c r="I446">
        <v>251.68935313946</v>
      </c>
      <c r="J446">
        <v>0.48044073686906003</v>
      </c>
      <c r="K446">
        <v>1.7059800929224</v>
      </c>
      <c r="L446">
        <v>2.0119566334671002</v>
      </c>
      <c r="M446">
        <v>-1.7331555000000001</v>
      </c>
      <c r="N446">
        <v>-0.74260000000000004</v>
      </c>
      <c r="O446">
        <v>-3.4447371000000002</v>
      </c>
      <c r="P446">
        <v>2.92</v>
      </c>
      <c r="Q446">
        <v>55.440355799999999</v>
      </c>
      <c r="R446">
        <v>26.686050762118001</v>
      </c>
      <c r="S446">
        <v>2.7769922879176998</v>
      </c>
      <c r="T446">
        <v>1.4196658097685999</v>
      </c>
      <c r="U446">
        <v>0</v>
      </c>
      <c r="V446">
        <v>-2.9659405350685002E-2</v>
      </c>
      <c r="W446">
        <v>2.0599242000000002</v>
      </c>
      <c r="Z446">
        <v>1</v>
      </c>
      <c r="AA446">
        <v>1.1346799999999999</v>
      </c>
      <c r="AC446">
        <v>14.937872572</v>
      </c>
    </row>
    <row r="447" spans="1:38" x14ac:dyDescent="0.3">
      <c r="A447" t="s">
        <v>47</v>
      </c>
      <c r="B447">
        <v>2027</v>
      </c>
      <c r="G447">
        <v>250.39041199997001</v>
      </c>
      <c r="H447">
        <v>1.2065071242764001</v>
      </c>
      <c r="I447">
        <v>253.26421911030999</v>
      </c>
      <c r="J447">
        <v>0.62571815263801001</v>
      </c>
      <c r="R447">
        <v>26.719973864863999</v>
      </c>
      <c r="S447">
        <v>2.7710469089779002</v>
      </c>
      <c r="T447">
        <v>1.4022988505747001</v>
      </c>
      <c r="U447">
        <v>0</v>
      </c>
      <c r="V447">
        <v>-3.7514619529246999E-2</v>
      </c>
      <c r="AC447">
        <v>13.98645441</v>
      </c>
    </row>
    <row r="448" spans="1:38" x14ac:dyDescent="0.3">
      <c r="A448" t="s">
        <v>47</v>
      </c>
      <c r="B448">
        <v>2028</v>
      </c>
      <c r="G448">
        <v>253.38034501671001</v>
      </c>
      <c r="H448">
        <v>1.1941084296586</v>
      </c>
      <c r="I448">
        <v>254.82611001549</v>
      </c>
      <c r="J448">
        <v>0.61670413241370003</v>
      </c>
      <c r="R448">
        <v>26.831005703568</v>
      </c>
      <c r="S448">
        <v>2.7846153846154</v>
      </c>
      <c r="T448">
        <v>1.3360482654600001</v>
      </c>
      <c r="U448">
        <v>0</v>
      </c>
      <c r="V448">
        <v>-2.5856763124466001E-2</v>
      </c>
      <c r="AC448">
        <v>17.088012201000002</v>
      </c>
    </row>
    <row r="449" spans="1:29" x14ac:dyDescent="0.3">
      <c r="A449" t="s">
        <v>47</v>
      </c>
      <c r="B449">
        <v>2029</v>
      </c>
      <c r="G449">
        <v>256.67710654997001</v>
      </c>
      <c r="H449">
        <v>1.3011117863287001</v>
      </c>
      <c r="I449">
        <v>256.67710654997001</v>
      </c>
      <c r="J449">
        <v>0.72637632555121001</v>
      </c>
      <c r="R449">
        <v>26.961044552248001</v>
      </c>
      <c r="S449">
        <v>2.8014059753953999</v>
      </c>
      <c r="T449">
        <v>1.2568834212068001</v>
      </c>
      <c r="U449">
        <v>0</v>
      </c>
      <c r="V449">
        <v>-1.097597181797E-2</v>
      </c>
      <c r="AC449">
        <v>18.145782689000001</v>
      </c>
    </row>
    <row r="450" spans="1:29" x14ac:dyDescent="0.3">
      <c r="A450" t="s">
        <v>47</v>
      </c>
      <c r="B450">
        <v>2030</v>
      </c>
      <c r="J450">
        <v>0.80842865903924999</v>
      </c>
      <c r="R450">
        <v>27.042419391738001</v>
      </c>
      <c r="S450">
        <v>2.8101193860147999</v>
      </c>
      <c r="T450">
        <v>1.1984081864695999</v>
      </c>
      <c r="U450">
        <v>0</v>
      </c>
      <c r="V450">
        <v>-4.1730999946594004E-3</v>
      </c>
      <c r="AC450">
        <v>14.342181616</v>
      </c>
    </row>
    <row r="451" spans="1:29" x14ac:dyDescent="0.3">
      <c r="A451" t="s">
        <v>47</v>
      </c>
      <c r="B451">
        <v>2031</v>
      </c>
      <c r="J451">
        <v>0.89048099252727997</v>
      </c>
      <c r="R451">
        <v>27.101806378527002</v>
      </c>
      <c r="S451">
        <v>2.8135686707115002</v>
      </c>
      <c r="T451">
        <v>1.1679536679536999</v>
      </c>
      <c r="U451">
        <v>0</v>
      </c>
      <c r="V451">
        <v>-2.6333183050156E-3</v>
      </c>
      <c r="AC451">
        <v>11.353999999999999</v>
      </c>
    </row>
    <row r="452" spans="1:29" x14ac:dyDescent="0.3">
      <c r="A452" t="s">
        <v>47</v>
      </c>
      <c r="B452">
        <v>2032</v>
      </c>
      <c r="J452">
        <v>0.97253332601530995</v>
      </c>
      <c r="R452">
        <v>27.133592708719998</v>
      </c>
      <c r="S452">
        <v>2.8111794597486002</v>
      </c>
      <c r="T452">
        <v>1.1519122760095999</v>
      </c>
      <c r="U452">
        <v>0</v>
      </c>
      <c r="V452">
        <v>-6.9336742162703999E-3</v>
      </c>
      <c r="AC452">
        <v>7.3120000000000003</v>
      </c>
    </row>
    <row r="453" spans="1:29" x14ac:dyDescent="0.3">
      <c r="A453" t="s">
        <v>47</v>
      </c>
      <c r="B453">
        <v>2033</v>
      </c>
      <c r="J453">
        <v>1.0545856595033001</v>
      </c>
      <c r="R453">
        <v>27.121455399142999</v>
      </c>
      <c r="S453">
        <v>2.8024371273009998</v>
      </c>
      <c r="T453">
        <v>1.1635986518018999</v>
      </c>
      <c r="U453">
        <v>0</v>
      </c>
      <c r="V453">
        <v>-1.7585836350918E-2</v>
      </c>
      <c r="AC453">
        <v>9.6739999999999995</v>
      </c>
    </row>
    <row r="454" spans="1:29" x14ac:dyDescent="0.3">
      <c r="A454" t="s">
        <v>47</v>
      </c>
      <c r="B454">
        <v>2034</v>
      </c>
      <c r="J454">
        <v>1.1366379929913999</v>
      </c>
      <c r="R454">
        <v>27.109037904474999</v>
      </c>
      <c r="S454">
        <v>2.7929648241206002</v>
      </c>
      <c r="T454">
        <v>1.186432160804</v>
      </c>
      <c r="U454">
        <v>0</v>
      </c>
      <c r="V454">
        <v>-2.8967969119548999E-2</v>
      </c>
      <c r="AC454">
        <v>15.43945441</v>
      </c>
    </row>
    <row r="455" spans="1:29" x14ac:dyDescent="0.3">
      <c r="A455" t="s">
        <v>47</v>
      </c>
      <c r="B455">
        <v>2035</v>
      </c>
      <c r="J455">
        <v>1.2186903264794</v>
      </c>
      <c r="R455">
        <v>27.084889971599001</v>
      </c>
      <c r="S455">
        <v>2.7802919708028999</v>
      </c>
      <c r="T455">
        <v>1.2201946472019001</v>
      </c>
      <c r="U455">
        <v>0</v>
      </c>
      <c r="V455">
        <v>-2.8831268914721001E-2</v>
      </c>
      <c r="AC455">
        <v>0</v>
      </c>
    </row>
    <row r="456" spans="1:29" x14ac:dyDescent="0.3">
      <c r="A456" t="s">
        <v>47</v>
      </c>
      <c r="B456">
        <v>2036</v>
      </c>
      <c r="J456">
        <v>1.3007426599673999</v>
      </c>
      <c r="R456">
        <v>27.041175542062</v>
      </c>
      <c r="S456">
        <v>2.7640131888837001</v>
      </c>
      <c r="T456">
        <v>1.2724917569476999</v>
      </c>
      <c r="U456">
        <v>0</v>
      </c>
      <c r="V456">
        <v>-2.8694568709894001E-2</v>
      </c>
      <c r="AC456">
        <v>5.1529999999999996</v>
      </c>
    </row>
    <row r="457" spans="1:29" x14ac:dyDescent="0.3">
      <c r="A457" t="s">
        <v>47</v>
      </c>
      <c r="B457">
        <v>2037</v>
      </c>
      <c r="J457">
        <v>1.3750090832358</v>
      </c>
      <c r="R457">
        <v>26.973916425557</v>
      </c>
      <c r="S457">
        <v>2.7431109086768002</v>
      </c>
      <c r="T457">
        <v>1.3450239125484</v>
      </c>
      <c r="U457">
        <v>0</v>
      </c>
      <c r="V457">
        <v>-2.8557868505066E-2</v>
      </c>
      <c r="AC457">
        <v>0</v>
      </c>
    </row>
    <row r="458" spans="1:29" x14ac:dyDescent="0.3">
      <c r="A458" t="s">
        <v>47</v>
      </c>
      <c r="B458">
        <v>2038</v>
      </c>
      <c r="J458">
        <v>1.4239523781672001</v>
      </c>
      <c r="R458">
        <v>26.888859504422999</v>
      </c>
      <c r="S458">
        <v>2.7201673271686002</v>
      </c>
      <c r="T458">
        <v>1.4341699691765999</v>
      </c>
      <c r="U458">
        <v>0</v>
      </c>
      <c r="V458">
        <v>-2.8421168300239E-2</v>
      </c>
      <c r="AC458">
        <v>4.6630000000000003</v>
      </c>
    </row>
    <row r="459" spans="1:29" x14ac:dyDescent="0.3">
      <c r="A459" t="s">
        <v>47</v>
      </c>
      <c r="B459">
        <v>2039</v>
      </c>
      <c r="J459">
        <v>1.4860430538331</v>
      </c>
      <c r="R459">
        <v>26.786510913381001</v>
      </c>
      <c r="S459">
        <v>2.6941726924712999</v>
      </c>
      <c r="T459">
        <v>1.5361548277329</v>
      </c>
      <c r="U459">
        <v>0</v>
      </c>
      <c r="V459">
        <v>-2.8284468095410999E-2</v>
      </c>
      <c r="AC459">
        <v>0</v>
      </c>
    </row>
    <row r="460" spans="1:29" x14ac:dyDescent="0.3">
      <c r="A460" t="s">
        <v>47</v>
      </c>
      <c r="B460">
        <v>2040</v>
      </c>
      <c r="J460">
        <v>1.5330781637929001</v>
      </c>
      <c r="R460">
        <v>26.687076922022001</v>
      </c>
      <c r="S460">
        <v>2.6700205338809</v>
      </c>
      <c r="T460">
        <v>1.6480492813142</v>
      </c>
      <c r="U460">
        <v>0</v>
      </c>
      <c r="V460">
        <v>-2.8147767890583E-2</v>
      </c>
      <c r="AC460">
        <v>4.3369999999999997</v>
      </c>
    </row>
    <row r="461" spans="1:29" x14ac:dyDescent="0.3">
      <c r="A461" t="s">
        <v>47</v>
      </c>
      <c r="B461">
        <v>2041</v>
      </c>
      <c r="J461">
        <v>1.4883024944426999</v>
      </c>
      <c r="R461">
        <v>26.610538673017999</v>
      </c>
      <c r="S461">
        <v>2.6520531640548</v>
      </c>
      <c r="T461">
        <v>1.7417179131125</v>
      </c>
      <c r="U461">
        <v>0</v>
      </c>
      <c r="V461">
        <v>-2.8011067685756001E-2</v>
      </c>
      <c r="AC461">
        <v>0</v>
      </c>
    </row>
    <row r="462" spans="1:29" x14ac:dyDescent="0.3">
      <c r="A462" t="s">
        <v>47</v>
      </c>
      <c r="B462">
        <v>2042</v>
      </c>
      <c r="J462">
        <v>1.4422620149486001</v>
      </c>
      <c r="R462">
        <v>26.553461419213001</v>
      </c>
      <c r="S462">
        <v>2.6378450920245</v>
      </c>
      <c r="T462">
        <v>1.8228527607362</v>
      </c>
      <c r="U462">
        <v>0</v>
      </c>
      <c r="V462">
        <v>-2.7874367480927999E-2</v>
      </c>
      <c r="AC462">
        <v>5.6589999999999998</v>
      </c>
    </row>
    <row r="463" spans="1:29" x14ac:dyDescent="0.3">
      <c r="A463" t="s">
        <v>47</v>
      </c>
      <c r="B463">
        <v>2043</v>
      </c>
      <c r="J463">
        <v>1.3879096470075001</v>
      </c>
      <c r="R463">
        <v>26.497963493962001</v>
      </c>
      <c r="S463">
        <v>2.6238413051539</v>
      </c>
      <c r="T463">
        <v>1.9013718946978</v>
      </c>
      <c r="U463">
        <v>0</v>
      </c>
      <c r="V463">
        <v>-2.7737667276101E-2</v>
      </c>
      <c r="AC463">
        <v>4.7619999999999996</v>
      </c>
    </row>
    <row r="464" spans="1:29" x14ac:dyDescent="0.3">
      <c r="A464" t="s">
        <v>47</v>
      </c>
      <c r="B464">
        <v>2044</v>
      </c>
      <c r="J464">
        <v>1.3359324457124</v>
      </c>
      <c r="R464">
        <v>26.440035217590001</v>
      </c>
      <c r="S464">
        <v>2.6108321377330999</v>
      </c>
      <c r="T464">
        <v>1.9777618364419001</v>
      </c>
      <c r="U464">
        <v>0</v>
      </c>
      <c r="V464">
        <v>-2.7600967071272998E-2</v>
      </c>
      <c r="AC464">
        <v>0</v>
      </c>
    </row>
    <row r="465" spans="1:29" x14ac:dyDescent="0.3">
      <c r="A465" t="s">
        <v>47</v>
      </c>
      <c r="B465">
        <v>2045</v>
      </c>
      <c r="J465">
        <v>1.2906669653394001</v>
      </c>
      <c r="R465">
        <v>26.411476521931998</v>
      </c>
      <c r="S465">
        <v>2.6026041666666999</v>
      </c>
      <c r="T465">
        <v>2.0503472222222001</v>
      </c>
      <c r="U465">
        <v>0</v>
      </c>
      <c r="V465">
        <v>-2.7464266866445999E-2</v>
      </c>
      <c r="AC465">
        <v>3.0028121429999999</v>
      </c>
    </row>
    <row r="466" spans="1:29" x14ac:dyDescent="0.3">
      <c r="A466" t="s">
        <v>47</v>
      </c>
      <c r="B466">
        <v>2046</v>
      </c>
      <c r="J466">
        <v>1.2498778103113</v>
      </c>
      <c r="R466">
        <v>26.393702493685002</v>
      </c>
      <c r="S466">
        <v>2.5969070432004999</v>
      </c>
      <c r="T466">
        <v>2.1060682467641998</v>
      </c>
      <c r="U466">
        <v>0</v>
      </c>
      <c r="V466">
        <v>-2.7327566661618001E-2</v>
      </c>
      <c r="AC466">
        <v>0</v>
      </c>
    </row>
    <row r="467" spans="1:29" x14ac:dyDescent="0.3">
      <c r="A467" t="s">
        <v>47</v>
      </c>
      <c r="B467">
        <v>2047</v>
      </c>
      <c r="J467">
        <v>1.2044634487507999</v>
      </c>
      <c r="R467">
        <v>26.397453232284999</v>
      </c>
      <c r="S467">
        <v>2.5948542582641001</v>
      </c>
      <c r="T467">
        <v>2.1525810128643998</v>
      </c>
      <c r="U467">
        <v>0</v>
      </c>
      <c r="V467">
        <v>-2.7190866456789999E-2</v>
      </c>
      <c r="AC467">
        <v>6.1559999999999997</v>
      </c>
    </row>
    <row r="468" spans="1:29" x14ac:dyDescent="0.3">
      <c r="A468" t="s">
        <v>47</v>
      </c>
      <c r="B468">
        <v>2048</v>
      </c>
      <c r="J468">
        <v>1.1546511800856001</v>
      </c>
      <c r="R468">
        <v>26.418338708644001</v>
      </c>
      <c r="S468">
        <v>2.5970643939393998</v>
      </c>
      <c r="T468">
        <v>2.1862373737373999</v>
      </c>
      <c r="U468">
        <v>0</v>
      </c>
      <c r="V468">
        <v>-2.7054166251963E-2</v>
      </c>
      <c r="AC468">
        <v>0</v>
      </c>
    </row>
    <row r="469" spans="1:29" x14ac:dyDescent="0.3">
      <c r="A469" t="s">
        <v>47</v>
      </c>
      <c r="B469">
        <v>2049</v>
      </c>
      <c r="J469">
        <v>1.1130277374721</v>
      </c>
      <c r="R469">
        <v>26.462560977098001</v>
      </c>
      <c r="S469">
        <v>2.6036725325172001</v>
      </c>
      <c r="T469">
        <v>2.2065799540933</v>
      </c>
      <c r="U469">
        <v>0</v>
      </c>
      <c r="V469">
        <v>-2.6917466047134998E-2</v>
      </c>
      <c r="AC469">
        <v>0</v>
      </c>
    </row>
    <row r="470" spans="1:29" x14ac:dyDescent="0.3">
      <c r="A470" t="s">
        <v>47</v>
      </c>
      <c r="B470">
        <v>2050</v>
      </c>
      <c r="J470">
        <v>1.0759642252829</v>
      </c>
      <c r="R470">
        <v>26.530428359588999</v>
      </c>
      <c r="S470">
        <v>2.6148137153034998</v>
      </c>
      <c r="T470">
        <v>2.2184948790262999</v>
      </c>
      <c r="U470">
        <v>0</v>
      </c>
      <c r="V470">
        <v>-2.6780765842307999E-2</v>
      </c>
      <c r="AC470">
        <v>0</v>
      </c>
    </row>
    <row r="471" spans="1:29" x14ac:dyDescent="0.3">
      <c r="A471" t="s">
        <v>47</v>
      </c>
      <c r="B471">
        <v>2051</v>
      </c>
      <c r="J471">
        <v>1.0526477615230001</v>
      </c>
      <c r="R471">
        <v>26.614072039332001</v>
      </c>
      <c r="S471">
        <v>2.6295176385888999</v>
      </c>
      <c r="T471">
        <v>2.2257739380850001</v>
      </c>
      <c r="U471">
        <v>0</v>
      </c>
      <c r="V471">
        <v>-2.6644065637480001E-2</v>
      </c>
      <c r="AC471">
        <v>0</v>
      </c>
    </row>
    <row r="472" spans="1:29" x14ac:dyDescent="0.3">
      <c r="A472" t="s">
        <v>47</v>
      </c>
      <c r="B472">
        <v>2052</v>
      </c>
      <c r="J472">
        <v>1.03613060139</v>
      </c>
      <c r="R472">
        <v>26.711199223266998</v>
      </c>
      <c r="S472">
        <v>2.6459410367472</v>
      </c>
      <c r="T472">
        <v>2.2255134833031001</v>
      </c>
      <c r="U472">
        <v>0</v>
      </c>
      <c r="V472">
        <v>-2.6507365432653002E-2</v>
      </c>
      <c r="AC472">
        <v>4.6920000000000002</v>
      </c>
    </row>
    <row r="473" spans="1:29" x14ac:dyDescent="0.3">
      <c r="A473" t="s">
        <v>47</v>
      </c>
      <c r="B473">
        <v>2053</v>
      </c>
      <c r="J473">
        <v>1.02570615005</v>
      </c>
      <c r="R473">
        <v>26.803043767296</v>
      </c>
      <c r="S473">
        <v>2.6615593220339</v>
      </c>
      <c r="T473">
        <v>2.1882033898305</v>
      </c>
      <c r="U473">
        <v>0</v>
      </c>
      <c r="V473">
        <v>-2.6370665227825E-2</v>
      </c>
      <c r="AC473">
        <v>0</v>
      </c>
    </row>
    <row r="474" spans="1:29" x14ac:dyDescent="0.3">
      <c r="A474" t="s">
        <v>47</v>
      </c>
      <c r="B474">
        <v>2054</v>
      </c>
      <c r="J474">
        <v>1.0128371499827999</v>
      </c>
      <c r="R474">
        <v>26.891449560310001</v>
      </c>
      <c r="S474">
        <v>2.6771518820742002</v>
      </c>
      <c r="T474">
        <v>2.1470123716768001</v>
      </c>
      <c r="U474">
        <v>0</v>
      </c>
      <c r="V474">
        <v>-2.6233965022997002E-2</v>
      </c>
      <c r="AC474">
        <v>0</v>
      </c>
    </row>
    <row r="475" spans="1:29" x14ac:dyDescent="0.3">
      <c r="A475" t="s">
        <v>47</v>
      </c>
      <c r="B475">
        <v>2055</v>
      </c>
      <c r="J475">
        <v>0.99016002309791995</v>
      </c>
      <c r="R475">
        <v>26.996833439871001</v>
      </c>
      <c r="S475">
        <v>2.6949022614028002</v>
      </c>
      <c r="T475">
        <v>2.0959499169540998</v>
      </c>
      <c r="U475">
        <v>0</v>
      </c>
      <c r="V475">
        <v>-2.6097264818169999E-2</v>
      </c>
      <c r="AC475">
        <v>4.42</v>
      </c>
    </row>
    <row r="476" spans="1:29" x14ac:dyDescent="0.3">
      <c r="A476" t="s">
        <v>47</v>
      </c>
      <c r="B476">
        <v>2056</v>
      </c>
      <c r="J476">
        <v>0.97193023707101001</v>
      </c>
      <c r="R476">
        <v>27.116108066492998</v>
      </c>
      <c r="S476">
        <v>2.7155439771740002</v>
      </c>
      <c r="T476">
        <v>2.0321300086837999</v>
      </c>
      <c r="U476">
        <v>0</v>
      </c>
      <c r="V476">
        <v>-2.5960564613342001E-2</v>
      </c>
      <c r="AC476">
        <v>0</v>
      </c>
    </row>
    <row r="477" spans="1:29" x14ac:dyDescent="0.3">
      <c r="A477" t="s">
        <v>47</v>
      </c>
      <c r="B477">
        <v>2057</v>
      </c>
      <c r="J477">
        <v>0.95582324597755997</v>
      </c>
      <c r="R477">
        <v>27.229196891165</v>
      </c>
      <c r="S477">
        <v>2.7340079508492998</v>
      </c>
      <c r="T477">
        <v>1.9687989398868</v>
      </c>
      <c r="U477">
        <v>0</v>
      </c>
      <c r="V477">
        <v>-2.5823864408515002E-2</v>
      </c>
      <c r="AC477">
        <v>0</v>
      </c>
    </row>
    <row r="478" spans="1:29" x14ac:dyDescent="0.3">
      <c r="A478" t="s">
        <v>47</v>
      </c>
      <c r="B478">
        <v>2058</v>
      </c>
      <c r="J478">
        <v>0.94460701909041001</v>
      </c>
      <c r="R478">
        <v>27.358856972822</v>
      </c>
      <c r="S478">
        <v>2.7558207558208001</v>
      </c>
      <c r="T478">
        <v>1.8928278928279001</v>
      </c>
      <c r="U478">
        <v>0</v>
      </c>
      <c r="V478">
        <v>-2.5687164203687E-2</v>
      </c>
      <c r="AC478">
        <v>0</v>
      </c>
    </row>
    <row r="479" spans="1:29" x14ac:dyDescent="0.3">
      <c r="A479" t="s">
        <v>47</v>
      </c>
      <c r="B479">
        <v>2059</v>
      </c>
      <c r="J479">
        <v>0.94040276767855002</v>
      </c>
      <c r="R479">
        <v>27.504644391071999</v>
      </c>
      <c r="S479">
        <v>2.7806818181818</v>
      </c>
      <c r="T479">
        <v>1.8004545454545</v>
      </c>
      <c r="U479">
        <v>0</v>
      </c>
      <c r="V479">
        <v>-2.5550463998860001E-2</v>
      </c>
      <c r="AC479">
        <v>0</v>
      </c>
    </row>
    <row r="480" spans="1:29" x14ac:dyDescent="0.3">
      <c r="A480" t="s">
        <v>47</v>
      </c>
      <c r="B480">
        <v>2060</v>
      </c>
      <c r="J480">
        <v>0.93990524189600999</v>
      </c>
      <c r="R480">
        <v>27.646925237689</v>
      </c>
      <c r="S480">
        <v>2.8036423841059999</v>
      </c>
      <c r="T480">
        <v>1.7084988962472001</v>
      </c>
      <c r="U480">
        <v>0</v>
      </c>
      <c r="V480">
        <v>-2.5413763794031999E-2</v>
      </c>
      <c r="AC480">
        <v>0</v>
      </c>
    </row>
    <row r="481" spans="1:38" x14ac:dyDescent="0.3">
      <c r="A481" t="s">
        <v>47</v>
      </c>
      <c r="B481">
        <v>2061</v>
      </c>
      <c r="J481">
        <v>0.93371579805657001</v>
      </c>
      <c r="R481">
        <v>27.788816676844</v>
      </c>
      <c r="S481">
        <v>2.8261149228129998</v>
      </c>
      <c r="T481">
        <v>1.6123499142366999</v>
      </c>
      <c r="U481">
        <v>0</v>
      </c>
      <c r="V481">
        <v>-2.5277063589204E-2</v>
      </c>
      <c r="AC481">
        <v>0</v>
      </c>
    </row>
    <row r="482" spans="1:38" x14ac:dyDescent="0.3">
      <c r="A482" t="s">
        <v>47</v>
      </c>
      <c r="B482">
        <v>2062</v>
      </c>
      <c r="J482">
        <v>0.93017496264732002</v>
      </c>
      <c r="R482">
        <v>27.933988388081001</v>
      </c>
      <c r="S482">
        <v>2.8481724461105999</v>
      </c>
      <c r="T482">
        <v>1.5191086118921</v>
      </c>
      <c r="U482">
        <v>0</v>
      </c>
      <c r="V482">
        <v>-2.5140363384377001E-2</v>
      </c>
      <c r="AC482">
        <v>0</v>
      </c>
    </row>
    <row r="483" spans="1:38" x14ac:dyDescent="0.3">
      <c r="A483" t="s">
        <v>47</v>
      </c>
      <c r="B483">
        <v>2063</v>
      </c>
      <c r="J483">
        <v>0.92811790941601002</v>
      </c>
      <c r="R483">
        <v>28.089731076583</v>
      </c>
      <c r="S483">
        <v>2.8714343516083001</v>
      </c>
      <c r="T483">
        <v>1.4251466720615</v>
      </c>
      <c r="U483">
        <v>0</v>
      </c>
      <c r="V483">
        <v>-2.5003663179549E-2</v>
      </c>
      <c r="AC483">
        <v>0</v>
      </c>
    </row>
    <row r="484" spans="1:38" x14ac:dyDescent="0.3">
      <c r="A484" t="s">
        <v>47</v>
      </c>
      <c r="B484">
        <v>2064</v>
      </c>
      <c r="J484">
        <v>0.93358626750272999</v>
      </c>
      <c r="R484">
        <v>28.236075252972999</v>
      </c>
      <c r="S484">
        <v>2.8927097661622998</v>
      </c>
      <c r="T484">
        <v>1.3325800746709</v>
      </c>
      <c r="U484">
        <v>0</v>
      </c>
      <c r="V484">
        <v>-2.4866962974722E-2</v>
      </c>
      <c r="AC484">
        <v>0</v>
      </c>
    </row>
    <row r="485" spans="1:38" x14ac:dyDescent="0.3">
      <c r="A485" t="s">
        <v>47</v>
      </c>
      <c r="B485">
        <v>2065</v>
      </c>
      <c r="J485">
        <v>0.93923161122847998</v>
      </c>
      <c r="R485">
        <v>28.373596240291999</v>
      </c>
      <c r="S485">
        <v>2.9099150682317001</v>
      </c>
      <c r="T485">
        <v>1.248496993988</v>
      </c>
      <c r="U485">
        <v>0</v>
      </c>
      <c r="V485">
        <v>-2.4730262769893999E-2</v>
      </c>
      <c r="AC485">
        <v>0</v>
      </c>
    </row>
    <row r="486" spans="1:38" x14ac:dyDescent="0.3">
      <c r="A486" t="s">
        <v>47</v>
      </c>
      <c r="B486">
        <v>2066</v>
      </c>
      <c r="J486">
        <v>0.93773164966599998</v>
      </c>
      <c r="R486">
        <v>28.503493656201002</v>
      </c>
      <c r="S486">
        <v>2.9249235332282999</v>
      </c>
      <c r="T486">
        <v>1.1701733246824999</v>
      </c>
      <c r="U486">
        <v>0</v>
      </c>
      <c r="V486">
        <v>-2.4593562565067E-2</v>
      </c>
      <c r="AC486">
        <v>0</v>
      </c>
    </row>
    <row r="487" spans="1:38" x14ac:dyDescent="0.3">
      <c r="A487" t="s">
        <v>47</v>
      </c>
      <c r="B487">
        <v>2067</v>
      </c>
      <c r="J487">
        <v>0.93177195639812005</v>
      </c>
      <c r="R487">
        <v>28.631890648839999</v>
      </c>
      <c r="S487">
        <v>2.9389574142432999</v>
      </c>
      <c r="T487">
        <v>1.0940848113802</v>
      </c>
      <c r="U487">
        <v>0</v>
      </c>
      <c r="V487">
        <v>-2.4456862360239001E-2</v>
      </c>
      <c r="AC487">
        <v>0</v>
      </c>
    </row>
    <row r="488" spans="1:38" x14ac:dyDescent="0.3">
      <c r="A488" t="s">
        <v>47</v>
      </c>
      <c r="B488">
        <v>2068</v>
      </c>
      <c r="J488">
        <v>0.92792936776888002</v>
      </c>
      <c r="R488">
        <v>28.763291993376999</v>
      </c>
      <c r="S488">
        <v>2.9533846422949002</v>
      </c>
      <c r="T488">
        <v>1.0130313101277</v>
      </c>
      <c r="U488">
        <v>0</v>
      </c>
      <c r="V488">
        <v>-2.4320162155410999E-2</v>
      </c>
      <c r="AC488">
        <v>0</v>
      </c>
    </row>
    <row r="489" spans="1:38" x14ac:dyDescent="0.3">
      <c r="A489" t="s">
        <v>47</v>
      </c>
      <c r="B489">
        <v>2069</v>
      </c>
      <c r="J489">
        <v>0.92352238935535003</v>
      </c>
      <c r="R489">
        <v>28.900287248066</v>
      </c>
      <c r="S489">
        <v>2.9675473621611999</v>
      </c>
      <c r="T489">
        <v>0.92846826947583005</v>
      </c>
      <c r="U489">
        <v>0</v>
      </c>
      <c r="V489">
        <v>-2.4183461950584E-2</v>
      </c>
      <c r="AC489">
        <v>0</v>
      </c>
    </row>
    <row r="490" spans="1:38" x14ac:dyDescent="0.3">
      <c r="A490" t="s">
        <v>47</v>
      </c>
      <c r="B490">
        <v>2070</v>
      </c>
      <c r="J490">
        <v>0.91405096868086999</v>
      </c>
      <c r="R490">
        <v>29.031132981291002</v>
      </c>
      <c r="S490">
        <v>2.9808517662595002</v>
      </c>
      <c r="T490">
        <v>0.84186200066029004</v>
      </c>
      <c r="U490">
        <v>0</v>
      </c>
      <c r="V490">
        <v>-2.4046761745755998E-2</v>
      </c>
      <c r="AC490">
        <v>0</v>
      </c>
    </row>
    <row r="491" spans="1:38" x14ac:dyDescent="0.3">
      <c r="A491" t="s">
        <v>47</v>
      </c>
      <c r="B491">
        <v>2071</v>
      </c>
      <c r="V491">
        <v>-2.3910061540928999E-2</v>
      </c>
    </row>
    <row r="492" spans="1:38" x14ac:dyDescent="0.3">
      <c r="A492" t="s">
        <v>48</v>
      </c>
      <c r="B492">
        <v>0</v>
      </c>
      <c r="AD492">
        <v>8.4974138489832998E-2</v>
      </c>
      <c r="AE492">
        <v>7.9763127117020993E-2</v>
      </c>
      <c r="AF492">
        <v>8.2046572747842994E-2</v>
      </c>
      <c r="AG492">
        <v>0.97157311906651</v>
      </c>
      <c r="AH492">
        <v>0</v>
      </c>
      <c r="AI492">
        <v>3.5091842105262998</v>
      </c>
      <c r="AJ492">
        <v>4.4526710526316</v>
      </c>
      <c r="AK492">
        <v>2.1578473684211001</v>
      </c>
      <c r="AL492">
        <v>0.63</v>
      </c>
    </row>
    <row r="493" spans="1:38" x14ac:dyDescent="0.3">
      <c r="A493" t="s">
        <v>48</v>
      </c>
      <c r="B493">
        <v>2024</v>
      </c>
      <c r="C493">
        <v>3305.3</v>
      </c>
      <c r="D493">
        <v>112.9765</v>
      </c>
      <c r="E493">
        <v>2921.4119999999998</v>
      </c>
      <c r="F493">
        <v>3.5060612126677002</v>
      </c>
      <c r="G493">
        <v>2595.2452091164</v>
      </c>
      <c r="H493">
        <v>1.1661388857907999</v>
      </c>
      <c r="I493">
        <v>2595.9325464726999</v>
      </c>
      <c r="J493">
        <v>1.1700418286867</v>
      </c>
      <c r="K493">
        <v>2.3129575455921998</v>
      </c>
      <c r="L493">
        <v>2.9323319626384001</v>
      </c>
      <c r="M493">
        <v>-3.736291</v>
      </c>
      <c r="N493">
        <v>-3.6888000000000001</v>
      </c>
      <c r="O493">
        <v>-5.7960509</v>
      </c>
      <c r="P493">
        <v>33.17</v>
      </c>
      <c r="Q493">
        <v>55.028841499999999</v>
      </c>
      <c r="R493">
        <v>29.225515187823</v>
      </c>
      <c r="S493">
        <v>1.5857729111639001</v>
      </c>
      <c r="U493">
        <v>0</v>
      </c>
      <c r="V493">
        <v>0</v>
      </c>
      <c r="W493">
        <v>1.9423170999999999</v>
      </c>
      <c r="X493">
        <v>3.9689999999999999</v>
      </c>
      <c r="Y493">
        <v>2.9691666666667</v>
      </c>
      <c r="Z493">
        <v>1</v>
      </c>
      <c r="AA493">
        <v>1.0823804690000001</v>
      </c>
    </row>
    <row r="494" spans="1:38" x14ac:dyDescent="0.3">
      <c r="A494" t="s">
        <v>48</v>
      </c>
      <c r="B494">
        <v>2025</v>
      </c>
      <c r="C494">
        <v>3473.4</v>
      </c>
      <c r="D494">
        <v>116.0325</v>
      </c>
      <c r="E494">
        <v>2989.183</v>
      </c>
      <c r="F494">
        <v>2.3198028898355001</v>
      </c>
      <c r="G494">
        <v>2610.1072283951999</v>
      </c>
      <c r="H494">
        <v>0.57266339329260996</v>
      </c>
      <c r="I494">
        <v>2623.4539102347999</v>
      </c>
      <c r="J494">
        <v>1.0601725302739</v>
      </c>
      <c r="K494">
        <v>1.7372078764672001</v>
      </c>
      <c r="L494">
        <v>2.4767093808285998</v>
      </c>
      <c r="M494">
        <v>-3.1106924</v>
      </c>
      <c r="N494">
        <v>-2.7601</v>
      </c>
      <c r="O494">
        <v>-5.5767255999999996</v>
      </c>
      <c r="P494">
        <v>1.22</v>
      </c>
      <c r="Q494">
        <v>55.111410399999997</v>
      </c>
      <c r="R494">
        <v>29.162633771063</v>
      </c>
      <c r="S494">
        <v>1.5808528996953</v>
      </c>
      <c r="U494">
        <v>0</v>
      </c>
      <c r="V494">
        <v>-5.1579922437668003E-3</v>
      </c>
      <c r="W494">
        <v>2.2334217000000001</v>
      </c>
      <c r="X494">
        <v>3.508</v>
      </c>
      <c r="Y494">
        <v>3.2839999999999998</v>
      </c>
      <c r="Z494">
        <v>1</v>
      </c>
      <c r="AA494">
        <v>1.113519535</v>
      </c>
      <c r="AC494">
        <v>285.01657285099998</v>
      </c>
    </row>
    <row r="495" spans="1:38" x14ac:dyDescent="0.3">
      <c r="A495" t="s">
        <v>48</v>
      </c>
      <c r="B495">
        <v>2026</v>
      </c>
      <c r="C495">
        <v>3647.1</v>
      </c>
      <c r="D495">
        <v>118.4478</v>
      </c>
      <c r="E495">
        <v>3074.6570000000002</v>
      </c>
      <c r="F495">
        <v>2.8594435335675001</v>
      </c>
      <c r="G495">
        <v>2644.8913891439001</v>
      </c>
      <c r="H495">
        <v>1.3326717144152</v>
      </c>
      <c r="I495">
        <v>2649.6951820682998</v>
      </c>
      <c r="J495">
        <v>1.0002566361484</v>
      </c>
      <c r="K495">
        <v>1.5066865366919999</v>
      </c>
      <c r="L495">
        <v>2.0119566334671002</v>
      </c>
      <c r="M495">
        <v>-2.7760625999999999</v>
      </c>
      <c r="N495">
        <v>-2.6617999999999999</v>
      </c>
      <c r="O495">
        <v>-5.6873940000000003</v>
      </c>
      <c r="P495">
        <v>-1.43</v>
      </c>
      <c r="Q495">
        <v>54.62153</v>
      </c>
      <c r="R495">
        <v>29.177234950635</v>
      </c>
      <c r="S495">
        <v>1.5841903173237999</v>
      </c>
      <c r="U495">
        <v>0</v>
      </c>
      <c r="V495">
        <v>-2.0590648055076998E-3</v>
      </c>
      <c r="W495">
        <v>2.5808103</v>
      </c>
      <c r="Z495">
        <v>1</v>
      </c>
      <c r="AA495">
        <v>1.1346799999999999</v>
      </c>
      <c r="AC495">
        <v>299.36460312399998</v>
      </c>
    </row>
    <row r="496" spans="1:38" x14ac:dyDescent="0.3">
      <c r="A496" t="s">
        <v>48</v>
      </c>
      <c r="B496">
        <v>2027</v>
      </c>
      <c r="G496">
        <v>2666.2937412254</v>
      </c>
      <c r="H496">
        <v>0.80919587735428999</v>
      </c>
      <c r="I496">
        <v>2669.5202311967</v>
      </c>
      <c r="J496">
        <v>0.74820112375906001</v>
      </c>
      <c r="R496">
        <v>29.242623115796999</v>
      </c>
      <c r="S496">
        <v>1.5904292459302001</v>
      </c>
      <c r="U496">
        <v>0</v>
      </c>
      <c r="V496">
        <v>3.9421096444129996E-3</v>
      </c>
      <c r="AC496">
        <v>273.800686525</v>
      </c>
    </row>
    <row r="497" spans="1:29" x14ac:dyDescent="0.3">
      <c r="A497" t="s">
        <v>48</v>
      </c>
      <c r="B497">
        <v>2028</v>
      </c>
      <c r="G497">
        <v>2685.1913509619999</v>
      </c>
      <c r="H497">
        <v>0.70875948303907998</v>
      </c>
      <c r="I497">
        <v>2686.8150475543998</v>
      </c>
      <c r="J497">
        <v>0.64786234453730995</v>
      </c>
      <c r="R497">
        <v>29.257082340417998</v>
      </c>
      <c r="S497">
        <v>1.5929329270539001</v>
      </c>
      <c r="U497">
        <v>0</v>
      </c>
      <c r="V497">
        <v>6.2081217765808001E-3</v>
      </c>
      <c r="AC497">
        <v>259.74078460099997</v>
      </c>
    </row>
    <row r="498" spans="1:29" x14ac:dyDescent="0.3">
      <c r="A498" t="s">
        <v>48</v>
      </c>
      <c r="B498">
        <v>2029</v>
      </c>
      <c r="G498">
        <v>2703.3627111824999</v>
      </c>
      <c r="H498">
        <v>0.67672496464920995</v>
      </c>
      <c r="I498">
        <v>2703.3627111824999</v>
      </c>
      <c r="J498">
        <v>0.61588398662446997</v>
      </c>
      <c r="R498">
        <v>29.227100774737</v>
      </c>
      <c r="S498">
        <v>1.5905163454647999</v>
      </c>
      <c r="U498">
        <v>0</v>
      </c>
      <c r="V498">
        <v>3.5531520843505998E-3</v>
      </c>
      <c r="AC498">
        <v>292.55160528800002</v>
      </c>
    </row>
    <row r="499" spans="1:29" x14ac:dyDescent="0.3">
      <c r="A499" t="s">
        <v>48</v>
      </c>
      <c r="B499">
        <v>2030</v>
      </c>
      <c r="J499">
        <v>0.66203207148480003</v>
      </c>
      <c r="R499">
        <v>29.211345395416</v>
      </c>
      <c r="S499">
        <v>1.5896698015074</v>
      </c>
      <c r="U499">
        <v>0</v>
      </c>
      <c r="V499">
        <v>2.4691373109817999E-3</v>
      </c>
      <c r="AC499">
        <v>243.369956876</v>
      </c>
    </row>
    <row r="500" spans="1:29" x14ac:dyDescent="0.3">
      <c r="A500" t="s">
        <v>48</v>
      </c>
      <c r="B500">
        <v>2031</v>
      </c>
      <c r="J500">
        <v>0.70818015634512999</v>
      </c>
      <c r="R500">
        <v>29.195739492234999</v>
      </c>
      <c r="S500">
        <v>1.5884485128551</v>
      </c>
      <c r="U500">
        <v>0</v>
      </c>
      <c r="V500">
        <v>1.0102316737175001E-3</v>
      </c>
      <c r="AC500">
        <v>181.09477354200001</v>
      </c>
    </row>
    <row r="501" spans="1:29" x14ac:dyDescent="0.3">
      <c r="A501" t="s">
        <v>48</v>
      </c>
      <c r="B501">
        <v>2032</v>
      </c>
      <c r="J501">
        <v>0.75432824120547004</v>
      </c>
      <c r="R501">
        <v>29.196543779069</v>
      </c>
      <c r="S501">
        <v>1.5874869259233999</v>
      </c>
      <c r="U501">
        <v>0</v>
      </c>
      <c r="V501">
        <v>-1.8976628780365001E-4</v>
      </c>
      <c r="AC501">
        <v>191.79792740400001</v>
      </c>
    </row>
    <row r="502" spans="1:29" x14ac:dyDescent="0.3">
      <c r="A502" t="s">
        <v>48</v>
      </c>
      <c r="B502">
        <v>2033</v>
      </c>
      <c r="J502">
        <v>0.80047632606579999</v>
      </c>
      <c r="R502">
        <v>29.235414173563001</v>
      </c>
      <c r="S502">
        <v>1.5906748990840001</v>
      </c>
      <c r="U502">
        <v>0</v>
      </c>
      <c r="V502">
        <v>2.760149538517E-3</v>
      </c>
      <c r="AC502">
        <v>114.046672653</v>
      </c>
    </row>
    <row r="503" spans="1:29" x14ac:dyDescent="0.3">
      <c r="A503" t="s">
        <v>48</v>
      </c>
      <c r="B503">
        <v>2034</v>
      </c>
      <c r="J503">
        <v>0.84662441092613006</v>
      </c>
      <c r="R503">
        <v>29.284873658096998</v>
      </c>
      <c r="S503">
        <v>1.5936592154219</v>
      </c>
      <c r="U503">
        <v>0</v>
      </c>
      <c r="V503">
        <v>5.5062919855117997E-3</v>
      </c>
      <c r="AC503">
        <v>132.21899483799999</v>
      </c>
    </row>
    <row r="504" spans="1:29" x14ac:dyDescent="0.3">
      <c r="A504" t="s">
        <v>48</v>
      </c>
      <c r="B504">
        <v>2035</v>
      </c>
      <c r="J504">
        <v>0.89277249578646001</v>
      </c>
      <c r="R504">
        <v>29.27638396635</v>
      </c>
      <c r="S504">
        <v>1.5897467554639999</v>
      </c>
      <c r="U504">
        <v>0</v>
      </c>
      <c r="V504">
        <v>6.0081936419009996E-3</v>
      </c>
      <c r="AC504">
        <v>68.774299756000005</v>
      </c>
    </row>
    <row r="505" spans="1:29" x14ac:dyDescent="0.3">
      <c r="A505" t="s">
        <v>48</v>
      </c>
      <c r="B505">
        <v>2036</v>
      </c>
      <c r="J505">
        <v>0.93892058064679995</v>
      </c>
      <c r="R505">
        <v>29.272066338262999</v>
      </c>
      <c r="S505">
        <v>1.5859964102171</v>
      </c>
      <c r="U505">
        <v>0</v>
      </c>
      <c r="V505">
        <v>6.5100952982903E-3</v>
      </c>
      <c r="AC505">
        <v>91.052304104000001</v>
      </c>
    </row>
    <row r="506" spans="1:29" x14ac:dyDescent="0.3">
      <c r="A506" t="s">
        <v>48</v>
      </c>
      <c r="B506">
        <v>2037</v>
      </c>
      <c r="J506">
        <v>1.0421102405577001</v>
      </c>
      <c r="R506">
        <v>29.270825449585999</v>
      </c>
      <c r="S506">
        <v>1.5819498146908999</v>
      </c>
      <c r="U506">
        <v>0</v>
      </c>
      <c r="V506">
        <v>7.0119969546794999E-3</v>
      </c>
      <c r="AC506">
        <v>5.63559711</v>
      </c>
    </row>
    <row r="507" spans="1:29" x14ac:dyDescent="0.3">
      <c r="A507" t="s">
        <v>48</v>
      </c>
      <c r="B507">
        <v>2038</v>
      </c>
      <c r="J507">
        <v>1.1754042623270999</v>
      </c>
      <c r="R507">
        <v>29.268268983020999</v>
      </c>
      <c r="S507">
        <v>1.5772449350339</v>
      </c>
      <c r="U507">
        <v>0</v>
      </c>
      <c r="V507">
        <v>7.5138986110686997E-3</v>
      </c>
      <c r="AC507">
        <v>71.677676427999998</v>
      </c>
    </row>
    <row r="508" spans="1:29" x14ac:dyDescent="0.3">
      <c r="A508" t="s">
        <v>48</v>
      </c>
      <c r="B508">
        <v>2039</v>
      </c>
      <c r="J508">
        <v>1.3290007072225001</v>
      </c>
      <c r="R508">
        <v>29.260437870831002</v>
      </c>
      <c r="S508">
        <v>1.5717272116151999</v>
      </c>
      <c r="U508">
        <v>0</v>
      </c>
      <c r="V508">
        <v>8.0158002674580002E-3</v>
      </c>
      <c r="AC508">
        <v>46.899708132000001</v>
      </c>
    </row>
    <row r="509" spans="1:29" x14ac:dyDescent="0.3">
      <c r="A509" t="s">
        <v>48</v>
      </c>
      <c r="B509">
        <v>2040</v>
      </c>
      <c r="J509">
        <v>1.5112328863069999</v>
      </c>
      <c r="R509">
        <v>29.239013548831998</v>
      </c>
      <c r="S509">
        <v>1.5648067453875001</v>
      </c>
      <c r="U509">
        <v>0</v>
      </c>
      <c r="V509">
        <v>8.5177019238471992E-3</v>
      </c>
      <c r="AC509">
        <v>53.325988615999997</v>
      </c>
    </row>
    <row r="510" spans="1:29" x14ac:dyDescent="0.3">
      <c r="A510" t="s">
        <v>48</v>
      </c>
      <c r="B510">
        <v>2041</v>
      </c>
      <c r="J510">
        <v>1.5410747896042001</v>
      </c>
      <c r="R510">
        <v>29.276608054267999</v>
      </c>
      <c r="S510">
        <v>1.5644334450019</v>
      </c>
      <c r="U510">
        <v>0</v>
      </c>
      <c r="V510">
        <v>9.0196035802363999E-3</v>
      </c>
      <c r="AC510">
        <v>41.363873220000002</v>
      </c>
    </row>
    <row r="511" spans="1:29" x14ac:dyDescent="0.3">
      <c r="A511" t="s">
        <v>48</v>
      </c>
      <c r="B511">
        <v>2042</v>
      </c>
      <c r="J511">
        <v>1.5630280327302</v>
      </c>
      <c r="R511">
        <v>29.289768023813</v>
      </c>
      <c r="S511">
        <v>1.5622735787893001</v>
      </c>
      <c r="U511">
        <v>0</v>
      </c>
      <c r="V511">
        <v>9.5215052366256995E-3</v>
      </c>
      <c r="AC511">
        <v>16.869581648</v>
      </c>
    </row>
    <row r="512" spans="1:29" x14ac:dyDescent="0.3">
      <c r="A512" t="s">
        <v>48</v>
      </c>
      <c r="B512">
        <v>2043</v>
      </c>
      <c r="J512">
        <v>1.5266209471394001</v>
      </c>
      <c r="R512">
        <v>29.257456492705</v>
      </c>
      <c r="S512">
        <v>1.5551429577564</v>
      </c>
      <c r="U512">
        <v>0</v>
      </c>
      <c r="V512">
        <v>1.0023406893015001E-2</v>
      </c>
      <c r="AC512">
        <v>33.292812255000001</v>
      </c>
    </row>
    <row r="513" spans="1:29" x14ac:dyDescent="0.3">
      <c r="A513" t="s">
        <v>48</v>
      </c>
      <c r="B513">
        <v>2044</v>
      </c>
      <c r="J513">
        <v>1.4738958468687999</v>
      </c>
      <c r="R513">
        <v>29.241017776654999</v>
      </c>
      <c r="S513">
        <v>1.5494810989576999</v>
      </c>
      <c r="U513">
        <v>0</v>
      </c>
      <c r="V513">
        <v>1.0525308549404E-2</v>
      </c>
      <c r="AC513">
        <v>28.467662843999999</v>
      </c>
    </row>
    <row r="514" spans="1:29" x14ac:dyDescent="0.3">
      <c r="A514" t="s">
        <v>48</v>
      </c>
      <c r="B514">
        <v>2045</v>
      </c>
      <c r="J514">
        <v>1.4323188480741</v>
      </c>
      <c r="R514">
        <v>29.223700772632998</v>
      </c>
      <c r="S514">
        <v>1.5437819882106001</v>
      </c>
      <c r="U514">
        <v>0</v>
      </c>
      <c r="V514">
        <v>1.1027210205793E-2</v>
      </c>
      <c r="AC514">
        <v>37.115429257999999</v>
      </c>
    </row>
    <row r="515" spans="1:29" x14ac:dyDescent="0.3">
      <c r="A515" t="s">
        <v>48</v>
      </c>
      <c r="B515">
        <v>2046</v>
      </c>
      <c r="J515">
        <v>1.398810230377</v>
      </c>
      <c r="R515">
        <v>29.213494215914</v>
      </c>
      <c r="S515">
        <v>1.5391334737297</v>
      </c>
      <c r="U515">
        <v>0</v>
      </c>
      <c r="V515">
        <v>1.1529111862183E-2</v>
      </c>
      <c r="AC515">
        <v>3.4105877570000001</v>
      </c>
    </row>
    <row r="516" spans="1:29" x14ac:dyDescent="0.3">
      <c r="A516" t="s">
        <v>48</v>
      </c>
      <c r="B516">
        <v>2047</v>
      </c>
      <c r="J516">
        <v>1.3666799271137</v>
      </c>
      <c r="R516">
        <v>29.206425482357002</v>
      </c>
      <c r="S516">
        <v>1.5347900778674</v>
      </c>
      <c r="U516">
        <v>0</v>
      </c>
      <c r="V516">
        <v>1.2031013518572E-2</v>
      </c>
      <c r="AC516">
        <v>16.263138285</v>
      </c>
    </row>
    <row r="517" spans="1:29" x14ac:dyDescent="0.3">
      <c r="A517" t="s">
        <v>48</v>
      </c>
      <c r="B517">
        <v>2048</v>
      </c>
      <c r="J517">
        <v>1.3430994767066999</v>
      </c>
      <c r="R517">
        <v>29.218549376083001</v>
      </c>
      <c r="S517">
        <v>1.5331682053766</v>
      </c>
      <c r="U517">
        <v>0</v>
      </c>
      <c r="V517">
        <v>1.2532915174960999E-2</v>
      </c>
      <c r="AC517">
        <v>35.968574773999997</v>
      </c>
    </row>
    <row r="518" spans="1:29" x14ac:dyDescent="0.3">
      <c r="A518" t="s">
        <v>48</v>
      </c>
      <c r="B518">
        <v>2049</v>
      </c>
      <c r="J518">
        <v>1.3198250287793001</v>
      </c>
      <c r="R518">
        <v>29.230996674221998</v>
      </c>
      <c r="S518">
        <v>1.5310973957261</v>
      </c>
      <c r="U518">
        <v>0</v>
      </c>
      <c r="V518">
        <v>1.303481683135E-2</v>
      </c>
      <c r="AC518">
        <v>14.1222501</v>
      </c>
    </row>
    <row r="519" spans="1:29" x14ac:dyDescent="0.3">
      <c r="A519" t="s">
        <v>48</v>
      </c>
      <c r="B519">
        <v>2050</v>
      </c>
      <c r="J519">
        <v>1.3065987038352</v>
      </c>
      <c r="R519">
        <v>29.189236792601001</v>
      </c>
      <c r="S519">
        <v>1.5236302280770999</v>
      </c>
      <c r="U519">
        <v>0</v>
      </c>
      <c r="V519">
        <v>1.3536718487740001E-2</v>
      </c>
      <c r="AC519">
        <v>40.159445902999998</v>
      </c>
    </row>
    <row r="520" spans="1:29" x14ac:dyDescent="0.3">
      <c r="A520" t="s">
        <v>48</v>
      </c>
      <c r="B520">
        <v>2051</v>
      </c>
      <c r="J520">
        <v>1.2937970122503999</v>
      </c>
      <c r="R520">
        <v>29.162023776291001</v>
      </c>
      <c r="S520">
        <v>1.5178376250803001</v>
      </c>
      <c r="U520">
        <v>0</v>
      </c>
      <c r="V520">
        <v>1.4038620144129E-2</v>
      </c>
      <c r="AC520">
        <v>4.6744495099999996</v>
      </c>
    </row>
    <row r="521" spans="1:29" x14ac:dyDescent="0.3">
      <c r="A521" t="s">
        <v>48</v>
      </c>
      <c r="B521">
        <v>2052</v>
      </c>
      <c r="J521">
        <v>1.2790348113603001</v>
      </c>
      <c r="R521">
        <v>29.116528837722001</v>
      </c>
      <c r="S521">
        <v>1.5108601149104</v>
      </c>
      <c r="U521">
        <v>0</v>
      </c>
      <c r="V521">
        <v>1.4540521800518E-2</v>
      </c>
      <c r="AC521">
        <v>34.634009431999999</v>
      </c>
    </row>
    <row r="522" spans="1:29" x14ac:dyDescent="0.3">
      <c r="A522" t="s">
        <v>48</v>
      </c>
      <c r="B522">
        <v>2053</v>
      </c>
      <c r="J522">
        <v>1.2655134916513</v>
      </c>
      <c r="R522">
        <v>29.088559945263</v>
      </c>
      <c r="S522">
        <v>1.5060018768775001</v>
      </c>
      <c r="U522">
        <v>0</v>
      </c>
      <c r="V522">
        <v>1.5042423456906999E-2</v>
      </c>
      <c r="AC522">
        <v>47.305302359999999</v>
      </c>
    </row>
    <row r="523" spans="1:29" x14ac:dyDescent="0.3">
      <c r="A523" t="s">
        <v>48</v>
      </c>
      <c r="B523">
        <v>2054</v>
      </c>
      <c r="J523">
        <v>1.2685799074274999</v>
      </c>
      <c r="R523">
        <v>29.103706344628002</v>
      </c>
      <c r="S523">
        <v>1.5063150738186999</v>
      </c>
      <c r="U523">
        <v>0</v>
      </c>
      <c r="V523">
        <v>1.5544325113297E-2</v>
      </c>
      <c r="AC523">
        <v>26.984781645000002</v>
      </c>
    </row>
    <row r="524" spans="1:29" x14ac:dyDescent="0.3">
      <c r="A524" t="s">
        <v>48</v>
      </c>
      <c r="B524">
        <v>2055</v>
      </c>
      <c r="J524">
        <v>1.2736481112203999</v>
      </c>
      <c r="R524">
        <v>29.096656782459</v>
      </c>
      <c r="S524">
        <v>1.5045314485203001</v>
      </c>
      <c r="U524">
        <v>0</v>
      </c>
      <c r="V524">
        <v>1.6046226769685999E-2</v>
      </c>
      <c r="AC524">
        <v>49.552577587000002</v>
      </c>
    </row>
    <row r="525" spans="1:29" x14ac:dyDescent="0.3">
      <c r="A525" t="s">
        <v>48</v>
      </c>
      <c r="B525">
        <v>2056</v>
      </c>
      <c r="J525">
        <v>1.2728113612203</v>
      </c>
      <c r="R525">
        <v>29.087453526529</v>
      </c>
      <c r="S525">
        <v>1.5027110364998</v>
      </c>
      <c r="U525">
        <v>0</v>
      </c>
      <c r="V525">
        <v>1.6548128426075E-2</v>
      </c>
      <c r="AC525">
        <v>10.001109673</v>
      </c>
    </row>
    <row r="526" spans="1:29" x14ac:dyDescent="0.3">
      <c r="A526" t="s">
        <v>48</v>
      </c>
      <c r="B526">
        <v>2057</v>
      </c>
      <c r="J526">
        <v>1.2787798649644</v>
      </c>
      <c r="R526">
        <v>29.046266603113001</v>
      </c>
      <c r="S526">
        <v>1.4974067379292999</v>
      </c>
      <c r="U526">
        <v>0</v>
      </c>
      <c r="V526">
        <v>1.7050030082464002E-2</v>
      </c>
      <c r="AC526">
        <v>0</v>
      </c>
    </row>
    <row r="527" spans="1:29" x14ac:dyDescent="0.3">
      <c r="A527" t="s">
        <v>48</v>
      </c>
      <c r="B527">
        <v>2058</v>
      </c>
      <c r="J527">
        <v>1.2797282854901999</v>
      </c>
      <c r="R527">
        <v>29.051385628855002</v>
      </c>
      <c r="S527">
        <v>1.4978152371079001</v>
      </c>
      <c r="U527">
        <v>0</v>
      </c>
      <c r="V527">
        <v>1.7551931738852999E-2</v>
      </c>
      <c r="AC527">
        <v>0</v>
      </c>
    </row>
    <row r="528" spans="1:29" x14ac:dyDescent="0.3">
      <c r="A528" t="s">
        <v>48</v>
      </c>
      <c r="B528">
        <v>2059</v>
      </c>
      <c r="J528">
        <v>1.2691102564023</v>
      </c>
      <c r="R528">
        <v>29.026678065437</v>
      </c>
      <c r="S528">
        <v>1.4953797639066999</v>
      </c>
      <c r="U528">
        <v>0</v>
      </c>
      <c r="V528">
        <v>1.8053833395243E-2</v>
      </c>
      <c r="AC528">
        <v>0.05</v>
      </c>
    </row>
    <row r="529" spans="1:38" x14ac:dyDescent="0.3">
      <c r="A529" t="s">
        <v>48</v>
      </c>
      <c r="B529">
        <v>2060</v>
      </c>
      <c r="J529">
        <v>1.2572073599913001</v>
      </c>
      <c r="R529">
        <v>29.035985813916</v>
      </c>
      <c r="S529">
        <v>1.4973319044697</v>
      </c>
      <c r="U529">
        <v>0</v>
      </c>
      <c r="V529">
        <v>1.8555735051632001E-2</v>
      </c>
      <c r="AC529">
        <v>25.197259431999999</v>
      </c>
    </row>
    <row r="530" spans="1:38" x14ac:dyDescent="0.3">
      <c r="A530" t="s">
        <v>48</v>
      </c>
      <c r="B530">
        <v>2061</v>
      </c>
      <c r="J530">
        <v>1.2386750716379</v>
      </c>
      <c r="R530">
        <v>29.033822211983999</v>
      </c>
      <c r="S530">
        <v>1.4980993156336999</v>
      </c>
      <c r="U530">
        <v>0</v>
      </c>
      <c r="V530">
        <v>1.9057636708020999E-2</v>
      </c>
      <c r="AC530">
        <v>1.5</v>
      </c>
    </row>
    <row r="531" spans="1:38" x14ac:dyDescent="0.3">
      <c r="A531" t="s">
        <v>48</v>
      </c>
      <c r="B531">
        <v>2062</v>
      </c>
      <c r="J531">
        <v>1.2096700618981</v>
      </c>
      <c r="R531">
        <v>29.011545448052001</v>
      </c>
      <c r="S531">
        <v>1.4968183826577</v>
      </c>
      <c r="U531">
        <v>0</v>
      </c>
      <c r="V531">
        <v>1.955953836441E-2</v>
      </c>
      <c r="AC531">
        <v>1.3</v>
      </c>
    </row>
    <row r="532" spans="1:38" x14ac:dyDescent="0.3">
      <c r="A532" t="s">
        <v>48</v>
      </c>
      <c r="B532">
        <v>2063</v>
      </c>
      <c r="J532">
        <v>1.1752262998267999</v>
      </c>
      <c r="R532">
        <v>28.982566989982999</v>
      </c>
      <c r="S532">
        <v>1.4947651652705001</v>
      </c>
      <c r="U532">
        <v>0</v>
      </c>
      <c r="V532">
        <v>2.00614400208E-2</v>
      </c>
      <c r="AC532">
        <v>0.2</v>
      </c>
    </row>
    <row r="533" spans="1:38" x14ac:dyDescent="0.3">
      <c r="A533" t="s">
        <v>48</v>
      </c>
      <c r="B533">
        <v>2064</v>
      </c>
      <c r="J533">
        <v>1.1351756604354999</v>
      </c>
      <c r="R533">
        <v>28.960960398421001</v>
      </c>
      <c r="S533">
        <v>1.4926699726835999</v>
      </c>
      <c r="U533">
        <v>0</v>
      </c>
      <c r="V533">
        <v>2.0563341677189002E-2</v>
      </c>
      <c r="AC533">
        <v>3.0736101339999999</v>
      </c>
    </row>
    <row r="534" spans="1:38" x14ac:dyDescent="0.3">
      <c r="A534" t="s">
        <v>48</v>
      </c>
      <c r="B534">
        <v>2065</v>
      </c>
      <c r="J534">
        <v>1.0985876453801999</v>
      </c>
      <c r="R534">
        <v>28.946273409012001</v>
      </c>
      <c r="S534">
        <v>1.4909429010776001</v>
      </c>
      <c r="U534">
        <v>0</v>
      </c>
      <c r="V534">
        <v>2.1065243333577999E-2</v>
      </c>
      <c r="AC534">
        <v>0.05</v>
      </c>
    </row>
    <row r="535" spans="1:38" x14ac:dyDescent="0.3">
      <c r="A535" t="s">
        <v>48</v>
      </c>
      <c r="B535">
        <v>2066</v>
      </c>
      <c r="J535">
        <v>1.0665037572961</v>
      </c>
      <c r="R535">
        <v>28.951805384863</v>
      </c>
      <c r="S535">
        <v>1.4902573251016</v>
      </c>
      <c r="U535">
        <v>0</v>
      </c>
      <c r="V535">
        <v>2.1567144989967001E-2</v>
      </c>
      <c r="AC535">
        <v>18.463999999999999</v>
      </c>
    </row>
    <row r="536" spans="1:38" x14ac:dyDescent="0.3">
      <c r="A536" t="s">
        <v>48</v>
      </c>
      <c r="B536">
        <v>2067</v>
      </c>
      <c r="J536">
        <v>1.0293899236013999</v>
      </c>
      <c r="R536">
        <v>28.984854622309001</v>
      </c>
      <c r="S536">
        <v>1.4926576262885001</v>
      </c>
      <c r="U536">
        <v>0</v>
      </c>
      <c r="V536">
        <v>2.2069046646357001E-2</v>
      </c>
      <c r="AC536">
        <v>0.05</v>
      </c>
    </row>
    <row r="537" spans="1:38" x14ac:dyDescent="0.3">
      <c r="A537" t="s">
        <v>48</v>
      </c>
      <c r="B537">
        <v>2068</v>
      </c>
      <c r="J537">
        <v>0.99764644876660002</v>
      </c>
      <c r="R537">
        <v>29.026318746419999</v>
      </c>
      <c r="S537">
        <v>1.4957694717436001</v>
      </c>
      <c r="U537">
        <v>0</v>
      </c>
      <c r="V537">
        <v>2.2570948302745999E-2</v>
      </c>
      <c r="AC537">
        <v>0.02</v>
      </c>
    </row>
    <row r="538" spans="1:38" x14ac:dyDescent="0.3">
      <c r="A538" t="s">
        <v>48</v>
      </c>
      <c r="B538">
        <v>2069</v>
      </c>
      <c r="J538">
        <v>0.97298844744130997</v>
      </c>
      <c r="R538">
        <v>29.059035846821001</v>
      </c>
      <c r="S538">
        <v>1.4975101160408</v>
      </c>
      <c r="U538">
        <v>0</v>
      </c>
      <c r="V538">
        <v>2.3072849959135E-2</v>
      </c>
      <c r="AC538">
        <v>2.0044544110000002</v>
      </c>
    </row>
    <row r="539" spans="1:38" x14ac:dyDescent="0.3">
      <c r="A539" t="s">
        <v>48</v>
      </c>
      <c r="B539">
        <v>2070</v>
      </c>
      <c r="J539">
        <v>0.94833421390678996</v>
      </c>
      <c r="R539">
        <v>29.152877998889998</v>
      </c>
      <c r="S539">
        <v>1.5059912745651001</v>
      </c>
      <c r="U539">
        <v>0</v>
      </c>
      <c r="V539">
        <v>2.3574751615524001E-2</v>
      </c>
      <c r="AC539">
        <v>3.3</v>
      </c>
    </row>
    <row r="540" spans="1:38" x14ac:dyDescent="0.3">
      <c r="A540" t="s">
        <v>48</v>
      </c>
      <c r="B540">
        <v>2071</v>
      </c>
      <c r="V540">
        <v>2.4076653271914002E-2</v>
      </c>
    </row>
    <row r="541" spans="1:38" hidden="1" x14ac:dyDescent="0.3">
      <c r="A541" t="s">
        <v>49</v>
      </c>
      <c r="B541">
        <v>0</v>
      </c>
      <c r="AD541">
        <v>2.3603989995886001E-2</v>
      </c>
      <c r="AE541">
        <v>6.6178800599427004E-2</v>
      </c>
      <c r="AF541">
        <v>6.6178800599427004E-2</v>
      </c>
      <c r="AG541">
        <v>0.99265659929820005</v>
      </c>
      <c r="AH541">
        <v>8.2784544317683997E-4</v>
      </c>
      <c r="AI541">
        <v>4.6854668421053001</v>
      </c>
      <c r="AJ541">
        <v>5.9180142105262998</v>
      </c>
      <c r="AK541">
        <v>3.1244947368421001</v>
      </c>
      <c r="AL541">
        <v>0.55000000000000004</v>
      </c>
    </row>
    <row r="542" spans="1:38" hidden="1" x14ac:dyDescent="0.3">
      <c r="A542" t="s">
        <v>49</v>
      </c>
      <c r="B542">
        <v>2024</v>
      </c>
      <c r="C542">
        <v>2887.8</v>
      </c>
      <c r="D542">
        <v>101.2894</v>
      </c>
      <c r="E542">
        <v>2850.989</v>
      </c>
      <c r="F542">
        <v>5.1565643805199999</v>
      </c>
      <c r="G542">
        <v>2430.3655828850001</v>
      </c>
      <c r="H542">
        <v>1.1006678599308</v>
      </c>
      <c r="I542">
        <v>2437.8885646681001</v>
      </c>
      <c r="J542">
        <v>1.3725992636599</v>
      </c>
      <c r="K542">
        <v>4.0117405807192004</v>
      </c>
      <c r="L542">
        <v>2.9323319626384001</v>
      </c>
      <c r="M542">
        <v>-2.9584820999999999</v>
      </c>
      <c r="N542">
        <v>-3.5637691131232998</v>
      </c>
      <c r="O542">
        <v>-5.9863787999999998</v>
      </c>
      <c r="P542">
        <v>-3.95</v>
      </c>
      <c r="R542">
        <v>22.699872398290001</v>
      </c>
      <c r="U542">
        <v>0</v>
      </c>
      <c r="W542">
        <v>3.1725165</v>
      </c>
      <c r="X542">
        <v>4.5131492460315998</v>
      </c>
      <c r="Y542">
        <v>4.1411584372960997</v>
      </c>
      <c r="Z542">
        <v>1.1811722072424999</v>
      </c>
      <c r="AA542">
        <v>1.2784777276449</v>
      </c>
    </row>
    <row r="543" spans="1:38" hidden="1" x14ac:dyDescent="0.3">
      <c r="A543" t="s">
        <v>49</v>
      </c>
      <c r="B543">
        <v>2025</v>
      </c>
      <c r="C543">
        <v>3044</v>
      </c>
      <c r="D543">
        <v>102.5643</v>
      </c>
      <c r="E543">
        <v>2967.933</v>
      </c>
      <c r="F543">
        <v>4.1018748230876998</v>
      </c>
      <c r="G543">
        <v>2455.4720779907002</v>
      </c>
      <c r="H543">
        <v>1.0330336835986</v>
      </c>
      <c r="I543">
        <v>2470.9066967218</v>
      </c>
      <c r="J543">
        <v>1.3543741306420001</v>
      </c>
      <c r="K543">
        <v>3.0374488668950002</v>
      </c>
      <c r="L543">
        <v>2.4767093808285998</v>
      </c>
      <c r="M543">
        <v>-2.1682415000000002</v>
      </c>
      <c r="N543">
        <v>-1.5124786257600999</v>
      </c>
      <c r="O543">
        <v>-5.2658902000000003</v>
      </c>
      <c r="P543">
        <v>0</v>
      </c>
      <c r="Q543">
        <v>43.762166100000002</v>
      </c>
      <c r="R543">
        <v>22.872069099284001</v>
      </c>
      <c r="U543">
        <v>0</v>
      </c>
      <c r="W543">
        <v>3.1836593999999998</v>
      </c>
      <c r="X543">
        <v>4.0465574279662997</v>
      </c>
      <c r="Y543">
        <v>4.5338521600192001</v>
      </c>
      <c r="Z543">
        <v>1.1729490453861999</v>
      </c>
      <c r="AA543">
        <v>1.3061016755971999</v>
      </c>
      <c r="AC543">
        <v>162.830122152</v>
      </c>
    </row>
    <row r="544" spans="1:38" hidden="1" x14ac:dyDescent="0.3">
      <c r="A544" t="s">
        <v>49</v>
      </c>
      <c r="B544">
        <v>2026</v>
      </c>
      <c r="C544">
        <v>3180.3</v>
      </c>
      <c r="D544">
        <v>103.8173</v>
      </c>
      <c r="E544">
        <v>3063.3429999999998</v>
      </c>
      <c r="F544">
        <v>3.2146952104377</v>
      </c>
      <c r="G544">
        <v>2488.2260623896</v>
      </c>
      <c r="H544">
        <v>1.333918014887</v>
      </c>
      <c r="I544">
        <v>2505.009368775</v>
      </c>
      <c r="J544">
        <v>1.3801683446166999</v>
      </c>
      <c r="K544">
        <v>1.8560308286425</v>
      </c>
      <c r="L544">
        <v>2.0119566334671002</v>
      </c>
      <c r="M544">
        <v>-1.2962842000000001</v>
      </c>
      <c r="N544">
        <v>-0.69659431158745</v>
      </c>
      <c r="O544">
        <v>-4.4475125000000002</v>
      </c>
      <c r="P544">
        <v>0</v>
      </c>
      <c r="Q544">
        <v>43.730687600000003</v>
      </c>
      <c r="R544">
        <v>22.950067048792</v>
      </c>
      <c r="U544">
        <v>0</v>
      </c>
      <c r="W544">
        <v>3.1712129999999998</v>
      </c>
      <c r="Z544">
        <v>1.1650422094791999</v>
      </c>
      <c r="AA544">
        <v>1.3219500942519</v>
      </c>
      <c r="AC544">
        <v>135.55325655999999</v>
      </c>
    </row>
    <row r="545" spans="1:29" hidden="1" x14ac:dyDescent="0.3">
      <c r="A545" t="s">
        <v>49</v>
      </c>
      <c r="B545">
        <v>2027</v>
      </c>
      <c r="G545">
        <v>2531.4098135124</v>
      </c>
      <c r="H545">
        <v>1.7355236236575</v>
      </c>
      <c r="I545">
        <v>2542.7673341047998</v>
      </c>
      <c r="J545">
        <v>1.5072983678398</v>
      </c>
      <c r="R545">
        <v>23.0280649983</v>
      </c>
      <c r="U545">
        <v>0</v>
      </c>
      <c r="AC545">
        <v>161.49010856000001</v>
      </c>
    </row>
    <row r="546" spans="1:29" hidden="1" x14ac:dyDescent="0.3">
      <c r="A546" t="s">
        <v>49</v>
      </c>
      <c r="B546">
        <v>2028</v>
      </c>
      <c r="G546">
        <v>2572.5801876220999</v>
      </c>
      <c r="H546">
        <v>1.6263812319112001</v>
      </c>
      <c r="I546">
        <v>2578.3383887267</v>
      </c>
      <c r="J546">
        <v>1.3989111054264001</v>
      </c>
      <c r="R546">
        <v>23.106062947807999</v>
      </c>
      <c r="U546">
        <v>0</v>
      </c>
      <c r="AC546">
        <v>167.63440793999999</v>
      </c>
    </row>
    <row r="547" spans="1:29" hidden="1" x14ac:dyDescent="0.3">
      <c r="A547" t="s">
        <v>49</v>
      </c>
      <c r="B547">
        <v>2029</v>
      </c>
      <c r="G547">
        <v>2615.4208156875002</v>
      </c>
      <c r="H547">
        <v>1.6652786284987999</v>
      </c>
      <c r="I547">
        <v>2615.4208156875002</v>
      </c>
      <c r="J547">
        <v>1.4382296413440001</v>
      </c>
      <c r="R547">
        <v>23.184060897316002</v>
      </c>
      <c r="U547">
        <v>0</v>
      </c>
      <c r="AC547">
        <v>126.23834100000001</v>
      </c>
    </row>
    <row r="548" spans="1:29" hidden="1" x14ac:dyDescent="0.3">
      <c r="A548" t="s">
        <v>49</v>
      </c>
      <c r="B548">
        <v>2030</v>
      </c>
      <c r="J548">
        <v>1.6527199418745</v>
      </c>
      <c r="R548">
        <v>23.262058846824001</v>
      </c>
      <c r="U548">
        <v>0</v>
      </c>
      <c r="AC548">
        <v>101.21486557</v>
      </c>
    </row>
    <row r="549" spans="1:29" hidden="1" x14ac:dyDescent="0.3">
      <c r="A549" t="s">
        <v>49</v>
      </c>
      <c r="B549">
        <v>2031</v>
      </c>
      <c r="J549">
        <v>1.8672102424050001</v>
      </c>
      <c r="R549">
        <v>23.360162589695999</v>
      </c>
      <c r="U549">
        <v>0</v>
      </c>
      <c r="AC549">
        <v>76.298947999999996</v>
      </c>
    </row>
    <row r="550" spans="1:29" hidden="1" x14ac:dyDescent="0.3">
      <c r="A550" t="s">
        <v>49</v>
      </c>
      <c r="B550">
        <v>2032</v>
      </c>
      <c r="J550">
        <v>1.9107377039742</v>
      </c>
      <c r="R550">
        <v>23.458266332567</v>
      </c>
      <c r="U550">
        <v>0</v>
      </c>
      <c r="AC550">
        <v>91.727187498999996</v>
      </c>
    </row>
    <row r="551" spans="1:29" hidden="1" x14ac:dyDescent="0.3">
      <c r="A551" t="s">
        <v>49</v>
      </c>
      <c r="B551">
        <v>2033</v>
      </c>
      <c r="J551">
        <v>1.9307644884508</v>
      </c>
      <c r="R551">
        <v>23.556370075438998</v>
      </c>
      <c r="U551">
        <v>0</v>
      </c>
      <c r="AC551">
        <v>88.398842999999999</v>
      </c>
    </row>
    <row r="552" spans="1:29" hidden="1" x14ac:dyDescent="0.3">
      <c r="A552" t="s">
        <v>49</v>
      </c>
      <c r="B552">
        <v>2034</v>
      </c>
      <c r="J552">
        <v>1.9143592413962001</v>
      </c>
      <c r="R552">
        <v>23.654473818309999</v>
      </c>
      <c r="U552">
        <v>0</v>
      </c>
      <c r="AC552">
        <v>118.93357899999999</v>
      </c>
    </row>
    <row r="553" spans="1:29" hidden="1" x14ac:dyDescent="0.3">
      <c r="A553" t="s">
        <v>49</v>
      </c>
      <c r="B553">
        <v>2035</v>
      </c>
      <c r="J553">
        <v>1.9073535681941001</v>
      </c>
      <c r="R553">
        <v>23.752577561182001</v>
      </c>
      <c r="U553">
        <v>0</v>
      </c>
      <c r="AC553">
        <v>64.939898804999999</v>
      </c>
    </row>
    <row r="554" spans="1:29" hidden="1" x14ac:dyDescent="0.3">
      <c r="A554" t="s">
        <v>49</v>
      </c>
      <c r="B554">
        <v>2036</v>
      </c>
      <c r="J554">
        <v>2.0260635131734999</v>
      </c>
      <c r="R554">
        <v>23.795413697937999</v>
      </c>
      <c r="U554">
        <v>0</v>
      </c>
      <c r="AC554">
        <v>45.911642000000001</v>
      </c>
    </row>
    <row r="555" spans="1:29" hidden="1" x14ac:dyDescent="0.3">
      <c r="A555" t="s">
        <v>49</v>
      </c>
      <c r="B555">
        <v>2037</v>
      </c>
      <c r="J555">
        <v>2.0144863400445998</v>
      </c>
      <c r="R555">
        <v>23.838249834694</v>
      </c>
      <c r="U555">
        <v>0</v>
      </c>
      <c r="AC555">
        <v>45.361989999999999</v>
      </c>
    </row>
    <row r="556" spans="1:29" hidden="1" x14ac:dyDescent="0.3">
      <c r="A556" t="s">
        <v>49</v>
      </c>
      <c r="B556">
        <v>2038</v>
      </c>
      <c r="J556">
        <v>1.9903586550272001</v>
      </c>
      <c r="R556">
        <v>23.881085971449998</v>
      </c>
      <c r="U556">
        <v>0</v>
      </c>
      <c r="AC556">
        <v>60.416459000000003</v>
      </c>
    </row>
    <row r="557" spans="1:29" hidden="1" x14ac:dyDescent="0.3">
      <c r="A557" t="s">
        <v>49</v>
      </c>
      <c r="B557">
        <v>2039</v>
      </c>
      <c r="J557">
        <v>2.0040517889990999</v>
      </c>
      <c r="R557">
        <v>23.923922108206</v>
      </c>
      <c r="U557">
        <v>0</v>
      </c>
      <c r="AC557">
        <v>63.732469999999999</v>
      </c>
    </row>
    <row r="558" spans="1:29" hidden="1" x14ac:dyDescent="0.3">
      <c r="A558" t="s">
        <v>49</v>
      </c>
      <c r="B558">
        <v>2040</v>
      </c>
      <c r="J558">
        <v>1.9576261807041</v>
      </c>
      <c r="R558">
        <v>23.966758244963</v>
      </c>
      <c r="U558">
        <v>0</v>
      </c>
      <c r="AC558">
        <v>60.560128900000002</v>
      </c>
    </row>
    <row r="559" spans="1:29" hidden="1" x14ac:dyDescent="0.3">
      <c r="A559" t="s">
        <v>49</v>
      </c>
      <c r="B559">
        <v>2041</v>
      </c>
      <c r="J559">
        <v>1.9264648492287999</v>
      </c>
      <c r="R559">
        <v>23.927768002975998</v>
      </c>
      <c r="U559">
        <v>0</v>
      </c>
      <c r="AC559">
        <v>46.611165999999997</v>
      </c>
    </row>
    <row r="560" spans="1:29" hidden="1" x14ac:dyDescent="0.3">
      <c r="A560" t="s">
        <v>49</v>
      </c>
      <c r="B560">
        <v>2042</v>
      </c>
      <c r="J560">
        <v>1.9030351552746001</v>
      </c>
      <c r="R560">
        <v>23.888777760989999</v>
      </c>
      <c r="U560">
        <v>0</v>
      </c>
      <c r="AC560">
        <v>41.204538999999997</v>
      </c>
    </row>
    <row r="561" spans="1:29" hidden="1" x14ac:dyDescent="0.3">
      <c r="A561" t="s">
        <v>49</v>
      </c>
      <c r="B561">
        <v>2043</v>
      </c>
      <c r="J561">
        <v>1.8715040493935999</v>
      </c>
      <c r="R561">
        <v>23.849787519003002</v>
      </c>
      <c r="U561">
        <v>0</v>
      </c>
      <c r="AC561">
        <v>28.479486999999999</v>
      </c>
    </row>
    <row r="562" spans="1:29" hidden="1" x14ac:dyDescent="0.3">
      <c r="A562" t="s">
        <v>49</v>
      </c>
      <c r="B562">
        <v>2044</v>
      </c>
      <c r="J562">
        <v>1.8380180502523999</v>
      </c>
      <c r="R562">
        <v>23.810797277016999</v>
      </c>
      <c r="U562">
        <v>0</v>
      </c>
      <c r="AC562">
        <v>45.132092999999998</v>
      </c>
    </row>
    <row r="563" spans="1:29" hidden="1" x14ac:dyDescent="0.3">
      <c r="A563" t="s">
        <v>49</v>
      </c>
      <c r="B563">
        <v>2045</v>
      </c>
      <c r="J563">
        <v>1.8320502579635001</v>
      </c>
      <c r="R563">
        <v>23.771807035030001</v>
      </c>
      <c r="U563">
        <v>0</v>
      </c>
      <c r="AC563">
        <v>41.859532999999999</v>
      </c>
    </row>
    <row r="564" spans="1:29" hidden="1" x14ac:dyDescent="0.3">
      <c r="A564" t="s">
        <v>49</v>
      </c>
      <c r="B564">
        <v>2046</v>
      </c>
      <c r="J564">
        <v>1.8340168202402001</v>
      </c>
      <c r="R564">
        <v>23.803879844884001</v>
      </c>
      <c r="U564">
        <v>0</v>
      </c>
      <c r="AC564">
        <v>62.086430999999997</v>
      </c>
    </row>
    <row r="565" spans="1:29" hidden="1" x14ac:dyDescent="0.3">
      <c r="A565" t="s">
        <v>49</v>
      </c>
      <c r="B565">
        <v>2047</v>
      </c>
      <c r="J565">
        <v>1.8195141093423</v>
      </c>
      <c r="R565">
        <v>23.835952654738001</v>
      </c>
      <c r="U565">
        <v>0</v>
      </c>
      <c r="AC565">
        <v>37.672068000000003</v>
      </c>
    </row>
    <row r="566" spans="1:29" hidden="1" x14ac:dyDescent="0.3">
      <c r="A566" t="s">
        <v>49</v>
      </c>
      <c r="B566">
        <v>2048</v>
      </c>
      <c r="J566">
        <v>1.7957816341996999</v>
      </c>
      <c r="R566">
        <v>23.868025464592002</v>
      </c>
      <c r="U566">
        <v>0</v>
      </c>
      <c r="AC566">
        <v>11.780815</v>
      </c>
    </row>
    <row r="567" spans="1:29" hidden="1" x14ac:dyDescent="0.3">
      <c r="A567" t="s">
        <v>49</v>
      </c>
      <c r="B567">
        <v>2049</v>
      </c>
      <c r="J567">
        <v>1.7684569403289001</v>
      </c>
      <c r="R567">
        <v>23.900098274446002</v>
      </c>
      <c r="U567">
        <v>0</v>
      </c>
      <c r="AC567">
        <v>56.797168999999997</v>
      </c>
    </row>
    <row r="568" spans="1:29" hidden="1" x14ac:dyDescent="0.3">
      <c r="A568" t="s">
        <v>49</v>
      </c>
      <c r="B568">
        <v>2050</v>
      </c>
      <c r="J568">
        <v>1.7628280272973</v>
      </c>
      <c r="R568">
        <v>23.932171084299998</v>
      </c>
      <c r="U568">
        <v>0</v>
      </c>
      <c r="AC568">
        <v>44.4640542</v>
      </c>
    </row>
    <row r="569" spans="1:29" hidden="1" x14ac:dyDescent="0.3">
      <c r="A569" t="s">
        <v>49</v>
      </c>
      <c r="B569">
        <v>2051</v>
      </c>
      <c r="J569">
        <v>1.7573116115273</v>
      </c>
      <c r="R569">
        <v>23.992508541244</v>
      </c>
      <c r="U569">
        <v>0</v>
      </c>
      <c r="AC569">
        <v>41.797296000000003</v>
      </c>
    </row>
    <row r="570" spans="1:29" hidden="1" x14ac:dyDescent="0.3">
      <c r="A570" t="s">
        <v>49</v>
      </c>
      <c r="B570">
        <v>2052</v>
      </c>
      <c r="J570">
        <v>1.7446770687416999</v>
      </c>
      <c r="R570">
        <v>24.052845998186999</v>
      </c>
      <c r="U570">
        <v>0</v>
      </c>
      <c r="AC570">
        <v>37.737121000000002</v>
      </c>
    </row>
    <row r="571" spans="1:29" hidden="1" x14ac:dyDescent="0.3">
      <c r="A571" t="s">
        <v>49</v>
      </c>
      <c r="B571">
        <v>2053</v>
      </c>
      <c r="J571">
        <v>1.7322971889515999</v>
      </c>
      <c r="R571">
        <v>24.113183455131001</v>
      </c>
      <c r="U571">
        <v>0</v>
      </c>
      <c r="AC571">
        <v>54.503996999999998</v>
      </c>
    </row>
    <row r="572" spans="1:29" hidden="1" x14ac:dyDescent="0.3">
      <c r="A572" t="s">
        <v>49</v>
      </c>
      <c r="B572">
        <v>2054</v>
      </c>
      <c r="J572">
        <v>1.7152239211331</v>
      </c>
      <c r="R572">
        <v>24.173520912074</v>
      </c>
      <c r="U572">
        <v>0</v>
      </c>
      <c r="AC572">
        <v>67.674503999999999</v>
      </c>
    </row>
    <row r="573" spans="1:29" hidden="1" x14ac:dyDescent="0.3">
      <c r="A573" t="s">
        <v>49</v>
      </c>
      <c r="B573">
        <v>2055</v>
      </c>
      <c r="J573">
        <v>1.6993113735148999</v>
      </c>
      <c r="R573">
        <v>24.233858369018002</v>
      </c>
      <c r="U573">
        <v>0</v>
      </c>
      <c r="AC573">
        <v>38.1243725</v>
      </c>
    </row>
    <row r="574" spans="1:29" hidden="1" x14ac:dyDescent="0.3">
      <c r="A574" t="s">
        <v>49</v>
      </c>
      <c r="B574">
        <v>2056</v>
      </c>
      <c r="J574">
        <v>1.6851469467057001</v>
      </c>
      <c r="R574">
        <v>24.262155252342001</v>
      </c>
      <c r="U574">
        <v>0</v>
      </c>
      <c r="AC574">
        <v>7.1466050000000001</v>
      </c>
    </row>
    <row r="575" spans="1:29" hidden="1" x14ac:dyDescent="0.3">
      <c r="A575" t="s">
        <v>49</v>
      </c>
      <c r="B575">
        <v>2057</v>
      </c>
      <c r="J575">
        <v>1.6663979928732</v>
      </c>
      <c r="R575">
        <v>24.290452135664999</v>
      </c>
      <c r="U575">
        <v>0</v>
      </c>
      <c r="AC575">
        <v>31.056493</v>
      </c>
    </row>
    <row r="576" spans="1:29" hidden="1" x14ac:dyDescent="0.3">
      <c r="A576" t="s">
        <v>49</v>
      </c>
      <c r="B576">
        <v>2058</v>
      </c>
      <c r="J576">
        <v>1.6565705974595999</v>
      </c>
      <c r="R576">
        <v>24.318749018988001</v>
      </c>
      <c r="U576">
        <v>0</v>
      </c>
      <c r="AC576">
        <v>10.953298</v>
      </c>
    </row>
    <row r="577" spans="1:38" hidden="1" x14ac:dyDescent="0.3">
      <c r="A577" t="s">
        <v>49</v>
      </c>
      <c r="B577">
        <v>2059</v>
      </c>
      <c r="J577">
        <v>1.6355235720945001</v>
      </c>
      <c r="R577">
        <v>24.347045902312001</v>
      </c>
      <c r="U577">
        <v>0</v>
      </c>
      <c r="AC577">
        <v>0</v>
      </c>
    </row>
    <row r="578" spans="1:38" hidden="1" x14ac:dyDescent="0.3">
      <c r="A578" t="s">
        <v>49</v>
      </c>
      <c r="B578">
        <v>2060</v>
      </c>
      <c r="J578">
        <v>1.6473427983653</v>
      </c>
      <c r="R578">
        <v>24.375342785634999</v>
      </c>
      <c r="U578">
        <v>0</v>
      </c>
      <c r="AC578">
        <v>25.390408999999998</v>
      </c>
    </row>
    <row r="579" spans="1:38" hidden="1" x14ac:dyDescent="0.3">
      <c r="A579" t="s">
        <v>49</v>
      </c>
      <c r="B579">
        <v>2061</v>
      </c>
      <c r="J579">
        <v>1.6296370842924</v>
      </c>
      <c r="R579">
        <v>24.375342785634999</v>
      </c>
      <c r="U579">
        <v>0</v>
      </c>
      <c r="AC579">
        <v>26.151249</v>
      </c>
    </row>
    <row r="580" spans="1:38" hidden="1" x14ac:dyDescent="0.3">
      <c r="A580" t="s">
        <v>49</v>
      </c>
      <c r="B580">
        <v>2062</v>
      </c>
      <c r="J580">
        <v>1.6083939001509</v>
      </c>
      <c r="R580">
        <v>24.375342785634999</v>
      </c>
      <c r="U580">
        <v>0</v>
      </c>
      <c r="AC580">
        <v>12.479737</v>
      </c>
    </row>
    <row r="581" spans="1:38" hidden="1" x14ac:dyDescent="0.3">
      <c r="A581" t="s">
        <v>49</v>
      </c>
      <c r="B581">
        <v>2063</v>
      </c>
      <c r="J581">
        <v>1.5970643940731</v>
      </c>
      <c r="R581">
        <v>24.375342785634999</v>
      </c>
      <c r="U581">
        <v>0</v>
      </c>
      <c r="AC581">
        <v>16.898247999999999</v>
      </c>
    </row>
    <row r="582" spans="1:38" hidden="1" x14ac:dyDescent="0.3">
      <c r="A582" t="s">
        <v>49</v>
      </c>
      <c r="B582">
        <v>2064</v>
      </c>
      <c r="J582">
        <v>1.6009267250738</v>
      </c>
      <c r="R582">
        <v>24.375342785634999</v>
      </c>
      <c r="U582">
        <v>0</v>
      </c>
      <c r="AC582">
        <v>0</v>
      </c>
    </row>
    <row r="583" spans="1:38" hidden="1" x14ac:dyDescent="0.3">
      <c r="A583" t="s">
        <v>49</v>
      </c>
      <c r="B583">
        <v>2065</v>
      </c>
      <c r="J583">
        <v>1.6081199060166</v>
      </c>
      <c r="R583">
        <v>24.375342785634999</v>
      </c>
      <c r="U583">
        <v>0</v>
      </c>
      <c r="AC583">
        <v>28.910883999999999</v>
      </c>
    </row>
    <row r="584" spans="1:38" hidden="1" x14ac:dyDescent="0.3">
      <c r="A584" t="s">
        <v>49</v>
      </c>
      <c r="B584">
        <v>2066</v>
      </c>
      <c r="J584">
        <v>1.6167095199787</v>
      </c>
      <c r="R584">
        <v>24.375342785634999</v>
      </c>
      <c r="U584">
        <v>0</v>
      </c>
      <c r="AC584">
        <v>0</v>
      </c>
    </row>
    <row r="585" spans="1:38" hidden="1" x14ac:dyDescent="0.3">
      <c r="A585" t="s">
        <v>49</v>
      </c>
      <c r="B585">
        <v>2067</v>
      </c>
      <c r="J585">
        <v>1.6420883354258</v>
      </c>
      <c r="R585">
        <v>24.375342785634999</v>
      </c>
      <c r="U585">
        <v>0</v>
      </c>
      <c r="AC585">
        <v>0</v>
      </c>
    </row>
    <row r="586" spans="1:38" hidden="1" x14ac:dyDescent="0.3">
      <c r="A586" t="s">
        <v>49</v>
      </c>
      <c r="B586">
        <v>2068</v>
      </c>
      <c r="J586">
        <v>1.6982253767490001</v>
      </c>
      <c r="R586">
        <v>24.375342785634999</v>
      </c>
      <c r="U586">
        <v>0</v>
      </c>
      <c r="AC586">
        <v>33.556448000000003</v>
      </c>
    </row>
    <row r="587" spans="1:38" hidden="1" x14ac:dyDescent="0.3">
      <c r="A587" t="s">
        <v>49</v>
      </c>
      <c r="B587">
        <v>2069</v>
      </c>
      <c r="J587">
        <v>1.7459147367757</v>
      </c>
      <c r="R587">
        <v>24.375342785634999</v>
      </c>
      <c r="U587">
        <v>0</v>
      </c>
      <c r="AC587">
        <v>0</v>
      </c>
    </row>
    <row r="588" spans="1:38" hidden="1" x14ac:dyDescent="0.3">
      <c r="A588" t="s">
        <v>49</v>
      </c>
      <c r="B588">
        <v>2070</v>
      </c>
      <c r="J588">
        <v>1.7985953964929999</v>
      </c>
      <c r="R588">
        <v>24.375342785634999</v>
      </c>
      <c r="U588">
        <v>0</v>
      </c>
      <c r="AC588">
        <v>0</v>
      </c>
    </row>
    <row r="589" spans="1:38" hidden="1" x14ac:dyDescent="0.3">
      <c r="A589" t="s">
        <v>49</v>
      </c>
      <c r="B589">
        <v>2071</v>
      </c>
      <c r="J589">
        <v>1.8170832236707</v>
      </c>
    </row>
    <row r="590" spans="1:38" hidden="1" x14ac:dyDescent="0.3">
      <c r="A590" t="s">
        <v>49</v>
      </c>
      <c r="B590">
        <v>2072</v>
      </c>
      <c r="J590">
        <v>1.8073904956928</v>
      </c>
    </row>
    <row r="591" spans="1:38" hidden="1" x14ac:dyDescent="0.3">
      <c r="A591" t="s">
        <v>49</v>
      </c>
      <c r="B591">
        <v>2073</v>
      </c>
      <c r="J591">
        <v>1.7986460104888999</v>
      </c>
    </row>
    <row r="592" spans="1:38" hidden="1" x14ac:dyDescent="0.3">
      <c r="A592" t="s">
        <v>50</v>
      </c>
      <c r="B592">
        <v>0</v>
      </c>
      <c r="AD592">
        <v>4.4180407203705002E-2</v>
      </c>
      <c r="AE592">
        <v>1.7795677031127E-2</v>
      </c>
      <c r="AF592">
        <v>1.7795677031127E-2</v>
      </c>
      <c r="AG592">
        <v>0</v>
      </c>
      <c r="AH592">
        <v>0.99994502472697999</v>
      </c>
      <c r="AI592">
        <v>3.6246489473683998</v>
      </c>
      <c r="AJ592">
        <v>4.6361494736841999</v>
      </c>
      <c r="AK592">
        <v>2.1578473684211001</v>
      </c>
      <c r="AL592">
        <v>0.52400000000000002</v>
      </c>
    </row>
    <row r="593" spans="1:29" hidden="1" x14ac:dyDescent="0.3">
      <c r="A593" t="s">
        <v>50</v>
      </c>
      <c r="B593">
        <v>2024</v>
      </c>
      <c r="C593">
        <v>364.9</v>
      </c>
      <c r="D593">
        <v>153.58860000000001</v>
      </c>
      <c r="E593">
        <v>237.57339999999999</v>
      </c>
      <c r="F593">
        <v>5.4958571809825001</v>
      </c>
      <c r="G593">
        <v>201.4591035</v>
      </c>
      <c r="H593">
        <v>2.2717336231082998</v>
      </c>
      <c r="I593">
        <v>197.94668609153999</v>
      </c>
      <c r="J593">
        <v>1.2405778863993</v>
      </c>
      <c r="K593">
        <v>3.1525116309921</v>
      </c>
      <c r="L593">
        <v>2.9323319626384001</v>
      </c>
      <c r="M593">
        <v>4.7989459999999999</v>
      </c>
      <c r="N593">
        <v>4.0374999999999996</v>
      </c>
      <c r="O593">
        <v>1.3389568999999999</v>
      </c>
      <c r="P593">
        <v>-1.04</v>
      </c>
      <c r="Q593">
        <v>44.518106000000003</v>
      </c>
      <c r="R593">
        <v>21.962581608628</v>
      </c>
      <c r="S593">
        <v>1.8000302135163999</v>
      </c>
      <c r="U593">
        <v>0</v>
      </c>
      <c r="V593">
        <v>0</v>
      </c>
      <c r="W593">
        <v>2.2269784000000001</v>
      </c>
      <c r="X593">
        <v>3.3039999999999998</v>
      </c>
      <c r="Y593">
        <v>3.35</v>
      </c>
      <c r="Z593">
        <v>1</v>
      </c>
      <c r="AA593">
        <v>1.0823804690000001</v>
      </c>
      <c r="AB593">
        <v>1.7379772580320001</v>
      </c>
    </row>
    <row r="594" spans="1:29" hidden="1" x14ac:dyDescent="0.3">
      <c r="A594" t="s">
        <v>50</v>
      </c>
      <c r="B594">
        <v>2025</v>
      </c>
      <c r="C594">
        <v>368.3</v>
      </c>
      <c r="D594">
        <v>146.55340000000001</v>
      </c>
      <c r="E594">
        <v>251.2824</v>
      </c>
      <c r="F594">
        <v>5.7704271606165003</v>
      </c>
      <c r="G594">
        <v>206.05192716035</v>
      </c>
      <c r="H594">
        <v>2.2797796577840002</v>
      </c>
      <c r="I594">
        <v>201.29763257287999</v>
      </c>
      <c r="J594">
        <v>1.6928530340678001</v>
      </c>
      <c r="K594">
        <v>3.4128283857863999</v>
      </c>
      <c r="L594">
        <v>2.4767093808285998</v>
      </c>
      <c r="M594">
        <v>3.7773886000000001</v>
      </c>
      <c r="N594">
        <v>2.5878999999999999</v>
      </c>
      <c r="O594">
        <v>0.66501520000000003</v>
      </c>
      <c r="P594">
        <v>5.05</v>
      </c>
      <c r="Q594">
        <v>44.368950599999998</v>
      </c>
      <c r="R594">
        <v>21.702217156364998</v>
      </c>
      <c r="S594">
        <v>1.7685807071455</v>
      </c>
      <c r="U594">
        <v>0</v>
      </c>
      <c r="V594">
        <v>-2.5118418037890999E-2</v>
      </c>
      <c r="W594">
        <v>2.1433727</v>
      </c>
      <c r="X594">
        <v>2.6070000000000002</v>
      </c>
      <c r="Y594">
        <v>3.41</v>
      </c>
      <c r="Z594">
        <v>1</v>
      </c>
      <c r="AA594">
        <v>1.113519535</v>
      </c>
      <c r="AB594">
        <v>1.7379772580320001</v>
      </c>
      <c r="AC594">
        <v>1.8480000000000001</v>
      </c>
    </row>
    <row r="595" spans="1:29" hidden="1" x14ac:dyDescent="0.3">
      <c r="A595" t="s">
        <v>50</v>
      </c>
      <c r="B595">
        <v>2026</v>
      </c>
      <c r="C595">
        <v>369.5</v>
      </c>
      <c r="D595">
        <v>140.62780000000001</v>
      </c>
      <c r="E595">
        <v>262.7697</v>
      </c>
      <c r="F595">
        <v>4.5714701865312</v>
      </c>
      <c r="G595">
        <v>210.62473079809999</v>
      </c>
      <c r="H595">
        <v>2.2192481772803001</v>
      </c>
      <c r="I595">
        <v>205.07343601958999</v>
      </c>
      <c r="J595">
        <v>1.8757316707852001</v>
      </c>
      <c r="K595">
        <v>2.3011596575738</v>
      </c>
      <c r="L595">
        <v>2.0119566334671002</v>
      </c>
      <c r="M595">
        <v>4.3701695999999997</v>
      </c>
      <c r="N595">
        <v>2.9517000000000002</v>
      </c>
      <c r="O595">
        <v>1.3587264999999999</v>
      </c>
      <c r="P595">
        <v>4.83</v>
      </c>
      <c r="Q595">
        <v>44.622713099999999</v>
      </c>
      <c r="R595">
        <v>21.505041672427001</v>
      </c>
      <c r="S595">
        <v>1.7443438232077</v>
      </c>
      <c r="U595">
        <v>0</v>
      </c>
      <c r="V595">
        <v>-4.4214904308319002E-2</v>
      </c>
      <c r="W595">
        <v>2.1487807999999999</v>
      </c>
      <c r="Z595">
        <v>1</v>
      </c>
      <c r="AA595">
        <v>1.1346799999999999</v>
      </c>
      <c r="AB595">
        <v>1.7379772580320001</v>
      </c>
      <c r="AC595">
        <v>7.2393721539999998</v>
      </c>
    </row>
    <row r="596" spans="1:29" hidden="1" x14ac:dyDescent="0.3">
      <c r="A596" t="s">
        <v>50</v>
      </c>
      <c r="B596">
        <v>2027</v>
      </c>
      <c r="G596">
        <v>211.96073082706999</v>
      </c>
      <c r="H596">
        <v>0.63430349508702</v>
      </c>
      <c r="I596">
        <v>208.20338297097999</v>
      </c>
      <c r="J596">
        <v>1.5262566484179001</v>
      </c>
      <c r="R596">
        <v>21.27286881181</v>
      </c>
      <c r="S596">
        <v>1.7139987925325</v>
      </c>
      <c r="U596">
        <v>0</v>
      </c>
      <c r="V596">
        <v>-7.1790337562560994E-2</v>
      </c>
      <c r="AB596">
        <v>1.7379772580320001</v>
      </c>
      <c r="AC596">
        <v>6.1736944090000003</v>
      </c>
    </row>
    <row r="597" spans="1:29" hidden="1" x14ac:dyDescent="0.3">
      <c r="A597" t="s">
        <v>50</v>
      </c>
      <c r="B597">
        <v>2028</v>
      </c>
      <c r="G597">
        <v>212.85640316696001</v>
      </c>
      <c r="H597">
        <v>0.42256522535572999</v>
      </c>
      <c r="I597">
        <v>210.95291944754999</v>
      </c>
      <c r="J597">
        <v>1.3206012492854999</v>
      </c>
      <c r="R597">
        <v>21.171141674091</v>
      </c>
      <c r="S597">
        <v>1.7000389312224999</v>
      </c>
      <c r="U597">
        <v>0</v>
      </c>
      <c r="V597">
        <v>-8.6437709629535994E-2</v>
      </c>
      <c r="AB597">
        <v>1.832228078472</v>
      </c>
      <c r="AC597">
        <v>9.9459913839999992</v>
      </c>
    </row>
    <row r="598" spans="1:29" hidden="1" x14ac:dyDescent="0.3">
      <c r="A598" t="s">
        <v>50</v>
      </c>
      <c r="B598">
        <v>2029</v>
      </c>
      <c r="G598">
        <v>213.54624105031999</v>
      </c>
      <c r="H598">
        <v>0.32408603786278001</v>
      </c>
      <c r="I598">
        <v>213.54624105031999</v>
      </c>
      <c r="J598">
        <v>1.2293366735879001</v>
      </c>
      <c r="R598">
        <v>21.160783647220001</v>
      </c>
      <c r="S598">
        <v>1.6976386896383</v>
      </c>
      <c r="U598">
        <v>0</v>
      </c>
      <c r="V598">
        <v>-9.0841278433799993E-2</v>
      </c>
      <c r="AB598">
        <v>1.832228078472</v>
      </c>
      <c r="AC598">
        <v>4.6648028960000003</v>
      </c>
    </row>
    <row r="599" spans="1:29" hidden="1" x14ac:dyDescent="0.3">
      <c r="A599" t="s">
        <v>50</v>
      </c>
      <c r="B599">
        <v>2030</v>
      </c>
      <c r="J599">
        <v>1.1578429527361001</v>
      </c>
      <c r="R599">
        <v>21.214741912560999</v>
      </c>
      <c r="S599">
        <v>1.7026749431870001</v>
      </c>
      <c r="U599">
        <v>0</v>
      </c>
      <c r="V599">
        <v>-8.8751666247845001E-2</v>
      </c>
      <c r="AB599">
        <v>1.832228078472</v>
      </c>
      <c r="AC599">
        <v>5.7504609450000004</v>
      </c>
    </row>
    <row r="600" spans="1:29" hidden="1" x14ac:dyDescent="0.3">
      <c r="A600" t="s">
        <v>50</v>
      </c>
      <c r="B600">
        <v>2031</v>
      </c>
      <c r="J600">
        <v>1.0863492318843</v>
      </c>
      <c r="R600">
        <v>21.327127201442998</v>
      </c>
      <c r="S600">
        <v>1.7141423499866999</v>
      </c>
      <c r="U600">
        <v>0</v>
      </c>
      <c r="V600">
        <v>-8.0354019999504006E-2</v>
      </c>
      <c r="AB600">
        <v>1.832228078472</v>
      </c>
      <c r="AC600">
        <v>6.1290072430000002</v>
      </c>
    </row>
    <row r="601" spans="1:29" hidden="1" x14ac:dyDescent="0.3">
      <c r="A601" t="s">
        <v>50</v>
      </c>
      <c r="B601">
        <v>2032</v>
      </c>
      <c r="J601">
        <v>1.0148555110326001</v>
      </c>
      <c r="R601">
        <v>21.48559871414</v>
      </c>
      <c r="S601">
        <v>1.7315700450831999</v>
      </c>
      <c r="U601">
        <v>0</v>
      </c>
      <c r="V601">
        <v>-6.6049367189407002E-2</v>
      </c>
      <c r="AB601">
        <v>1.832228078472</v>
      </c>
      <c r="AC601">
        <v>3.8261926850000001</v>
      </c>
    </row>
    <row r="602" spans="1:29" hidden="1" x14ac:dyDescent="0.3">
      <c r="A602" t="s">
        <v>50</v>
      </c>
      <c r="B602">
        <v>2033</v>
      </c>
      <c r="J602">
        <v>0.94336179018080002</v>
      </c>
      <c r="R602">
        <v>21.663267761638998</v>
      </c>
      <c r="S602">
        <v>1.7517082317798001</v>
      </c>
      <c r="U602">
        <v>0</v>
      </c>
      <c r="V602">
        <v>-4.9168862402438999E-2</v>
      </c>
      <c r="AB602">
        <v>1.832228078472</v>
      </c>
      <c r="AC602">
        <v>12.114214556</v>
      </c>
    </row>
    <row r="603" spans="1:29" hidden="1" x14ac:dyDescent="0.3">
      <c r="A603" t="s">
        <v>50</v>
      </c>
      <c r="B603">
        <v>2034</v>
      </c>
      <c r="J603">
        <v>0.87186806932903005</v>
      </c>
      <c r="R603">
        <v>21.844722132449998</v>
      </c>
      <c r="S603">
        <v>1.7722531164344999</v>
      </c>
      <c r="U603">
        <v>0</v>
      </c>
      <c r="V603">
        <v>-3.1857341527939002E-2</v>
      </c>
      <c r="AB603">
        <v>2.9022286710020002</v>
      </c>
      <c r="AC603">
        <v>5.4183356079999996</v>
      </c>
    </row>
    <row r="604" spans="1:29" hidden="1" x14ac:dyDescent="0.3">
      <c r="A604" t="s">
        <v>50</v>
      </c>
      <c r="B604">
        <v>2035</v>
      </c>
      <c r="J604">
        <v>0.80037434847725997</v>
      </c>
      <c r="R604">
        <v>22.017052991528001</v>
      </c>
      <c r="S604">
        <v>1.7912555539907999</v>
      </c>
      <c r="U604">
        <v>0</v>
      </c>
      <c r="V604">
        <v>-3.4952188757332997E-2</v>
      </c>
      <c r="AB604">
        <v>2.975905115472</v>
      </c>
      <c r="AC604">
        <v>9.0944294429999992</v>
      </c>
    </row>
    <row r="605" spans="1:29" hidden="1" x14ac:dyDescent="0.3">
      <c r="A605" t="s">
        <v>50</v>
      </c>
      <c r="B605">
        <v>2036</v>
      </c>
      <c r="J605">
        <v>0.72888062762549</v>
      </c>
      <c r="R605">
        <v>21.918621138193</v>
      </c>
      <c r="S605">
        <v>1.7737448428595</v>
      </c>
      <c r="U605">
        <v>0</v>
      </c>
      <c r="V605">
        <v>-3.8047035986726999E-2</v>
      </c>
      <c r="AB605">
        <v>2.9933051154719998</v>
      </c>
      <c r="AC605">
        <v>0.166211678</v>
      </c>
    </row>
    <row r="606" spans="1:29" hidden="1" x14ac:dyDescent="0.3">
      <c r="A606" t="s">
        <v>50</v>
      </c>
      <c r="B606">
        <v>2037</v>
      </c>
      <c r="J606">
        <v>0.84414401079775003</v>
      </c>
      <c r="R606">
        <v>22.044506761769</v>
      </c>
      <c r="S606">
        <v>1.7861486091894001</v>
      </c>
      <c r="U606">
        <v>0</v>
      </c>
      <c r="V606">
        <v>-4.1141883216121E-2</v>
      </c>
      <c r="AB606">
        <v>3.0107051154720001</v>
      </c>
      <c r="AC606">
        <v>5.90111002</v>
      </c>
    </row>
    <row r="607" spans="1:29" hidden="1" x14ac:dyDescent="0.3">
      <c r="A607" t="s">
        <v>50</v>
      </c>
      <c r="B607">
        <v>2038</v>
      </c>
      <c r="J607">
        <v>0.92777121882661995</v>
      </c>
      <c r="R607">
        <v>22.203710696157</v>
      </c>
      <c r="S607">
        <v>1.8028424846661999</v>
      </c>
      <c r="U607">
        <v>0</v>
      </c>
      <c r="V607">
        <v>-4.4236730445515002E-2</v>
      </c>
      <c r="AB607">
        <v>2.7073701641099999</v>
      </c>
      <c r="AC607">
        <v>5.6469410890000002</v>
      </c>
    </row>
    <row r="608" spans="1:29" hidden="1" x14ac:dyDescent="0.3">
      <c r="A608" t="s">
        <v>50</v>
      </c>
      <c r="B608">
        <v>2039</v>
      </c>
      <c r="J608">
        <v>1.0223489906029</v>
      </c>
      <c r="R608">
        <v>22.372212759819</v>
      </c>
      <c r="S608">
        <v>1.8206941479647001</v>
      </c>
      <c r="U608">
        <v>0</v>
      </c>
      <c r="V608">
        <v>-4.7331577674909003E-2</v>
      </c>
      <c r="AB608">
        <v>2.7247701641100002</v>
      </c>
      <c r="AC608">
        <v>0.13511561399999999</v>
      </c>
    </row>
    <row r="609" spans="1:29" hidden="1" x14ac:dyDescent="0.3">
      <c r="A609" t="s">
        <v>50</v>
      </c>
      <c r="B609">
        <v>2040</v>
      </c>
      <c r="J609">
        <v>1.1296334646871999</v>
      </c>
      <c r="R609">
        <v>22.546206710566999</v>
      </c>
      <c r="S609">
        <v>1.838734589895</v>
      </c>
      <c r="U609">
        <v>0</v>
      </c>
      <c r="V609">
        <v>-5.0426424904302998E-2</v>
      </c>
      <c r="AB609">
        <v>2.74217016411</v>
      </c>
      <c r="AC609">
        <v>0.141909639</v>
      </c>
    </row>
    <row r="610" spans="1:29" hidden="1" x14ac:dyDescent="0.3">
      <c r="A610" t="s">
        <v>50</v>
      </c>
      <c r="B610">
        <v>2041</v>
      </c>
      <c r="J610">
        <v>1.1368528417496999</v>
      </c>
      <c r="R610">
        <v>22.725609612635001</v>
      </c>
      <c r="S610">
        <v>1.857289482069</v>
      </c>
      <c r="U610">
        <v>0</v>
      </c>
      <c r="V610">
        <v>-5.3521272133697E-2</v>
      </c>
      <c r="AB610">
        <v>2.76305016411</v>
      </c>
      <c r="AC610">
        <v>0.138788722</v>
      </c>
    </row>
    <row r="611" spans="1:29" hidden="1" x14ac:dyDescent="0.3">
      <c r="A611" t="s">
        <v>50</v>
      </c>
      <c r="B611">
        <v>2042</v>
      </c>
      <c r="J611">
        <v>1.1493767881004999</v>
      </c>
      <c r="R611">
        <v>22.902238458170999</v>
      </c>
      <c r="S611">
        <v>1.8754104395668001</v>
      </c>
      <c r="U611">
        <v>0</v>
      </c>
      <c r="V611">
        <v>-5.6616119363091001E-2</v>
      </c>
      <c r="AB611">
        <v>2.78393016411</v>
      </c>
      <c r="AC611">
        <v>5.6406440809999996</v>
      </c>
    </row>
    <row r="612" spans="1:29" hidden="1" x14ac:dyDescent="0.3">
      <c r="A612" t="s">
        <v>50</v>
      </c>
      <c r="B612">
        <v>2043</v>
      </c>
      <c r="J612">
        <v>1.1500040792271999</v>
      </c>
      <c r="R612">
        <v>23.062135927162</v>
      </c>
      <c r="S612">
        <v>1.8912579963108</v>
      </c>
      <c r="U612">
        <v>0</v>
      </c>
      <c r="V612">
        <v>-5.9710966592485003E-2</v>
      </c>
      <c r="AB612">
        <v>3.6246644589999999</v>
      </c>
      <c r="AC612">
        <v>0</v>
      </c>
    </row>
    <row r="613" spans="1:29" hidden="1" x14ac:dyDescent="0.3">
      <c r="A613" t="s">
        <v>50</v>
      </c>
      <c r="B613">
        <v>2044</v>
      </c>
      <c r="J613">
        <v>1.1637451438321</v>
      </c>
      <c r="R613">
        <v>23.210920499252001</v>
      </c>
      <c r="S613">
        <v>1.9052802479841</v>
      </c>
      <c r="U613">
        <v>0</v>
      </c>
      <c r="V613">
        <v>-6.2805813821878997E-2</v>
      </c>
      <c r="AB613">
        <v>3.6959848819999999</v>
      </c>
      <c r="AC613">
        <v>0</v>
      </c>
    </row>
    <row r="614" spans="1:29" hidden="1" x14ac:dyDescent="0.3">
      <c r="A614" t="s">
        <v>50</v>
      </c>
      <c r="B614">
        <v>2045</v>
      </c>
      <c r="J614">
        <v>1.1796881162794</v>
      </c>
      <c r="R614">
        <v>23.011651274064999</v>
      </c>
      <c r="S614">
        <v>1.873087753439</v>
      </c>
      <c r="U614">
        <v>0</v>
      </c>
      <c r="V614">
        <v>-6.5900661051272999E-2</v>
      </c>
      <c r="AB614">
        <v>3.7688185179999998</v>
      </c>
      <c r="AC614">
        <v>0</v>
      </c>
    </row>
    <row r="615" spans="1:29" hidden="1" x14ac:dyDescent="0.3">
      <c r="A615" t="s">
        <v>50</v>
      </c>
      <c r="B615">
        <v>2046</v>
      </c>
      <c r="J615">
        <v>1.1752798165834</v>
      </c>
      <c r="R615">
        <v>23.094547947868001</v>
      </c>
      <c r="S615">
        <v>1.8784916176813999</v>
      </c>
      <c r="U615">
        <v>0</v>
      </c>
      <c r="V615">
        <v>-6.8995508280667001E-2</v>
      </c>
      <c r="AB615">
        <v>3.8432107609999999</v>
      </c>
      <c r="AC615">
        <v>0</v>
      </c>
    </row>
    <row r="616" spans="1:29" hidden="1" x14ac:dyDescent="0.3">
      <c r="A616" t="s">
        <v>50</v>
      </c>
      <c r="B616">
        <v>2047</v>
      </c>
      <c r="J616">
        <v>1.1886478419687001</v>
      </c>
      <c r="R616">
        <v>23.167118293432001</v>
      </c>
      <c r="S616">
        <v>1.8829321764250999</v>
      </c>
      <c r="U616">
        <v>0</v>
      </c>
      <c r="V616">
        <v>-7.2090355510061002E-2</v>
      </c>
      <c r="AB616">
        <v>3.9192083740000001</v>
      </c>
      <c r="AC616">
        <v>0</v>
      </c>
    </row>
    <row r="617" spans="1:29" hidden="1" x14ac:dyDescent="0.3">
      <c r="A617" t="s">
        <v>50</v>
      </c>
      <c r="B617">
        <v>2048</v>
      </c>
      <c r="J617">
        <v>1.2152069006088999</v>
      </c>
      <c r="R617">
        <v>23.225112252572998</v>
      </c>
      <c r="S617">
        <v>1.8857728100485001</v>
      </c>
      <c r="U617">
        <v>0</v>
      </c>
      <c r="V617">
        <v>-7.5185202739455004E-2</v>
      </c>
      <c r="AB617">
        <v>3.9968595132</v>
      </c>
      <c r="AC617">
        <v>0</v>
      </c>
    </row>
    <row r="618" spans="1:29" hidden="1" x14ac:dyDescent="0.3">
      <c r="A618" t="s">
        <v>50</v>
      </c>
      <c r="B618">
        <v>2049</v>
      </c>
      <c r="J618">
        <v>1.1786259714722001</v>
      </c>
      <c r="R618">
        <v>23.263037411538999</v>
      </c>
      <c r="S618">
        <v>1.8863356104080999</v>
      </c>
      <c r="U618">
        <v>0</v>
      </c>
      <c r="V618">
        <v>-7.8280049968849005E-2</v>
      </c>
      <c r="AB618">
        <v>4.0758568208000003</v>
      </c>
      <c r="AC618">
        <v>0</v>
      </c>
    </row>
    <row r="619" spans="1:29" hidden="1" x14ac:dyDescent="0.3">
      <c r="A619" t="s">
        <v>50</v>
      </c>
      <c r="B619">
        <v>2050</v>
      </c>
      <c r="J619">
        <v>1.1480320408922</v>
      </c>
      <c r="R619">
        <v>23.273453268167</v>
      </c>
      <c r="S619">
        <v>1.8836052365156</v>
      </c>
      <c r="U619">
        <v>0</v>
      </c>
      <c r="V619">
        <v>-8.1374897198244006E-2</v>
      </c>
      <c r="AB619">
        <v>4.1607449949999999</v>
      </c>
      <c r="AC619">
        <v>5.3642500000000002</v>
      </c>
    </row>
    <row r="620" spans="1:29" hidden="1" x14ac:dyDescent="0.3">
      <c r="A620" t="s">
        <v>50</v>
      </c>
      <c r="B620">
        <v>2051</v>
      </c>
      <c r="J620">
        <v>1.1290721373029999</v>
      </c>
      <c r="R620">
        <v>23.25402392342</v>
      </c>
      <c r="S620">
        <v>1.8771939012437999</v>
      </c>
      <c r="U620">
        <v>0</v>
      </c>
      <c r="V620">
        <v>-8.4469744427637994E-2</v>
      </c>
      <c r="AB620">
        <v>6.2166264069999997</v>
      </c>
      <c r="AC620">
        <v>0</v>
      </c>
    </row>
    <row r="621" spans="1:29" hidden="1" x14ac:dyDescent="0.3">
      <c r="A621" t="s">
        <v>50</v>
      </c>
      <c r="B621">
        <v>2052</v>
      </c>
      <c r="J621">
        <v>1.115782714838</v>
      </c>
      <c r="R621">
        <v>23.209717577612</v>
      </c>
      <c r="S621">
        <v>1.8680933621353</v>
      </c>
      <c r="U621">
        <v>0</v>
      </c>
      <c r="V621">
        <v>-8.7564591657031995E-2</v>
      </c>
      <c r="AB621">
        <v>6.3335140880000003</v>
      </c>
      <c r="AC621">
        <v>3.5</v>
      </c>
    </row>
    <row r="622" spans="1:29" hidden="1" x14ac:dyDescent="0.3">
      <c r="A622" t="s">
        <v>50</v>
      </c>
      <c r="B622">
        <v>2053</v>
      </c>
      <c r="J622">
        <v>1.1135790434177999</v>
      </c>
      <c r="R622">
        <v>23.141664165845999</v>
      </c>
      <c r="S622">
        <v>1.8565375442226</v>
      </c>
      <c r="U622">
        <v>0</v>
      </c>
      <c r="V622">
        <v>-9.0659438886425997E-2</v>
      </c>
      <c r="AB622">
        <v>6.4431283979999998</v>
      </c>
      <c r="AC622">
        <v>0</v>
      </c>
    </row>
    <row r="623" spans="1:29" hidden="1" x14ac:dyDescent="0.3">
      <c r="A623" t="s">
        <v>50</v>
      </c>
      <c r="B623">
        <v>2054</v>
      </c>
      <c r="J623">
        <v>1.1443460477431</v>
      </c>
      <c r="R623">
        <v>22.808097469817</v>
      </c>
      <c r="S623">
        <v>1.8099159865000001</v>
      </c>
      <c r="U623">
        <v>0</v>
      </c>
      <c r="V623">
        <v>-9.3754286115819999E-2</v>
      </c>
      <c r="AB623">
        <v>6.5655511400000002</v>
      </c>
      <c r="AC623">
        <v>4</v>
      </c>
    </row>
    <row r="624" spans="1:29" hidden="1" x14ac:dyDescent="0.3">
      <c r="A624" t="s">
        <v>50</v>
      </c>
      <c r="B624">
        <v>2055</v>
      </c>
      <c r="J624">
        <v>1.1783906641560999</v>
      </c>
      <c r="R624">
        <v>22.624442760272998</v>
      </c>
      <c r="S624">
        <v>1.7845605936935001</v>
      </c>
      <c r="U624">
        <v>0</v>
      </c>
      <c r="V624">
        <v>-9.6849133345214E-2</v>
      </c>
      <c r="AB624">
        <v>6.6907105619999996</v>
      </c>
      <c r="AC624">
        <v>0</v>
      </c>
    </row>
    <row r="625" spans="1:29" hidden="1" x14ac:dyDescent="0.3">
      <c r="A625" t="s">
        <v>50</v>
      </c>
      <c r="B625">
        <v>2056</v>
      </c>
      <c r="J625">
        <v>1.2188414793000999</v>
      </c>
      <c r="R625">
        <v>22.477374184510001</v>
      </c>
      <c r="S625">
        <v>1.7650423766879</v>
      </c>
      <c r="U625">
        <v>0</v>
      </c>
      <c r="V625">
        <v>-9.9943980574608002E-2</v>
      </c>
      <c r="AB625">
        <v>6.8189554479999996</v>
      </c>
      <c r="AC625">
        <v>0</v>
      </c>
    </row>
    <row r="626" spans="1:29" hidden="1" x14ac:dyDescent="0.3">
      <c r="A626" t="s">
        <v>50</v>
      </c>
      <c r="B626">
        <v>2057</v>
      </c>
      <c r="J626">
        <v>1.2491533062108</v>
      </c>
      <c r="R626">
        <v>22.334149652560999</v>
      </c>
      <c r="S626">
        <v>1.7467124211361</v>
      </c>
      <c r="U626">
        <v>0</v>
      </c>
      <c r="V626">
        <v>-0.103038827804</v>
      </c>
      <c r="AB626">
        <v>6.9502691800000003</v>
      </c>
      <c r="AC626">
        <v>1</v>
      </c>
    </row>
    <row r="627" spans="1:29" hidden="1" x14ac:dyDescent="0.3">
      <c r="A627" t="s">
        <v>50</v>
      </c>
      <c r="B627">
        <v>2058</v>
      </c>
      <c r="J627">
        <v>1.2653488101746</v>
      </c>
      <c r="R627">
        <v>22.195708914472998</v>
      </c>
      <c r="S627">
        <v>1.7300726994869</v>
      </c>
      <c r="U627">
        <v>0</v>
      </c>
      <c r="V627">
        <v>-0.1061336750334</v>
      </c>
      <c r="AB627">
        <v>7.0847438260000004</v>
      </c>
      <c r="AC627">
        <v>0</v>
      </c>
    </row>
    <row r="628" spans="1:29" hidden="1" x14ac:dyDescent="0.3">
      <c r="A628" t="s">
        <v>50</v>
      </c>
      <c r="B628">
        <v>2059</v>
      </c>
      <c r="J628">
        <v>1.2877150580772001</v>
      </c>
      <c r="R628">
        <v>22.062336213397</v>
      </c>
      <c r="S628">
        <v>1.7149459648656999</v>
      </c>
      <c r="U628">
        <v>0</v>
      </c>
      <c r="V628">
        <v>-0.10922852226279001</v>
      </c>
      <c r="AB628">
        <v>7.2148218706099998</v>
      </c>
      <c r="AC628">
        <v>0</v>
      </c>
    </row>
    <row r="629" spans="1:29" hidden="1" x14ac:dyDescent="0.3">
      <c r="A629" t="s">
        <v>50</v>
      </c>
      <c r="B629">
        <v>2060</v>
      </c>
      <c r="J629">
        <v>1.3086007301532001</v>
      </c>
      <c r="R629">
        <v>21.947723299214001</v>
      </c>
      <c r="S629">
        <v>1.7031309033588</v>
      </c>
      <c r="U629">
        <v>0</v>
      </c>
      <c r="V629">
        <v>-0.11232336949218</v>
      </c>
      <c r="AB629">
        <v>7.360364004</v>
      </c>
      <c r="AC629">
        <v>0</v>
      </c>
    </row>
    <row r="630" spans="1:29" hidden="1" x14ac:dyDescent="0.3">
      <c r="A630" t="s">
        <v>50</v>
      </c>
      <c r="B630">
        <v>2061</v>
      </c>
      <c r="J630">
        <v>1.3132553403035001</v>
      </c>
      <c r="R630">
        <v>21.844508585817</v>
      </c>
      <c r="S630">
        <v>1.6937286493332</v>
      </c>
      <c r="U630">
        <v>0</v>
      </c>
      <c r="V630">
        <v>-0.11541821672157999</v>
      </c>
      <c r="AB630">
        <v>4.0715147759999999</v>
      </c>
      <c r="AC630">
        <v>0</v>
      </c>
    </row>
    <row r="631" spans="1:29" hidden="1" x14ac:dyDescent="0.3">
      <c r="A631" t="s">
        <v>50</v>
      </c>
      <c r="B631">
        <v>2062</v>
      </c>
      <c r="J631">
        <v>1.3112219290531999</v>
      </c>
      <c r="R631">
        <v>21.768692511876001</v>
      </c>
      <c r="S631">
        <v>1.6884593106896999</v>
      </c>
      <c r="U631">
        <v>0</v>
      </c>
      <c r="V631">
        <v>-0.11851306395097</v>
      </c>
      <c r="AB631">
        <v>4.1936602189999999</v>
      </c>
      <c r="AC631">
        <v>0</v>
      </c>
    </row>
    <row r="632" spans="1:29" hidden="1" x14ac:dyDescent="0.3">
      <c r="A632" t="s">
        <v>50</v>
      </c>
      <c r="B632">
        <v>2063</v>
      </c>
      <c r="J632">
        <v>1.3016240767380001</v>
      </c>
      <c r="R632">
        <v>21.713248681368</v>
      </c>
      <c r="S632">
        <v>1.6868130988475001</v>
      </c>
      <c r="U632">
        <v>0</v>
      </c>
      <c r="V632">
        <v>-0.12160791118037</v>
      </c>
      <c r="AB632">
        <v>4.3194700279999996</v>
      </c>
      <c r="AC632">
        <v>0</v>
      </c>
    </row>
    <row r="633" spans="1:29" hidden="1" x14ac:dyDescent="0.3">
      <c r="A633" t="s">
        <v>50</v>
      </c>
      <c r="B633">
        <v>2064</v>
      </c>
      <c r="J633">
        <v>1.2845922937351999</v>
      </c>
      <c r="R633">
        <v>21.649548836527</v>
      </c>
      <c r="S633">
        <v>1.6844293916758</v>
      </c>
      <c r="U633">
        <v>0</v>
      </c>
      <c r="V633">
        <v>-0.12470275840976</v>
      </c>
      <c r="AB633">
        <v>4.4490541270000001</v>
      </c>
      <c r="AC633">
        <v>0</v>
      </c>
    </row>
    <row r="634" spans="1:29" hidden="1" x14ac:dyDescent="0.3">
      <c r="A634" t="s">
        <v>50</v>
      </c>
      <c r="B634">
        <v>2065</v>
      </c>
      <c r="J634">
        <v>1.2606993342988</v>
      </c>
      <c r="R634">
        <v>21.592407169657001</v>
      </c>
      <c r="S634">
        <v>1.6832602953952001</v>
      </c>
      <c r="U634">
        <v>0</v>
      </c>
      <c r="V634">
        <v>-0.12779760563914999</v>
      </c>
      <c r="AB634">
        <v>4.5825257490000002</v>
      </c>
      <c r="AC634">
        <v>0</v>
      </c>
    </row>
    <row r="635" spans="1:29" hidden="1" x14ac:dyDescent="0.3">
      <c r="A635" t="s">
        <v>50</v>
      </c>
      <c r="B635">
        <v>2066</v>
      </c>
      <c r="J635">
        <v>1.2334935659874</v>
      </c>
      <c r="R635">
        <v>21.263230846083001</v>
      </c>
      <c r="S635">
        <v>1.6448401535424</v>
      </c>
      <c r="U635">
        <v>0</v>
      </c>
      <c r="V635">
        <v>-0.13089245286855</v>
      </c>
      <c r="AB635">
        <v>4.7200015229999996</v>
      </c>
      <c r="AC635">
        <v>0</v>
      </c>
    </row>
    <row r="636" spans="1:29" hidden="1" x14ac:dyDescent="0.3">
      <c r="A636" t="s">
        <v>50</v>
      </c>
      <c r="B636">
        <v>2067</v>
      </c>
      <c r="J636">
        <v>1.1947006745597</v>
      </c>
      <c r="R636">
        <v>21.164269087129998</v>
      </c>
      <c r="S636">
        <v>1.6387206061627</v>
      </c>
      <c r="U636">
        <v>0</v>
      </c>
      <c r="V636">
        <v>-0.13398730009793999</v>
      </c>
      <c r="AB636">
        <v>4.8616015690000003</v>
      </c>
      <c r="AC636">
        <v>0</v>
      </c>
    </row>
    <row r="637" spans="1:29" hidden="1" x14ac:dyDescent="0.3">
      <c r="A637" t="s">
        <v>50</v>
      </c>
      <c r="B637">
        <v>2068</v>
      </c>
      <c r="J637">
        <v>1.1447771077641999</v>
      </c>
      <c r="R637">
        <v>21.094190170882001</v>
      </c>
      <c r="S637">
        <v>1.6370827868140001</v>
      </c>
      <c r="U637">
        <v>0</v>
      </c>
      <c r="V637">
        <v>-0.13708214732734</v>
      </c>
      <c r="AB637">
        <v>5.0074496159999997</v>
      </c>
      <c r="AC637">
        <v>0</v>
      </c>
    </row>
    <row r="638" spans="1:29" hidden="1" x14ac:dyDescent="0.3">
      <c r="A638" t="s">
        <v>50</v>
      </c>
      <c r="B638">
        <v>2069</v>
      </c>
      <c r="J638">
        <v>1.0889497895763001</v>
      </c>
      <c r="R638">
        <v>21.032730418132999</v>
      </c>
      <c r="S638">
        <v>1.637514698907</v>
      </c>
      <c r="U638">
        <v>0</v>
      </c>
      <c r="V638">
        <v>-0.14017699455672999</v>
      </c>
      <c r="AB638">
        <v>5.1576731029999996</v>
      </c>
      <c r="AC638">
        <v>0</v>
      </c>
    </row>
    <row r="639" spans="1:29" hidden="1" x14ac:dyDescent="0.3">
      <c r="A639" t="s">
        <v>50</v>
      </c>
      <c r="B639">
        <v>2070</v>
      </c>
      <c r="J639">
        <v>1.0333247144996001</v>
      </c>
      <c r="R639">
        <v>20.962697174077999</v>
      </c>
      <c r="S639">
        <v>1.637873412005</v>
      </c>
      <c r="U639">
        <v>0</v>
      </c>
      <c r="V639">
        <v>-0.14327184178612001</v>
      </c>
      <c r="AB639">
        <v>5.3124033009999998</v>
      </c>
      <c r="AC639">
        <v>0</v>
      </c>
    </row>
    <row r="640" spans="1:29" hidden="1" x14ac:dyDescent="0.3">
      <c r="A640" t="s">
        <v>50</v>
      </c>
      <c r="B640">
        <v>2071</v>
      </c>
      <c r="V640">
        <v>-0.14636668901552</v>
      </c>
    </row>
    <row r="641" spans="1:38" hidden="1" x14ac:dyDescent="0.3">
      <c r="A641" t="s">
        <v>51</v>
      </c>
      <c r="B641">
        <v>0</v>
      </c>
      <c r="AD641">
        <v>5.3794768337769E-2</v>
      </c>
      <c r="AE641">
        <v>0.13972759281329999</v>
      </c>
      <c r="AF641">
        <v>0.10668278919925001</v>
      </c>
      <c r="AG641">
        <v>0.99956090362139005</v>
      </c>
      <c r="AH641">
        <v>0</v>
      </c>
      <c r="AI641">
        <v>3.0357968421053001</v>
      </c>
      <c r="AJ641">
        <v>4.0185000000000004</v>
      </c>
      <c r="AK641">
        <v>2.1578473684211001</v>
      </c>
      <c r="AL641">
        <v>0.443</v>
      </c>
    </row>
    <row r="642" spans="1:38" hidden="1" x14ac:dyDescent="0.3">
      <c r="A642" t="s">
        <v>51</v>
      </c>
      <c r="B642">
        <v>2024</v>
      </c>
      <c r="C642">
        <v>49.28</v>
      </c>
      <c r="D642">
        <v>57.567</v>
      </c>
      <c r="E642">
        <v>85.609830000000002</v>
      </c>
      <c r="F642">
        <v>9.6712111794399007</v>
      </c>
      <c r="G642">
        <v>65.846188345450003</v>
      </c>
      <c r="H642">
        <v>3.9274181085303002</v>
      </c>
      <c r="I642">
        <v>64.436297834494994</v>
      </c>
      <c r="J642">
        <v>4.3114412650050999</v>
      </c>
      <c r="K642">
        <v>5.5267350612130999</v>
      </c>
      <c r="L642">
        <v>2.9323319626384001</v>
      </c>
      <c r="M642">
        <v>-0.82595660000000004</v>
      </c>
      <c r="N642">
        <v>-1.7952999999999999</v>
      </c>
      <c r="O642">
        <v>-2.3664339000000001</v>
      </c>
      <c r="P642">
        <v>-1.0049999999999999</v>
      </c>
      <c r="Q642">
        <v>46.463239999999999</v>
      </c>
      <c r="R642">
        <v>19.775295659920999</v>
      </c>
      <c r="S642">
        <v>0.10321617143445</v>
      </c>
      <c r="U642">
        <v>0</v>
      </c>
      <c r="V642">
        <v>0</v>
      </c>
      <c r="W642">
        <v>2.7325632999999998</v>
      </c>
      <c r="X642">
        <v>3.157</v>
      </c>
      <c r="Y642">
        <v>3.31</v>
      </c>
      <c r="Z642">
        <v>1</v>
      </c>
      <c r="AA642">
        <v>1.0823804690000001</v>
      </c>
    </row>
    <row r="643" spans="1:38" hidden="1" x14ac:dyDescent="0.3">
      <c r="A643" t="s">
        <v>51</v>
      </c>
      <c r="B643">
        <v>2025</v>
      </c>
      <c r="C643">
        <v>51.92</v>
      </c>
      <c r="D643">
        <v>56.3108</v>
      </c>
      <c r="E643">
        <v>92.194670000000002</v>
      </c>
      <c r="F643">
        <v>7.6916868074611999</v>
      </c>
      <c r="G643">
        <v>67.962366986312006</v>
      </c>
      <c r="H643">
        <v>3.2138210184016001</v>
      </c>
      <c r="I643">
        <v>67.007720753480001</v>
      </c>
      <c r="J643">
        <v>3.9906434810842999</v>
      </c>
      <c r="K643">
        <v>4.3384409858761002</v>
      </c>
      <c r="L643">
        <v>2.4767093808285998</v>
      </c>
      <c r="M643">
        <v>-1.1820470000000001</v>
      </c>
      <c r="N643">
        <v>-1.8131999999999999</v>
      </c>
      <c r="O643">
        <v>-2.6554120000000001</v>
      </c>
      <c r="P643">
        <v>0.184</v>
      </c>
      <c r="Q643">
        <v>47.590700900000002</v>
      </c>
      <c r="R643">
        <v>19.790143305594</v>
      </c>
      <c r="S643">
        <v>0.10355051154946</v>
      </c>
      <c r="U643">
        <v>0</v>
      </c>
      <c r="V643">
        <v>-2.3224167525767998E-3</v>
      </c>
      <c r="W643">
        <v>2.7562511999999999</v>
      </c>
      <c r="X643">
        <v>2.7959999999999998</v>
      </c>
      <c r="Y643">
        <v>3.0219999999999998</v>
      </c>
      <c r="Z643">
        <v>1</v>
      </c>
      <c r="AA643">
        <v>1.113519535</v>
      </c>
      <c r="AC643">
        <v>2.7387158500000002</v>
      </c>
    </row>
    <row r="644" spans="1:38" hidden="1" x14ac:dyDescent="0.3">
      <c r="A644" t="s">
        <v>51</v>
      </c>
      <c r="B644">
        <v>2026</v>
      </c>
      <c r="C644">
        <v>54.89</v>
      </c>
      <c r="D644">
        <v>56.382800000000003</v>
      </c>
      <c r="E644">
        <v>97.359740000000002</v>
      </c>
      <c r="F644">
        <v>5.6023520665564996</v>
      </c>
      <c r="G644">
        <v>69.929371665117998</v>
      </c>
      <c r="H644">
        <v>2.8942556977181999</v>
      </c>
      <c r="I644">
        <v>69.423390912477998</v>
      </c>
      <c r="J644">
        <v>3.6050624194265</v>
      </c>
      <c r="K644">
        <v>2.6319172928708001</v>
      </c>
      <c r="L644">
        <v>2.0119566334671002</v>
      </c>
      <c r="M644">
        <v>-1.1083103000000001</v>
      </c>
      <c r="N644">
        <v>-1.4312</v>
      </c>
      <c r="O644">
        <v>-2.5593192999999999</v>
      </c>
      <c r="P644">
        <v>0.48699999999999999</v>
      </c>
      <c r="Q644">
        <v>47.743603899999997</v>
      </c>
      <c r="R644">
        <v>19.720175203837002</v>
      </c>
      <c r="S644">
        <v>0.102762068523</v>
      </c>
      <c r="U644">
        <v>0</v>
      </c>
      <c r="V644">
        <v>-5.7688234373927004E-3</v>
      </c>
      <c r="W644">
        <v>2.7211465000000001</v>
      </c>
      <c r="Z644">
        <v>1</v>
      </c>
      <c r="AA644">
        <v>1.1346799999999999</v>
      </c>
      <c r="AC644">
        <v>2.8830051929999998</v>
      </c>
    </row>
    <row r="645" spans="1:38" hidden="1" x14ac:dyDescent="0.3">
      <c r="A645" t="s">
        <v>51</v>
      </c>
      <c r="B645">
        <v>2027</v>
      </c>
      <c r="G645">
        <v>71.510942827543005</v>
      </c>
      <c r="H645">
        <v>2.2616693454630998</v>
      </c>
      <c r="I645">
        <v>71.165159267901004</v>
      </c>
      <c r="J645">
        <v>2.5089070593219001</v>
      </c>
      <c r="R645">
        <v>19.691608586415001</v>
      </c>
      <c r="S645">
        <v>0.1023062345622</v>
      </c>
      <c r="U645">
        <v>0</v>
      </c>
      <c r="V645">
        <v>-8.8823069818317994E-3</v>
      </c>
      <c r="AC645">
        <v>5.1950000000000003</v>
      </c>
    </row>
    <row r="646" spans="1:38" hidden="1" x14ac:dyDescent="0.3">
      <c r="A646" t="s">
        <v>51</v>
      </c>
      <c r="B646">
        <v>2028</v>
      </c>
      <c r="G646">
        <v>72.811158864050995</v>
      </c>
      <c r="H646">
        <v>1.8182056970544</v>
      </c>
      <c r="I646">
        <v>72.634696924568004</v>
      </c>
      <c r="J646">
        <v>2.0649678463222001</v>
      </c>
      <c r="R646">
        <v>19.684232959246</v>
      </c>
      <c r="S646">
        <v>0.10196137307100001</v>
      </c>
      <c r="U646">
        <v>0</v>
      </c>
      <c r="V646">
        <v>-1.1884776875377E-2</v>
      </c>
      <c r="AC646">
        <v>3.0182327959999999</v>
      </c>
    </row>
    <row r="647" spans="1:38" hidden="1" x14ac:dyDescent="0.3">
      <c r="A647" t="s">
        <v>51</v>
      </c>
      <c r="B647">
        <v>2029</v>
      </c>
      <c r="G647">
        <v>73.957011258112999</v>
      </c>
      <c r="H647">
        <v>1.5737318454197</v>
      </c>
      <c r="I647">
        <v>73.957011258112999</v>
      </c>
      <c r="J647">
        <v>1.8204995539786999</v>
      </c>
      <c r="R647">
        <v>19.67705513728</v>
      </c>
      <c r="S647">
        <v>0.10156604390083999</v>
      </c>
      <c r="U647">
        <v>0</v>
      </c>
      <c r="V647">
        <v>-1.4937187545001999E-2</v>
      </c>
      <c r="AC647">
        <v>2.8272280840000001</v>
      </c>
    </row>
    <row r="648" spans="1:38" hidden="1" x14ac:dyDescent="0.3">
      <c r="A648" t="s">
        <v>51</v>
      </c>
      <c r="B648">
        <v>2030</v>
      </c>
      <c r="J648">
        <v>1.7691900543517001</v>
      </c>
      <c r="R648">
        <v>19.660759654187</v>
      </c>
      <c r="S648">
        <v>0.10128519003648</v>
      </c>
      <c r="U648">
        <v>0</v>
      </c>
      <c r="V648">
        <v>-1.7875604331493E-2</v>
      </c>
      <c r="AC648">
        <v>2.2749999999999999</v>
      </c>
    </row>
    <row r="649" spans="1:38" hidden="1" x14ac:dyDescent="0.3">
      <c r="A649" t="s">
        <v>51</v>
      </c>
      <c r="B649">
        <v>2031</v>
      </c>
      <c r="J649">
        <v>1.7178805547247</v>
      </c>
      <c r="R649">
        <v>19.640712099131999</v>
      </c>
      <c r="S649">
        <v>0.10112231859374</v>
      </c>
      <c r="U649">
        <v>0</v>
      </c>
      <c r="V649">
        <v>-2.0696070510894001E-2</v>
      </c>
      <c r="AC649">
        <v>2</v>
      </c>
    </row>
    <row r="650" spans="1:38" hidden="1" x14ac:dyDescent="0.3">
      <c r="A650" t="s">
        <v>51</v>
      </c>
      <c r="B650">
        <v>2032</v>
      </c>
      <c r="J650">
        <v>1.6665710550977</v>
      </c>
      <c r="R650">
        <v>19.601845753858999</v>
      </c>
      <c r="S650">
        <v>0.10092820488446</v>
      </c>
      <c r="U650">
        <v>0</v>
      </c>
      <c r="V650">
        <v>-2.3547549732029001E-2</v>
      </c>
      <c r="AC650">
        <v>2.448168425</v>
      </c>
    </row>
    <row r="651" spans="1:38" hidden="1" x14ac:dyDescent="0.3">
      <c r="A651" t="s">
        <v>51</v>
      </c>
      <c r="B651">
        <v>2033</v>
      </c>
      <c r="J651">
        <v>1.6152615554706999</v>
      </c>
      <c r="R651">
        <v>19.550341188842001</v>
      </c>
      <c r="S651">
        <v>0.10063803736228</v>
      </c>
      <c r="U651">
        <v>0</v>
      </c>
      <c r="V651">
        <v>-2.6494965422898999E-2</v>
      </c>
      <c r="AC651">
        <v>2.25</v>
      </c>
    </row>
    <row r="652" spans="1:38" hidden="1" x14ac:dyDescent="0.3">
      <c r="A652" t="s">
        <v>51</v>
      </c>
      <c r="B652">
        <v>2034</v>
      </c>
      <c r="J652">
        <v>1.5639520558436999</v>
      </c>
      <c r="R652">
        <v>19.508178815933999</v>
      </c>
      <c r="S652">
        <v>0.100272920714</v>
      </c>
      <c r="U652">
        <v>0</v>
      </c>
      <c r="V652">
        <v>-2.9517375864089E-2</v>
      </c>
      <c r="AC652">
        <v>4.2763122969999996</v>
      </c>
    </row>
    <row r="653" spans="1:38" hidden="1" x14ac:dyDescent="0.3">
      <c r="A653" t="s">
        <v>51</v>
      </c>
      <c r="B653">
        <v>2035</v>
      </c>
      <c r="J653">
        <v>1.5126425562167001</v>
      </c>
      <c r="R653">
        <v>19.480586183448999</v>
      </c>
      <c r="S653">
        <v>9.9874235264604996E-2</v>
      </c>
      <c r="U653">
        <v>0</v>
      </c>
      <c r="V653">
        <v>-3.2492208658632997E-2</v>
      </c>
      <c r="AC653">
        <v>1.5</v>
      </c>
    </row>
    <row r="654" spans="1:38" hidden="1" x14ac:dyDescent="0.3">
      <c r="A654" t="s">
        <v>51</v>
      </c>
      <c r="B654">
        <v>2036</v>
      </c>
      <c r="J654">
        <v>1.4613330565897</v>
      </c>
      <c r="R654">
        <v>19.449702136439001</v>
      </c>
      <c r="S654">
        <v>9.9400800572362003E-2</v>
      </c>
      <c r="U654">
        <v>0</v>
      </c>
      <c r="V654">
        <v>-3.5467041453177001E-2</v>
      </c>
      <c r="AC654">
        <v>0</v>
      </c>
    </row>
    <row r="655" spans="1:38" hidden="1" x14ac:dyDescent="0.3">
      <c r="A655" t="s">
        <v>51</v>
      </c>
      <c r="B655">
        <v>2037</v>
      </c>
      <c r="J655">
        <v>1.535089101489</v>
      </c>
      <c r="R655">
        <v>19.391602227288999</v>
      </c>
      <c r="S655">
        <v>9.8622431675593994E-2</v>
      </c>
      <c r="U655">
        <v>0</v>
      </c>
      <c r="V655">
        <v>-3.8441874247721997E-2</v>
      </c>
      <c r="AC655">
        <v>2</v>
      </c>
    </row>
    <row r="656" spans="1:38" hidden="1" x14ac:dyDescent="0.3">
      <c r="A656" t="s">
        <v>51</v>
      </c>
      <c r="B656">
        <v>2038</v>
      </c>
      <c r="J656">
        <v>1.564341245941</v>
      </c>
      <c r="R656">
        <v>19.326387126419</v>
      </c>
      <c r="S656">
        <v>9.7855035017635997E-2</v>
      </c>
      <c r="U656">
        <v>0</v>
      </c>
      <c r="V656">
        <v>-4.1416707042266E-2</v>
      </c>
      <c r="AC656">
        <v>0</v>
      </c>
    </row>
    <row r="657" spans="1:29" hidden="1" x14ac:dyDescent="0.3">
      <c r="A657" t="s">
        <v>51</v>
      </c>
      <c r="B657">
        <v>2039</v>
      </c>
      <c r="J657">
        <v>1.6238636690585999</v>
      </c>
      <c r="R657">
        <v>19.250603606233</v>
      </c>
      <c r="S657">
        <v>9.7073715868587998E-2</v>
      </c>
      <c r="U657">
        <v>0</v>
      </c>
      <c r="V657">
        <v>-4.4391539836809997E-2</v>
      </c>
      <c r="AC657">
        <v>0</v>
      </c>
    </row>
    <row r="658" spans="1:29" hidden="1" x14ac:dyDescent="0.3">
      <c r="A658" t="s">
        <v>51</v>
      </c>
      <c r="B658">
        <v>2040</v>
      </c>
      <c r="J658">
        <v>1.6757879092761001</v>
      </c>
      <c r="R658">
        <v>19.174299508122999</v>
      </c>
      <c r="S658">
        <v>9.6299083031825994E-2</v>
      </c>
      <c r="U658">
        <v>0</v>
      </c>
      <c r="V658">
        <v>-4.7366372631355E-2</v>
      </c>
      <c r="AC658">
        <v>0.8</v>
      </c>
    </row>
    <row r="659" spans="1:29" hidden="1" x14ac:dyDescent="0.3">
      <c r="A659" t="s">
        <v>51</v>
      </c>
      <c r="B659">
        <v>2041</v>
      </c>
      <c r="J659">
        <v>1.6641362197775</v>
      </c>
      <c r="R659">
        <v>19.103238909329001</v>
      </c>
      <c r="S659">
        <v>9.5575437365024996E-2</v>
      </c>
      <c r="U659">
        <v>0</v>
      </c>
      <c r="V659">
        <v>-5.0341205425898997E-2</v>
      </c>
      <c r="AC659">
        <v>1</v>
      </c>
    </row>
    <row r="660" spans="1:29" hidden="1" x14ac:dyDescent="0.3">
      <c r="A660" t="s">
        <v>51</v>
      </c>
      <c r="B660">
        <v>2042</v>
      </c>
      <c r="J660">
        <v>1.6405762911549</v>
      </c>
      <c r="R660">
        <v>19.041758565843999</v>
      </c>
      <c r="S660">
        <v>9.4904176446471006E-2</v>
      </c>
      <c r="U660">
        <v>0</v>
      </c>
      <c r="V660">
        <v>-5.3316038220443999E-2</v>
      </c>
      <c r="AC660">
        <v>0</v>
      </c>
    </row>
    <row r="661" spans="1:29" hidden="1" x14ac:dyDescent="0.3">
      <c r="A661" t="s">
        <v>51</v>
      </c>
      <c r="B661">
        <v>2043</v>
      </c>
      <c r="J661">
        <v>1.5643637542354001</v>
      </c>
      <c r="R661">
        <v>18.99392931429</v>
      </c>
      <c r="S661">
        <v>9.4320195170128004E-2</v>
      </c>
      <c r="U661">
        <v>0</v>
      </c>
      <c r="V661">
        <v>-5.6290871014988003E-2</v>
      </c>
      <c r="AC661">
        <v>0</v>
      </c>
    </row>
    <row r="662" spans="1:29" hidden="1" x14ac:dyDescent="0.3">
      <c r="A662" t="s">
        <v>51</v>
      </c>
      <c r="B662">
        <v>2044</v>
      </c>
      <c r="J662">
        <v>1.5442189001116</v>
      </c>
      <c r="R662">
        <v>18.951531808534</v>
      </c>
      <c r="S662">
        <v>9.3768438858124997E-2</v>
      </c>
      <c r="U662">
        <v>0</v>
      </c>
      <c r="V662">
        <v>-5.9265703809532E-2</v>
      </c>
      <c r="AC662">
        <v>0</v>
      </c>
    </row>
    <row r="663" spans="1:29" hidden="1" x14ac:dyDescent="0.3">
      <c r="A663" t="s">
        <v>51</v>
      </c>
      <c r="B663">
        <v>2045</v>
      </c>
      <c r="J663">
        <v>1.531757428498</v>
      </c>
      <c r="R663">
        <v>18.911832540736999</v>
      </c>
      <c r="S663">
        <v>9.3228691670703995E-2</v>
      </c>
      <c r="U663">
        <v>0</v>
      </c>
      <c r="V663">
        <v>-6.2240536604077003E-2</v>
      </c>
      <c r="AC663">
        <v>0</v>
      </c>
    </row>
    <row r="664" spans="1:29" hidden="1" x14ac:dyDescent="0.3">
      <c r="A664" t="s">
        <v>51</v>
      </c>
      <c r="B664">
        <v>2046</v>
      </c>
      <c r="J664">
        <v>1.5290280940245</v>
      </c>
      <c r="R664">
        <v>18.876847891383999</v>
      </c>
      <c r="S664">
        <v>9.2725495047711007E-2</v>
      </c>
      <c r="U664">
        <v>0</v>
      </c>
      <c r="V664">
        <v>-6.5215369398621006E-2</v>
      </c>
      <c r="AC664">
        <v>0</v>
      </c>
    </row>
    <row r="665" spans="1:29" hidden="1" x14ac:dyDescent="0.3">
      <c r="A665" t="s">
        <v>51</v>
      </c>
      <c r="B665">
        <v>2047</v>
      </c>
      <c r="J665">
        <v>1.5324941421584</v>
      </c>
      <c r="R665">
        <v>18.841538670249999</v>
      </c>
      <c r="S665">
        <v>9.2230770787813998E-2</v>
      </c>
      <c r="U665">
        <v>0</v>
      </c>
      <c r="V665">
        <v>-6.8190202193165003E-2</v>
      </c>
      <c r="AC665">
        <v>0</v>
      </c>
    </row>
    <row r="666" spans="1:29" hidden="1" x14ac:dyDescent="0.3">
      <c r="A666" t="s">
        <v>51</v>
      </c>
      <c r="B666">
        <v>2048</v>
      </c>
      <c r="J666">
        <v>1.5267087315742001</v>
      </c>
      <c r="R666">
        <v>18.811342629637</v>
      </c>
      <c r="S666">
        <v>9.1765268787546997E-2</v>
      </c>
      <c r="U666">
        <v>0</v>
      </c>
      <c r="V666">
        <v>-7.1165034987709999E-2</v>
      </c>
      <c r="AC666">
        <v>0</v>
      </c>
    </row>
    <row r="667" spans="1:29" hidden="1" x14ac:dyDescent="0.3">
      <c r="A667" t="s">
        <v>51</v>
      </c>
      <c r="B667">
        <v>2049</v>
      </c>
      <c r="J667">
        <v>1.4828860201977001</v>
      </c>
      <c r="R667">
        <v>18.784881279676998</v>
      </c>
      <c r="S667">
        <v>9.1337963801738004E-2</v>
      </c>
      <c r="U667">
        <v>0</v>
      </c>
      <c r="V667">
        <v>-7.4139867782253996E-2</v>
      </c>
      <c r="AC667">
        <v>0</v>
      </c>
    </row>
    <row r="668" spans="1:29" hidden="1" x14ac:dyDescent="0.3">
      <c r="A668" t="s">
        <v>51</v>
      </c>
      <c r="B668">
        <v>2050</v>
      </c>
      <c r="J668">
        <v>1.4266020846445999</v>
      </c>
      <c r="R668">
        <v>18.762009477603002</v>
      </c>
      <c r="S668">
        <v>9.0941959143771997E-2</v>
      </c>
      <c r="U668">
        <v>0</v>
      </c>
      <c r="V668">
        <v>-7.7114700576798006E-2</v>
      </c>
      <c r="AC668">
        <v>0</v>
      </c>
    </row>
    <row r="669" spans="1:29" hidden="1" x14ac:dyDescent="0.3">
      <c r="A669" t="s">
        <v>51</v>
      </c>
      <c r="B669">
        <v>2051</v>
      </c>
      <c r="J669">
        <v>1.3861348883864999</v>
      </c>
      <c r="R669">
        <v>18.738683165000001</v>
      </c>
      <c r="S669">
        <v>9.0547642479141002E-2</v>
      </c>
      <c r="U669">
        <v>0</v>
      </c>
      <c r="V669">
        <v>-8.0089533371343002E-2</v>
      </c>
      <c r="AC669">
        <v>0</v>
      </c>
    </row>
    <row r="670" spans="1:29" hidden="1" x14ac:dyDescent="0.3">
      <c r="A670" t="s">
        <v>51</v>
      </c>
      <c r="B670">
        <v>2052</v>
      </c>
      <c r="J670">
        <v>1.3595569446157001</v>
      </c>
      <c r="R670">
        <v>18.715407860428002</v>
      </c>
      <c r="S670">
        <v>9.0146288879921002E-2</v>
      </c>
      <c r="U670">
        <v>0</v>
      </c>
      <c r="V670">
        <v>-8.3064366165886999E-2</v>
      </c>
      <c r="AC670">
        <v>0</v>
      </c>
    </row>
    <row r="671" spans="1:29" hidden="1" x14ac:dyDescent="0.3">
      <c r="A671" t="s">
        <v>51</v>
      </c>
      <c r="B671">
        <v>2053</v>
      </c>
      <c r="J671">
        <v>1.3118446605537999</v>
      </c>
      <c r="R671">
        <v>18.696377381479</v>
      </c>
      <c r="S671">
        <v>8.9787163639826001E-2</v>
      </c>
      <c r="U671">
        <v>0</v>
      </c>
      <c r="V671">
        <v>-8.6039198960431995E-2</v>
      </c>
      <c r="AC671">
        <v>0</v>
      </c>
    </row>
    <row r="672" spans="1:29" hidden="1" x14ac:dyDescent="0.3">
      <c r="A672" t="s">
        <v>51</v>
      </c>
      <c r="B672">
        <v>2054</v>
      </c>
      <c r="J672">
        <v>1.2799816548862999</v>
      </c>
      <c r="R672">
        <v>18.67901935171</v>
      </c>
      <c r="S672">
        <v>8.9450189337898001E-2</v>
      </c>
      <c r="U672">
        <v>0</v>
      </c>
      <c r="V672">
        <v>-8.9014031754976006E-2</v>
      </c>
      <c r="AC672">
        <v>0</v>
      </c>
    </row>
    <row r="673" spans="1:29" hidden="1" x14ac:dyDescent="0.3">
      <c r="A673" t="s">
        <v>51</v>
      </c>
      <c r="B673">
        <v>2055</v>
      </c>
      <c r="J673">
        <v>1.2441008625019001</v>
      </c>
      <c r="R673">
        <v>18.661174388326</v>
      </c>
      <c r="S673">
        <v>8.9129003247940999E-2</v>
      </c>
      <c r="U673">
        <v>0</v>
      </c>
      <c r="V673">
        <v>-9.1988864549520002E-2</v>
      </c>
      <c r="AC673">
        <v>0</v>
      </c>
    </row>
    <row r="674" spans="1:29" hidden="1" x14ac:dyDescent="0.3">
      <c r="A674" t="s">
        <v>51</v>
      </c>
      <c r="B674">
        <v>2056</v>
      </c>
      <c r="J674">
        <v>1.2027088344778001</v>
      </c>
      <c r="R674">
        <v>18.649491958801001</v>
      </c>
      <c r="S674">
        <v>8.8861892017987998E-2</v>
      </c>
      <c r="U674">
        <v>0</v>
      </c>
      <c r="V674">
        <v>-9.4963697344064998E-2</v>
      </c>
      <c r="AC674">
        <v>0</v>
      </c>
    </row>
    <row r="675" spans="1:29" hidden="1" x14ac:dyDescent="0.3">
      <c r="A675" t="s">
        <v>51</v>
      </c>
      <c r="B675">
        <v>2057</v>
      </c>
      <c r="J675">
        <v>1.1646682237918999</v>
      </c>
      <c r="R675">
        <v>18.640561881448001</v>
      </c>
      <c r="S675">
        <v>8.8618707370672997E-2</v>
      </c>
      <c r="U675">
        <v>0</v>
      </c>
      <c r="V675">
        <v>-9.7938530138608995E-2</v>
      </c>
      <c r="AC675">
        <v>0</v>
      </c>
    </row>
    <row r="676" spans="1:29" hidden="1" x14ac:dyDescent="0.3">
      <c r="A676" t="s">
        <v>51</v>
      </c>
      <c r="B676">
        <v>2058</v>
      </c>
      <c r="J676">
        <v>1.1269511801607</v>
      </c>
      <c r="R676">
        <v>18.632103584894999</v>
      </c>
      <c r="S676">
        <v>8.8397589922598996E-2</v>
      </c>
      <c r="U676">
        <v>0</v>
      </c>
      <c r="V676">
        <v>-0.10091336293314999</v>
      </c>
      <c r="AC676">
        <v>0</v>
      </c>
    </row>
    <row r="677" spans="1:29" hidden="1" x14ac:dyDescent="0.3">
      <c r="A677" t="s">
        <v>51</v>
      </c>
      <c r="B677">
        <v>2059</v>
      </c>
      <c r="J677">
        <v>1.0894305885244999</v>
      </c>
      <c r="R677">
        <v>18.627430421199001</v>
      </c>
      <c r="S677">
        <v>8.8223712819290007E-2</v>
      </c>
      <c r="U677">
        <v>0</v>
      </c>
      <c r="V677">
        <v>-0.1038881957277</v>
      </c>
      <c r="AC677">
        <v>0</v>
      </c>
    </row>
    <row r="678" spans="1:29" hidden="1" x14ac:dyDescent="0.3">
      <c r="A678" t="s">
        <v>51</v>
      </c>
      <c r="B678">
        <v>2060</v>
      </c>
      <c r="J678">
        <v>1.0573722842233999</v>
      </c>
      <c r="R678">
        <v>18.626520090705998</v>
      </c>
      <c r="S678">
        <v>8.8088511362387004E-2</v>
      </c>
      <c r="U678">
        <v>0</v>
      </c>
      <c r="V678">
        <v>-0.10686302852224</v>
      </c>
      <c r="AC678">
        <v>0</v>
      </c>
    </row>
    <row r="679" spans="1:29" hidden="1" x14ac:dyDescent="0.3">
      <c r="A679" t="s">
        <v>51</v>
      </c>
      <c r="B679">
        <v>2061</v>
      </c>
      <c r="J679">
        <v>1.0278421980976</v>
      </c>
      <c r="R679">
        <v>18.624506639122998</v>
      </c>
      <c r="S679">
        <v>8.8000374200053993E-2</v>
      </c>
      <c r="U679">
        <v>0</v>
      </c>
      <c r="V679">
        <v>-0.10983786131679001</v>
      </c>
      <c r="AC679">
        <v>0</v>
      </c>
    </row>
    <row r="680" spans="1:29" hidden="1" x14ac:dyDescent="0.3">
      <c r="A680" t="s">
        <v>51</v>
      </c>
      <c r="B680">
        <v>2062</v>
      </c>
      <c r="J680">
        <v>0.99520175457775994</v>
      </c>
      <c r="R680">
        <v>18.628684003941999</v>
      </c>
      <c r="S680">
        <v>8.7961700982654004E-2</v>
      </c>
      <c r="U680">
        <v>0</v>
      </c>
      <c r="V680">
        <v>-0.11281269411133001</v>
      </c>
      <c r="AC680">
        <v>0</v>
      </c>
    </row>
    <row r="681" spans="1:29" hidden="1" x14ac:dyDescent="0.3">
      <c r="A681" t="s">
        <v>51</v>
      </c>
      <c r="B681">
        <v>2063</v>
      </c>
      <c r="J681">
        <v>0.97020139798079996</v>
      </c>
      <c r="R681">
        <v>18.629324144544</v>
      </c>
      <c r="S681">
        <v>8.7912652330862998E-2</v>
      </c>
      <c r="U681">
        <v>0</v>
      </c>
      <c r="V681">
        <v>-0.11578752690588</v>
      </c>
      <c r="AC681">
        <v>0</v>
      </c>
    </row>
    <row r="682" spans="1:29" hidden="1" x14ac:dyDescent="0.3">
      <c r="A682" t="s">
        <v>51</v>
      </c>
      <c r="B682">
        <v>2064</v>
      </c>
      <c r="J682">
        <v>0.93242931612096003</v>
      </c>
      <c r="R682">
        <v>18.631992102137001</v>
      </c>
      <c r="S682">
        <v>8.7877549802245006E-2</v>
      </c>
      <c r="U682">
        <v>0</v>
      </c>
      <c r="V682">
        <v>-0.11876235970042</v>
      </c>
      <c r="AC682">
        <v>0</v>
      </c>
    </row>
    <row r="683" spans="1:29" hidden="1" x14ac:dyDescent="0.3">
      <c r="A683" t="s">
        <v>51</v>
      </c>
      <c r="B683">
        <v>2065</v>
      </c>
      <c r="J683">
        <v>0.89214916756437002</v>
      </c>
      <c r="R683">
        <v>18.631670142406001</v>
      </c>
      <c r="S683">
        <v>8.7841011737429003E-2</v>
      </c>
      <c r="U683">
        <v>0</v>
      </c>
      <c r="V683">
        <v>-0.12173719249496</v>
      </c>
      <c r="AC683">
        <v>0</v>
      </c>
    </row>
    <row r="684" spans="1:29" hidden="1" x14ac:dyDescent="0.3">
      <c r="A684" t="s">
        <v>51</v>
      </c>
      <c r="B684">
        <v>2066</v>
      </c>
      <c r="J684">
        <v>0.85238006468893002</v>
      </c>
      <c r="R684">
        <v>18.631022175192999</v>
      </c>
      <c r="S684">
        <v>8.7794147028173994E-2</v>
      </c>
      <c r="U684">
        <v>0</v>
      </c>
      <c r="V684">
        <v>-0.12471202528951</v>
      </c>
      <c r="AC684">
        <v>0</v>
      </c>
    </row>
    <row r="685" spans="1:29" hidden="1" x14ac:dyDescent="0.3">
      <c r="A685" t="s">
        <v>51</v>
      </c>
      <c r="B685">
        <v>2067</v>
      </c>
      <c r="J685">
        <v>0.80866681599677004</v>
      </c>
      <c r="R685">
        <v>18.630905828191999</v>
      </c>
      <c r="S685">
        <v>8.7746937849702999E-2</v>
      </c>
      <c r="U685">
        <v>0</v>
      </c>
      <c r="V685">
        <v>-0.12768685808405</v>
      </c>
      <c r="AC685">
        <v>0</v>
      </c>
    </row>
    <row r="686" spans="1:29" hidden="1" x14ac:dyDescent="0.3">
      <c r="A686" t="s">
        <v>51</v>
      </c>
      <c r="B686">
        <v>2068</v>
      </c>
      <c r="J686">
        <v>0.75842319015016002</v>
      </c>
      <c r="R686">
        <v>18.636478685330999</v>
      </c>
      <c r="S686">
        <v>8.7747098281679994E-2</v>
      </c>
      <c r="U686">
        <v>0</v>
      </c>
      <c r="V686">
        <v>-0.1306616908786</v>
      </c>
      <c r="AC686">
        <v>0</v>
      </c>
    </row>
    <row r="687" spans="1:29" hidden="1" x14ac:dyDescent="0.3">
      <c r="A687" t="s">
        <v>51</v>
      </c>
      <c r="B687">
        <v>2069</v>
      </c>
      <c r="J687">
        <v>0.70732804314861997</v>
      </c>
      <c r="R687">
        <v>18.646391733217001</v>
      </c>
      <c r="S687">
        <v>8.7791717480432005E-2</v>
      </c>
      <c r="U687">
        <v>0</v>
      </c>
      <c r="V687">
        <v>-0.13363652367314</v>
      </c>
      <c r="AC687">
        <v>0</v>
      </c>
    </row>
    <row r="688" spans="1:29" hidden="1" x14ac:dyDescent="0.3">
      <c r="A688" t="s">
        <v>51</v>
      </c>
      <c r="B688">
        <v>2070</v>
      </c>
      <c r="J688">
        <v>0.66077279205655004</v>
      </c>
      <c r="R688">
        <v>18.662682103449999</v>
      </c>
      <c r="S688">
        <v>8.7892725361352994E-2</v>
      </c>
      <c r="U688">
        <v>0</v>
      </c>
      <c r="V688">
        <v>-0.13661135646768999</v>
      </c>
      <c r="AC688">
        <v>0</v>
      </c>
    </row>
    <row r="689" spans="1:38" hidden="1" x14ac:dyDescent="0.3">
      <c r="A689" t="s">
        <v>51</v>
      </c>
      <c r="B689">
        <v>2071</v>
      </c>
      <c r="V689">
        <v>-0.13958618926222999</v>
      </c>
    </row>
    <row r="690" spans="1:38" hidden="1" x14ac:dyDescent="0.3">
      <c r="A690" t="s">
        <v>52</v>
      </c>
      <c r="B690">
        <v>0</v>
      </c>
      <c r="AD690">
        <v>8.0181047034164996E-2</v>
      </c>
      <c r="AE690">
        <v>8.4360001428693002E-2</v>
      </c>
      <c r="AF690">
        <v>7.4919286953287006E-2</v>
      </c>
      <c r="AG690">
        <v>0.66772517331623005</v>
      </c>
      <c r="AH690">
        <v>0.33227482668377001</v>
      </c>
      <c r="AI690">
        <v>7.0236431578946998</v>
      </c>
      <c r="AJ690">
        <v>7.4354500000000003</v>
      </c>
      <c r="AK690">
        <v>2.1578473684211001</v>
      </c>
      <c r="AL690">
        <v>0.45300000000000001</v>
      </c>
    </row>
    <row r="691" spans="1:38" hidden="1" x14ac:dyDescent="0.3">
      <c r="A691" t="s">
        <v>52</v>
      </c>
      <c r="B691">
        <v>2024</v>
      </c>
      <c r="C691">
        <v>59875.199999999997</v>
      </c>
      <c r="D691">
        <v>73.453699999999998</v>
      </c>
      <c r="E691">
        <v>81514.210000000006</v>
      </c>
      <c r="F691">
        <v>7.8674459469885001</v>
      </c>
      <c r="G691">
        <v>54385.364361221</v>
      </c>
      <c r="H691">
        <v>0.51230579030805001</v>
      </c>
      <c r="I691">
        <v>54915.533142615001</v>
      </c>
      <c r="J691">
        <v>1.1410561342837</v>
      </c>
      <c r="K691">
        <v>7.3176524133749004</v>
      </c>
      <c r="L691">
        <v>2.9323319626384001</v>
      </c>
      <c r="M691">
        <v>4.1028500000000002E-2</v>
      </c>
      <c r="N691">
        <v>0.47839999999999999</v>
      </c>
      <c r="O691">
        <v>-4.9150191000000003</v>
      </c>
      <c r="P691">
        <v>729</v>
      </c>
      <c r="Q691">
        <v>41.919066800000003</v>
      </c>
      <c r="R691">
        <v>16.128523044417999</v>
      </c>
      <c r="U691">
        <v>0</v>
      </c>
      <c r="V691">
        <v>0</v>
      </c>
      <c r="W691">
        <v>7.3266238000000001</v>
      </c>
      <c r="X691">
        <v>6.1529999999999996</v>
      </c>
      <c r="Y691">
        <v>6.5008333333332997</v>
      </c>
      <c r="Z691">
        <v>2.5296995121326998E-3</v>
      </c>
      <c r="AA691">
        <v>2.7380973443712001E-3</v>
      </c>
    </row>
    <row r="692" spans="1:38" hidden="1" x14ac:dyDescent="0.3">
      <c r="A692" t="s">
        <v>52</v>
      </c>
      <c r="B692">
        <v>2025</v>
      </c>
      <c r="C692">
        <v>64205.4</v>
      </c>
      <c r="D692">
        <v>74.477999999999994</v>
      </c>
      <c r="E692">
        <v>86207.14</v>
      </c>
      <c r="F692">
        <v>5.7571925189485</v>
      </c>
      <c r="G692">
        <v>54836.591543301001</v>
      </c>
      <c r="H692">
        <v>0.82968494811103999</v>
      </c>
      <c r="I692">
        <v>55514.363189563999</v>
      </c>
      <c r="J692">
        <v>1.0904565842848</v>
      </c>
      <c r="K692">
        <v>4.8869617107036998</v>
      </c>
      <c r="L692">
        <v>2.4767093808285998</v>
      </c>
      <c r="M692">
        <v>-0.35581679999999999</v>
      </c>
      <c r="N692">
        <v>0.19719999999999999</v>
      </c>
      <c r="O692">
        <v>-4.5833152999999998</v>
      </c>
      <c r="P692">
        <v>379</v>
      </c>
      <c r="Q692">
        <v>42.872102900000002</v>
      </c>
      <c r="R692">
        <v>16.013813341489001</v>
      </c>
      <c r="U692">
        <v>0</v>
      </c>
      <c r="V692">
        <v>-1.5092849731445E-2</v>
      </c>
      <c r="W692">
        <v>6.0866663000000001</v>
      </c>
      <c r="X692">
        <v>5.7229999999999999</v>
      </c>
      <c r="Y692">
        <v>6.8940000000000001</v>
      </c>
      <c r="Z692">
        <v>2.4552371252215999E-3</v>
      </c>
      <c r="AA692">
        <v>2.7339545019914998E-3</v>
      </c>
      <c r="AC692">
        <v>6558.5531202940001</v>
      </c>
    </row>
    <row r="693" spans="1:38" hidden="1" x14ac:dyDescent="0.3">
      <c r="A693" t="s">
        <v>52</v>
      </c>
      <c r="B693">
        <v>2026</v>
      </c>
      <c r="C693">
        <v>68005.399999999994</v>
      </c>
      <c r="D693">
        <v>74.298699999999997</v>
      </c>
      <c r="E693">
        <v>91529.7</v>
      </c>
      <c r="F693">
        <v>6.1741521641943002</v>
      </c>
      <c r="G693">
        <v>56215.921662977998</v>
      </c>
      <c r="H693">
        <v>2.5153461965042001</v>
      </c>
      <c r="I693">
        <v>56208.009005264001</v>
      </c>
      <c r="J693">
        <v>1.2494889175463</v>
      </c>
      <c r="K693">
        <v>3.5690274680114</v>
      </c>
      <c r="L693">
        <v>2.0119566334671002</v>
      </c>
      <c r="M693">
        <v>-0.72952209999999995</v>
      </c>
      <c r="N693">
        <v>-0.7359</v>
      </c>
      <c r="O693">
        <v>-4.7268965999999999</v>
      </c>
      <c r="P693">
        <v>-526.5</v>
      </c>
      <c r="Q693">
        <v>42.828763199999997</v>
      </c>
      <c r="R693">
        <v>15.929923711446</v>
      </c>
      <c r="U693">
        <v>0</v>
      </c>
      <c r="V693">
        <v>-3.0185699462891E-2</v>
      </c>
      <c r="W693">
        <v>5.6985650999999997</v>
      </c>
      <c r="Z693">
        <v>2.4501396579604999E-3</v>
      </c>
      <c r="AA693">
        <v>2.7801244670946001E-3</v>
      </c>
      <c r="AC693">
        <v>5021.7667230050001</v>
      </c>
    </row>
    <row r="694" spans="1:38" hidden="1" x14ac:dyDescent="0.3">
      <c r="A694" t="s">
        <v>52</v>
      </c>
      <c r="B694">
        <v>2027</v>
      </c>
      <c r="G694">
        <v>56971.568735175002</v>
      </c>
      <c r="H694">
        <v>1.3441869311104</v>
      </c>
      <c r="I694">
        <v>56966.222471920999</v>
      </c>
      <c r="J694">
        <v>1.3489420459393</v>
      </c>
      <c r="R694">
        <v>15.874007469025999</v>
      </c>
      <c r="U694">
        <v>0</v>
      </c>
      <c r="V694">
        <v>-4.5278549194336E-2</v>
      </c>
      <c r="AC694">
        <v>5446.1009817659997</v>
      </c>
    </row>
    <row r="695" spans="1:38" hidden="1" x14ac:dyDescent="0.3">
      <c r="A695" t="s">
        <v>52</v>
      </c>
      <c r="B695">
        <v>2028</v>
      </c>
      <c r="G695">
        <v>57725.288487673002</v>
      </c>
      <c r="H695">
        <v>1.3229752475337999</v>
      </c>
      <c r="I695">
        <v>57722.579864086998</v>
      </c>
      <c r="J695">
        <v>1.3277295901769</v>
      </c>
      <c r="R695">
        <v>15.875258767729999</v>
      </c>
      <c r="U695">
        <v>0</v>
      </c>
      <c r="V695">
        <v>-6.0371398925781E-2</v>
      </c>
      <c r="AC695">
        <v>6668.1623655590001</v>
      </c>
    </row>
    <row r="696" spans="1:38" hidden="1" x14ac:dyDescent="0.3">
      <c r="A696" t="s">
        <v>52</v>
      </c>
      <c r="B696">
        <v>2029</v>
      </c>
      <c r="G696">
        <v>58483.914686254997</v>
      </c>
      <c r="H696">
        <v>1.3142007921606</v>
      </c>
      <c r="I696">
        <v>58483.914686254997</v>
      </c>
      <c r="J696">
        <v>1.3189549461604</v>
      </c>
      <c r="R696">
        <v>15.887591061353</v>
      </c>
      <c r="U696">
        <v>0</v>
      </c>
      <c r="V696">
        <v>-7.5464248657227007E-2</v>
      </c>
      <c r="AC696">
        <v>5623.764597329</v>
      </c>
    </row>
    <row r="697" spans="1:38" hidden="1" x14ac:dyDescent="0.3">
      <c r="A697" t="s">
        <v>52</v>
      </c>
      <c r="B697">
        <v>2030</v>
      </c>
      <c r="J697">
        <v>1.3832140374635999</v>
      </c>
      <c r="R697">
        <v>15.930799637654999</v>
      </c>
      <c r="U697">
        <v>0</v>
      </c>
      <c r="V697">
        <v>-9.0557098388672E-2</v>
      </c>
      <c r="AC697">
        <v>2197.0001555489998</v>
      </c>
    </row>
    <row r="698" spans="1:38" hidden="1" x14ac:dyDescent="0.3">
      <c r="A698" t="s">
        <v>52</v>
      </c>
      <c r="B698">
        <v>2031</v>
      </c>
      <c r="J698">
        <v>1.4474731287667</v>
      </c>
      <c r="R698">
        <v>16.009935312972001</v>
      </c>
      <c r="U698">
        <v>0</v>
      </c>
      <c r="V698">
        <v>-0.10564994812012</v>
      </c>
      <c r="AC698">
        <v>4548.811686</v>
      </c>
    </row>
    <row r="699" spans="1:38" hidden="1" x14ac:dyDescent="0.3">
      <c r="A699" t="s">
        <v>52</v>
      </c>
      <c r="B699">
        <v>2032</v>
      </c>
      <c r="J699">
        <v>1.5117322200698</v>
      </c>
      <c r="R699">
        <v>16.109969012594998</v>
      </c>
      <c r="U699">
        <v>0</v>
      </c>
      <c r="V699">
        <v>-0.12074279785156</v>
      </c>
      <c r="AC699">
        <v>4533.3304529509996</v>
      </c>
    </row>
    <row r="700" spans="1:38" hidden="1" x14ac:dyDescent="0.3">
      <c r="A700" t="s">
        <v>52</v>
      </c>
      <c r="B700">
        <v>2033</v>
      </c>
      <c r="J700">
        <v>1.575991311373</v>
      </c>
      <c r="R700">
        <v>16.238260386011</v>
      </c>
      <c r="U700">
        <v>0</v>
      </c>
      <c r="V700">
        <v>-0.13583564758301001</v>
      </c>
      <c r="AC700">
        <v>1942.371259</v>
      </c>
    </row>
    <row r="701" spans="1:38" hidden="1" x14ac:dyDescent="0.3">
      <c r="A701" t="s">
        <v>52</v>
      </c>
      <c r="B701">
        <v>2034</v>
      </c>
      <c r="J701">
        <v>1.6402504026761</v>
      </c>
      <c r="R701">
        <v>16.391585198122002</v>
      </c>
      <c r="U701">
        <v>0</v>
      </c>
      <c r="V701">
        <v>-0.15092855691910001</v>
      </c>
      <c r="AC701">
        <v>2133.9406528250001</v>
      </c>
    </row>
    <row r="702" spans="1:38" hidden="1" x14ac:dyDescent="0.3">
      <c r="A702" t="s">
        <v>52</v>
      </c>
      <c r="B702">
        <v>2035</v>
      </c>
      <c r="J702">
        <v>1.7045094939793</v>
      </c>
      <c r="R702">
        <v>16.577697492102999</v>
      </c>
      <c r="U702">
        <v>0</v>
      </c>
      <c r="V702">
        <v>-0.16602140935984999</v>
      </c>
      <c r="AC702">
        <v>1468.4467420000001</v>
      </c>
    </row>
    <row r="703" spans="1:38" hidden="1" x14ac:dyDescent="0.3">
      <c r="A703" t="s">
        <v>52</v>
      </c>
      <c r="B703">
        <v>2036</v>
      </c>
      <c r="J703">
        <v>1.7687685852824</v>
      </c>
      <c r="R703">
        <v>16.789494401789</v>
      </c>
      <c r="U703">
        <v>0</v>
      </c>
      <c r="V703">
        <v>-0.18111426180059001</v>
      </c>
      <c r="AC703">
        <v>1837.609099694</v>
      </c>
    </row>
    <row r="704" spans="1:38" hidden="1" x14ac:dyDescent="0.3">
      <c r="A704" t="s">
        <v>52</v>
      </c>
      <c r="B704">
        <v>2037</v>
      </c>
      <c r="J704">
        <v>1.7610854998914001</v>
      </c>
      <c r="R704">
        <v>17.005991061766998</v>
      </c>
      <c r="U704">
        <v>0</v>
      </c>
      <c r="V704">
        <v>-0.19620711424133999</v>
      </c>
      <c r="AC704">
        <v>0</v>
      </c>
    </row>
    <row r="705" spans="1:29" hidden="1" x14ac:dyDescent="0.3">
      <c r="A705" t="s">
        <v>52</v>
      </c>
      <c r="B705">
        <v>2038</v>
      </c>
      <c r="J705">
        <v>1.7076503211470999</v>
      </c>
      <c r="R705">
        <v>17.227679458390998</v>
      </c>
      <c r="U705">
        <v>0</v>
      </c>
      <c r="V705">
        <v>-0.21129996668209</v>
      </c>
      <c r="AC705">
        <v>636.53589999999997</v>
      </c>
    </row>
    <row r="706" spans="1:29" hidden="1" x14ac:dyDescent="0.3">
      <c r="A706" t="s">
        <v>52</v>
      </c>
      <c r="B706">
        <v>2039</v>
      </c>
      <c r="J706">
        <v>1.6529673326219001</v>
      </c>
      <c r="R706">
        <v>17.461650796956999</v>
      </c>
      <c r="U706">
        <v>0</v>
      </c>
      <c r="V706">
        <v>-0.22639281912282999</v>
      </c>
      <c r="AC706">
        <v>0</v>
      </c>
    </row>
    <row r="707" spans="1:29" hidden="1" x14ac:dyDescent="0.3">
      <c r="A707" t="s">
        <v>52</v>
      </c>
      <c r="B707">
        <v>2040</v>
      </c>
      <c r="J707">
        <v>1.6187559552974</v>
      </c>
      <c r="R707">
        <v>17.708971707292001</v>
      </c>
      <c r="U707">
        <v>0</v>
      </c>
      <c r="V707">
        <v>-0.24148567156358</v>
      </c>
      <c r="AC707">
        <v>397.11170800000002</v>
      </c>
    </row>
    <row r="708" spans="1:29" hidden="1" x14ac:dyDescent="0.3">
      <c r="A708" t="s">
        <v>52</v>
      </c>
      <c r="B708">
        <v>2041</v>
      </c>
      <c r="J708">
        <v>1.6011316346925</v>
      </c>
      <c r="R708">
        <v>17.979627910087</v>
      </c>
      <c r="U708">
        <v>0</v>
      </c>
      <c r="V708">
        <v>-0.25657852400433001</v>
      </c>
      <c r="AC708">
        <v>1066.97657</v>
      </c>
    </row>
    <row r="709" spans="1:29" hidden="1" x14ac:dyDescent="0.3">
      <c r="A709" t="s">
        <v>52</v>
      </c>
      <c r="B709">
        <v>2042</v>
      </c>
      <c r="J709">
        <v>1.6102724857813</v>
      </c>
      <c r="R709">
        <v>18.269161068222001</v>
      </c>
      <c r="U709">
        <v>0</v>
      </c>
      <c r="V709">
        <v>-0.27167137644507999</v>
      </c>
      <c r="AC709">
        <v>0</v>
      </c>
    </row>
    <row r="710" spans="1:29" hidden="1" x14ac:dyDescent="0.3">
      <c r="A710" t="s">
        <v>52</v>
      </c>
      <c r="B710">
        <v>2043</v>
      </c>
      <c r="J710">
        <v>1.6488239011245001</v>
      </c>
      <c r="R710">
        <v>18.548281821682</v>
      </c>
      <c r="U710">
        <v>0</v>
      </c>
      <c r="V710">
        <v>-0.28676422888581998</v>
      </c>
      <c r="AC710">
        <v>0</v>
      </c>
    </row>
    <row r="711" spans="1:29" hidden="1" x14ac:dyDescent="0.3">
      <c r="A711" t="s">
        <v>52</v>
      </c>
      <c r="B711">
        <v>2044</v>
      </c>
      <c r="J711">
        <v>1.6938721132949</v>
      </c>
      <c r="R711">
        <v>18.796941473991001</v>
      </c>
      <c r="U711">
        <v>0</v>
      </c>
      <c r="V711">
        <v>-0.30185708132657002</v>
      </c>
      <c r="AC711">
        <v>0</v>
      </c>
    </row>
    <row r="712" spans="1:29" hidden="1" x14ac:dyDescent="0.3">
      <c r="A712" t="s">
        <v>52</v>
      </c>
      <c r="B712">
        <v>2045</v>
      </c>
      <c r="J712">
        <v>1.7386693179518999</v>
      </c>
      <c r="R712">
        <v>19.001518080996</v>
      </c>
      <c r="U712">
        <v>0</v>
      </c>
      <c r="V712">
        <v>-0.31694993376732</v>
      </c>
      <c r="AC712">
        <v>0</v>
      </c>
    </row>
    <row r="713" spans="1:29" hidden="1" x14ac:dyDescent="0.3">
      <c r="A713" t="s">
        <v>52</v>
      </c>
      <c r="B713">
        <v>2046</v>
      </c>
      <c r="J713">
        <v>1.768718768147</v>
      </c>
      <c r="R713">
        <v>19.178274385110001</v>
      </c>
      <c r="U713">
        <v>0</v>
      </c>
      <c r="V713">
        <v>-0.33204278620806998</v>
      </c>
      <c r="AC713">
        <v>0</v>
      </c>
    </row>
    <row r="714" spans="1:29" hidden="1" x14ac:dyDescent="0.3">
      <c r="A714" t="s">
        <v>52</v>
      </c>
      <c r="B714">
        <v>2047</v>
      </c>
      <c r="J714">
        <v>1.7842942366293999</v>
      </c>
      <c r="R714">
        <v>19.320174411968001</v>
      </c>
      <c r="U714">
        <v>0</v>
      </c>
      <c r="V714">
        <v>-0.34713563864880997</v>
      </c>
      <c r="AC714">
        <v>0</v>
      </c>
    </row>
    <row r="715" spans="1:29" hidden="1" x14ac:dyDescent="0.3">
      <c r="A715" t="s">
        <v>52</v>
      </c>
      <c r="B715">
        <v>2048</v>
      </c>
      <c r="J715">
        <v>1.7902147009725</v>
      </c>
      <c r="R715">
        <v>19.441472720661</v>
      </c>
      <c r="U715">
        <v>0</v>
      </c>
      <c r="V715">
        <v>-0.36222849108956001</v>
      </c>
      <c r="AC715">
        <v>0</v>
      </c>
    </row>
    <row r="716" spans="1:29" hidden="1" x14ac:dyDescent="0.3">
      <c r="A716" t="s">
        <v>52</v>
      </c>
      <c r="B716">
        <v>2049</v>
      </c>
      <c r="J716">
        <v>1.7418359707444</v>
      </c>
      <c r="R716">
        <v>19.543941670506001</v>
      </c>
      <c r="U716">
        <v>0</v>
      </c>
      <c r="V716">
        <v>-0.37732134353030999</v>
      </c>
      <c r="AC716">
        <v>0</v>
      </c>
    </row>
    <row r="717" spans="1:29" hidden="1" x14ac:dyDescent="0.3">
      <c r="A717" t="s">
        <v>52</v>
      </c>
      <c r="B717">
        <v>2050</v>
      </c>
      <c r="J717">
        <v>1.6904997993835</v>
      </c>
      <c r="R717">
        <v>19.637826473031001</v>
      </c>
      <c r="U717">
        <v>0</v>
      </c>
      <c r="V717">
        <v>-0.39241419597105998</v>
      </c>
      <c r="AC717">
        <v>496.389635</v>
      </c>
    </row>
    <row r="718" spans="1:29" hidden="1" x14ac:dyDescent="0.3">
      <c r="A718" t="s">
        <v>52</v>
      </c>
      <c r="B718">
        <v>2051</v>
      </c>
      <c r="J718">
        <v>1.6457310889756001</v>
      </c>
      <c r="R718">
        <v>19.721235790982998</v>
      </c>
      <c r="U718">
        <v>0</v>
      </c>
      <c r="V718">
        <v>-0.40750704841180002</v>
      </c>
      <c r="AC718">
        <v>1649.5758699999999</v>
      </c>
    </row>
    <row r="719" spans="1:29" hidden="1" x14ac:dyDescent="0.3">
      <c r="A719" t="s">
        <v>52</v>
      </c>
      <c r="B719">
        <v>2052</v>
      </c>
      <c r="J719">
        <v>1.5991508405741</v>
      </c>
      <c r="R719">
        <v>19.815035381912999</v>
      </c>
      <c r="U719">
        <v>0</v>
      </c>
      <c r="V719">
        <v>-0.42259990085255</v>
      </c>
      <c r="AC719">
        <v>918.05</v>
      </c>
    </row>
    <row r="720" spans="1:29" hidden="1" x14ac:dyDescent="0.3">
      <c r="A720" t="s">
        <v>52</v>
      </c>
      <c r="B720">
        <v>2053</v>
      </c>
      <c r="J720">
        <v>1.5543449098019</v>
      </c>
      <c r="R720">
        <v>19.917145784408</v>
      </c>
      <c r="U720">
        <v>0</v>
      </c>
      <c r="V720">
        <v>-0.43769275329329999</v>
      </c>
      <c r="AC720">
        <v>0</v>
      </c>
    </row>
    <row r="721" spans="1:29" hidden="1" x14ac:dyDescent="0.3">
      <c r="A721" t="s">
        <v>52</v>
      </c>
      <c r="B721">
        <v>2054</v>
      </c>
      <c r="J721">
        <v>1.5146874705768001</v>
      </c>
      <c r="R721">
        <v>20.019900480450001</v>
      </c>
      <c r="U721">
        <v>0</v>
      </c>
      <c r="V721">
        <v>-0.45278560573403998</v>
      </c>
      <c r="AC721">
        <v>0</v>
      </c>
    </row>
    <row r="722" spans="1:29" hidden="1" x14ac:dyDescent="0.3">
      <c r="A722" t="s">
        <v>52</v>
      </c>
      <c r="B722">
        <v>2055</v>
      </c>
      <c r="J722">
        <v>1.475611147712</v>
      </c>
      <c r="R722">
        <v>20.125084367532001</v>
      </c>
      <c r="U722">
        <v>0</v>
      </c>
      <c r="V722">
        <v>-0.46787845817479001</v>
      </c>
      <c r="AC722">
        <v>0</v>
      </c>
    </row>
    <row r="723" spans="1:29" hidden="1" x14ac:dyDescent="0.3">
      <c r="A723" t="s">
        <v>52</v>
      </c>
      <c r="B723">
        <v>2056</v>
      </c>
      <c r="J723">
        <v>1.4453240042924</v>
      </c>
      <c r="R723">
        <v>20.239526870271</v>
      </c>
      <c r="U723">
        <v>0</v>
      </c>
      <c r="V723">
        <v>-0.48297131061553999</v>
      </c>
      <c r="AC723">
        <v>0</v>
      </c>
    </row>
    <row r="724" spans="1:29" hidden="1" x14ac:dyDescent="0.3">
      <c r="A724" t="s">
        <v>52</v>
      </c>
      <c r="B724">
        <v>2057</v>
      </c>
      <c r="J724">
        <v>1.4291054736108999</v>
      </c>
      <c r="R724">
        <v>20.350346854144</v>
      </c>
      <c r="U724">
        <v>0</v>
      </c>
      <c r="V724">
        <v>-0.49806416305628998</v>
      </c>
      <c r="AC724">
        <v>0</v>
      </c>
    </row>
    <row r="725" spans="1:29" hidden="1" x14ac:dyDescent="0.3">
      <c r="A725" t="s">
        <v>52</v>
      </c>
      <c r="B725">
        <v>2058</v>
      </c>
      <c r="J725">
        <v>1.4175417041274001</v>
      </c>
      <c r="R725">
        <v>20.477824011260001</v>
      </c>
      <c r="U725">
        <v>0</v>
      </c>
      <c r="V725">
        <v>-0.51315701549702997</v>
      </c>
      <c r="AC725">
        <v>0</v>
      </c>
    </row>
    <row r="726" spans="1:29" hidden="1" x14ac:dyDescent="0.3">
      <c r="A726" t="s">
        <v>52</v>
      </c>
      <c r="B726">
        <v>2059</v>
      </c>
      <c r="J726">
        <v>1.4045003742402</v>
      </c>
      <c r="R726">
        <v>20.601988573498002</v>
      </c>
      <c r="U726">
        <v>0</v>
      </c>
      <c r="V726">
        <v>-0.52824986793777995</v>
      </c>
      <c r="AC726">
        <v>0</v>
      </c>
    </row>
    <row r="727" spans="1:29" hidden="1" x14ac:dyDescent="0.3">
      <c r="A727" t="s">
        <v>52</v>
      </c>
      <c r="B727">
        <v>2060</v>
      </c>
      <c r="J727">
        <v>1.3954090161488</v>
      </c>
      <c r="R727">
        <v>20.711556683788</v>
      </c>
      <c r="U727">
        <v>0</v>
      </c>
      <c r="V727">
        <v>-0.54334272037853004</v>
      </c>
      <c r="AC727">
        <v>0</v>
      </c>
    </row>
    <row r="728" spans="1:29" hidden="1" x14ac:dyDescent="0.3">
      <c r="A728" t="s">
        <v>52</v>
      </c>
      <c r="B728">
        <v>2061</v>
      </c>
      <c r="J728">
        <v>1.3927907408394999</v>
      </c>
      <c r="R728">
        <v>20.807576941320999</v>
      </c>
      <c r="U728">
        <v>0</v>
      </c>
      <c r="V728">
        <v>-0.55843557281928002</v>
      </c>
      <c r="AC728">
        <v>0</v>
      </c>
    </row>
    <row r="729" spans="1:29" hidden="1" x14ac:dyDescent="0.3">
      <c r="A729" t="s">
        <v>52</v>
      </c>
      <c r="B729">
        <v>2062</v>
      </c>
      <c r="J729">
        <v>1.3869535102595001</v>
      </c>
      <c r="R729">
        <v>20.892914694302</v>
      </c>
      <c r="U729">
        <v>0</v>
      </c>
      <c r="V729">
        <v>-0.57352842526002001</v>
      </c>
      <c r="AC729">
        <v>0</v>
      </c>
    </row>
    <row r="730" spans="1:29" hidden="1" x14ac:dyDescent="0.3">
      <c r="A730" t="s">
        <v>52</v>
      </c>
      <c r="B730">
        <v>2063</v>
      </c>
      <c r="J730">
        <v>1.3724709494461</v>
      </c>
      <c r="R730">
        <v>20.963729421526001</v>
      </c>
      <c r="U730">
        <v>0</v>
      </c>
      <c r="V730">
        <v>-0.58862127770077</v>
      </c>
      <c r="AC730">
        <v>0</v>
      </c>
    </row>
    <row r="731" spans="1:29" hidden="1" x14ac:dyDescent="0.3">
      <c r="A731" t="s">
        <v>52</v>
      </c>
      <c r="B731">
        <v>2064</v>
      </c>
      <c r="J731">
        <v>1.3433145654611001</v>
      </c>
      <c r="R731">
        <v>21.021737079716001</v>
      </c>
      <c r="U731">
        <v>0</v>
      </c>
      <c r="V731">
        <v>-0.60371413014151998</v>
      </c>
      <c r="AC731">
        <v>0</v>
      </c>
    </row>
    <row r="732" spans="1:29" hidden="1" x14ac:dyDescent="0.3">
      <c r="A732" t="s">
        <v>52</v>
      </c>
      <c r="B732">
        <v>2065</v>
      </c>
      <c r="J732">
        <v>1.30255185367</v>
      </c>
      <c r="R732">
        <v>21.066327118387999</v>
      </c>
      <c r="U732">
        <v>0</v>
      </c>
      <c r="V732">
        <v>-0.61880698258225997</v>
      </c>
      <c r="AC732">
        <v>0</v>
      </c>
    </row>
    <row r="733" spans="1:29" hidden="1" x14ac:dyDescent="0.3">
      <c r="A733" t="s">
        <v>52</v>
      </c>
      <c r="B733">
        <v>2066</v>
      </c>
      <c r="J733">
        <v>1.2623013710497999</v>
      </c>
      <c r="R733">
        <v>21.100779429024001</v>
      </c>
      <c r="U733">
        <v>0</v>
      </c>
      <c r="V733">
        <v>-0.63389983502300995</v>
      </c>
      <c r="AC733">
        <v>0</v>
      </c>
    </row>
    <row r="734" spans="1:29" hidden="1" x14ac:dyDescent="0.3">
      <c r="A734" t="s">
        <v>52</v>
      </c>
      <c r="B734">
        <v>2067</v>
      </c>
      <c r="J734">
        <v>1.2259692904237001</v>
      </c>
      <c r="R734">
        <v>21.131991277194999</v>
      </c>
      <c r="U734">
        <v>0</v>
      </c>
      <c r="V734">
        <v>-0.64899268746376004</v>
      </c>
      <c r="AC734">
        <v>0</v>
      </c>
    </row>
    <row r="735" spans="1:29" hidden="1" x14ac:dyDescent="0.3">
      <c r="A735" t="s">
        <v>52</v>
      </c>
      <c r="B735">
        <v>2068</v>
      </c>
      <c r="J735">
        <v>1.1890433585092</v>
      </c>
      <c r="R735">
        <v>21.173156191731</v>
      </c>
      <c r="U735">
        <v>0</v>
      </c>
      <c r="V735">
        <v>-0.66408553990451002</v>
      </c>
      <c r="AC735">
        <v>0</v>
      </c>
    </row>
    <row r="736" spans="1:29" hidden="1" x14ac:dyDescent="0.3">
      <c r="A736" t="s">
        <v>52</v>
      </c>
      <c r="B736">
        <v>2069</v>
      </c>
      <c r="J736">
        <v>1.1491988749865001</v>
      </c>
      <c r="R736">
        <v>21.216897011985999</v>
      </c>
      <c r="U736">
        <v>0</v>
      </c>
      <c r="V736">
        <v>-0.67917839234525001</v>
      </c>
      <c r="AC736">
        <v>0</v>
      </c>
    </row>
    <row r="737" spans="1:38" hidden="1" x14ac:dyDescent="0.3">
      <c r="A737" t="s">
        <v>52</v>
      </c>
      <c r="B737">
        <v>2070</v>
      </c>
      <c r="J737">
        <v>1.1081009824959001</v>
      </c>
      <c r="R737">
        <v>21.262991648713001</v>
      </c>
      <c r="U737">
        <v>0</v>
      </c>
      <c r="V737">
        <v>-0.694271244786</v>
      </c>
      <c r="AC737">
        <v>0</v>
      </c>
    </row>
    <row r="738" spans="1:38" hidden="1" x14ac:dyDescent="0.3">
      <c r="A738" t="s">
        <v>52</v>
      </c>
      <c r="B738">
        <v>2071</v>
      </c>
      <c r="V738">
        <v>-0.70936409722674998</v>
      </c>
    </row>
    <row r="739" spans="1:38" hidden="1" x14ac:dyDescent="0.3">
      <c r="A739" t="s">
        <v>53</v>
      </c>
      <c r="B739">
        <v>0</v>
      </c>
      <c r="AD739">
        <v>3.1674050416315002E-3</v>
      </c>
      <c r="AE739">
        <v>2.7940147223701E-3</v>
      </c>
      <c r="AF739">
        <v>2.7940147223701E-3</v>
      </c>
      <c r="AG739">
        <v>0</v>
      </c>
      <c r="AH739">
        <v>0.98751780971278003</v>
      </c>
      <c r="AI739">
        <v>3.1057363157895002</v>
      </c>
      <c r="AJ739">
        <v>3.6786531578947002</v>
      </c>
      <c r="AK739">
        <v>2.1578473684211001</v>
      </c>
      <c r="AL739">
        <v>0.52200000000000002</v>
      </c>
    </row>
    <row r="740" spans="1:38" hidden="1" x14ac:dyDescent="0.3">
      <c r="A740" t="s">
        <v>53</v>
      </c>
      <c r="B740">
        <v>2024</v>
      </c>
      <c r="C740">
        <v>218.2</v>
      </c>
      <c r="D740">
        <v>40.899900000000002</v>
      </c>
      <c r="E740">
        <v>533.44410000000005</v>
      </c>
      <c r="F740">
        <v>4.6067687181416002</v>
      </c>
      <c r="G740">
        <v>461.51571427413</v>
      </c>
      <c r="H740">
        <v>1.221333964087</v>
      </c>
      <c r="I740">
        <v>466.90432787588003</v>
      </c>
      <c r="J740">
        <v>2.5905203854199002</v>
      </c>
      <c r="K740">
        <v>3.3445841395943998</v>
      </c>
      <c r="L740">
        <v>2.9323319626384001</v>
      </c>
      <c r="M740">
        <v>4.9479965000000004</v>
      </c>
      <c r="N740">
        <v>2.9072</v>
      </c>
      <c r="O740">
        <v>4.3453654999999998</v>
      </c>
      <c r="P740">
        <v>20.64</v>
      </c>
      <c r="Q740">
        <v>22.849531500000001</v>
      </c>
      <c r="R740">
        <v>11.597883651755</v>
      </c>
      <c r="U740">
        <v>0</v>
      </c>
      <c r="V740">
        <v>0</v>
      </c>
      <c r="W740">
        <v>1.4564535000000001</v>
      </c>
      <c r="X740">
        <v>3.7530000000000001</v>
      </c>
      <c r="Y740">
        <v>2.7175833333332999</v>
      </c>
      <c r="Z740">
        <v>1</v>
      </c>
      <c r="AA740">
        <v>1.0823804690000001</v>
      </c>
    </row>
    <row r="741" spans="1:38" hidden="1" x14ac:dyDescent="0.3">
      <c r="A741" t="s">
        <v>53</v>
      </c>
      <c r="B741">
        <v>2025</v>
      </c>
      <c r="C741">
        <v>218.9</v>
      </c>
      <c r="D741">
        <v>38.6813</v>
      </c>
      <c r="E741">
        <v>566.52459999999996</v>
      </c>
      <c r="F741">
        <v>6.2013058162982997</v>
      </c>
      <c r="G741">
        <v>477.10196977692999</v>
      </c>
      <c r="H741">
        <v>3.3771884728385002</v>
      </c>
      <c r="I741">
        <v>479.99480325319001</v>
      </c>
      <c r="J741">
        <v>2.8036740282247998</v>
      </c>
      <c r="K741">
        <v>2.7318602101552001</v>
      </c>
      <c r="L741">
        <v>2.4767093808285998</v>
      </c>
      <c r="M741">
        <v>1.3267194</v>
      </c>
      <c r="N741">
        <v>1.6413</v>
      </c>
      <c r="O741">
        <v>0.73352790000000001</v>
      </c>
      <c r="P741">
        <v>4.92</v>
      </c>
      <c r="Q741">
        <v>22.980082800000002</v>
      </c>
      <c r="R741">
        <v>11.651572774672999</v>
      </c>
      <c r="U741">
        <v>0</v>
      </c>
      <c r="V741">
        <v>-4.9634277820586996E-4</v>
      </c>
      <c r="W741">
        <v>1.5389348</v>
      </c>
      <c r="X741">
        <v>3.2309999999999999</v>
      </c>
      <c r="Y741">
        <v>2.8679800000000002</v>
      </c>
      <c r="Z741">
        <v>1</v>
      </c>
      <c r="AA741">
        <v>1.113519535</v>
      </c>
      <c r="AC741">
        <v>0.35</v>
      </c>
    </row>
    <row r="742" spans="1:38" hidden="1" x14ac:dyDescent="0.3">
      <c r="A742" t="s">
        <v>53</v>
      </c>
      <c r="B742">
        <v>2026</v>
      </c>
      <c r="C742">
        <v>226.6</v>
      </c>
      <c r="D742">
        <v>38.271599999999999</v>
      </c>
      <c r="E742">
        <v>592.60109999999997</v>
      </c>
      <c r="F742">
        <v>4.6028892655323004</v>
      </c>
      <c r="G742">
        <v>488.83640906236002</v>
      </c>
      <c r="H742">
        <v>2.4595243844643</v>
      </c>
      <c r="I742">
        <v>491.91126212306</v>
      </c>
      <c r="J742">
        <v>2.4826224761407998</v>
      </c>
      <c r="K742">
        <v>2.0919191253701999</v>
      </c>
      <c r="L742">
        <v>2.0119566334671002</v>
      </c>
      <c r="M742">
        <v>0.64600820000000003</v>
      </c>
      <c r="N742">
        <v>0.97230000000000005</v>
      </c>
      <c r="O742">
        <v>5.1625900000000002E-2</v>
      </c>
      <c r="P742">
        <v>7.96</v>
      </c>
      <c r="Q742">
        <v>23.3701838</v>
      </c>
      <c r="R742">
        <v>11.82718052179</v>
      </c>
      <c r="U742">
        <v>0</v>
      </c>
      <c r="V742">
        <v>-9.9268555641173991E-4</v>
      </c>
      <c r="W742">
        <v>1.6073435</v>
      </c>
      <c r="Z742">
        <v>1</v>
      </c>
      <c r="AA742">
        <v>1.1346799999999999</v>
      </c>
      <c r="AC742">
        <v>10.424371229</v>
      </c>
    </row>
    <row r="743" spans="1:38" hidden="1" x14ac:dyDescent="0.3">
      <c r="A743" t="s">
        <v>53</v>
      </c>
      <c r="B743">
        <v>2027</v>
      </c>
      <c r="G743">
        <v>504.22834197645</v>
      </c>
      <c r="H743">
        <v>3.1486879104645999</v>
      </c>
      <c r="I743">
        <v>506.33836491621997</v>
      </c>
      <c r="J743">
        <v>2.9328669424828999</v>
      </c>
      <c r="R743">
        <v>12.010145475810001</v>
      </c>
      <c r="U743">
        <v>0</v>
      </c>
      <c r="V743">
        <v>-1.4890283346176E-3</v>
      </c>
      <c r="AC743">
        <v>6.9183146799999999</v>
      </c>
    </row>
    <row r="744" spans="1:38" hidden="1" x14ac:dyDescent="0.3">
      <c r="A744" t="s">
        <v>53</v>
      </c>
      <c r="B744">
        <v>2028</v>
      </c>
      <c r="G744">
        <v>520.95083015092996</v>
      </c>
      <c r="H744">
        <v>3.3164514531107998</v>
      </c>
      <c r="I744">
        <v>522.03855468668996</v>
      </c>
      <c r="J744">
        <v>3.1007308271145999</v>
      </c>
      <c r="R744">
        <v>12.141085330118001</v>
      </c>
      <c r="U744">
        <v>0</v>
      </c>
      <c r="V744">
        <v>-1.9853711128235002E-3</v>
      </c>
      <c r="AC744">
        <v>8.5035308880000002</v>
      </c>
    </row>
    <row r="745" spans="1:38" hidden="1" x14ac:dyDescent="0.3">
      <c r="A745" t="s">
        <v>53</v>
      </c>
      <c r="B745">
        <v>2029</v>
      </c>
      <c r="G745">
        <v>539.07351117047995</v>
      </c>
      <c r="H745">
        <v>3.4787699665069001</v>
      </c>
      <c r="I745">
        <v>539.07351117047995</v>
      </c>
      <c r="J745">
        <v>3.2631606096643</v>
      </c>
      <c r="R745">
        <v>12.226984695112</v>
      </c>
      <c r="U745">
        <v>0</v>
      </c>
      <c r="V745">
        <v>-2.4817138910294E-3</v>
      </c>
      <c r="AB745">
        <v>2.0699999999999998</v>
      </c>
      <c r="AC745">
        <v>9.3990050929999995</v>
      </c>
    </row>
    <row r="746" spans="1:38" hidden="1" x14ac:dyDescent="0.3">
      <c r="A746" t="s">
        <v>53</v>
      </c>
      <c r="B746">
        <v>2030</v>
      </c>
      <c r="J746">
        <v>3.0576446196634</v>
      </c>
      <c r="R746">
        <v>12.335331475446999</v>
      </c>
      <c r="U746">
        <v>0</v>
      </c>
      <c r="V746">
        <v>-2.9780566692352E-3</v>
      </c>
      <c r="AB746">
        <v>1.9</v>
      </c>
      <c r="AC746">
        <v>15.902138519999999</v>
      </c>
    </row>
    <row r="747" spans="1:38" hidden="1" x14ac:dyDescent="0.3">
      <c r="A747" t="s">
        <v>53</v>
      </c>
      <c r="B747">
        <v>2031</v>
      </c>
      <c r="J747">
        <v>2.8521286296624999</v>
      </c>
      <c r="R747">
        <v>12.459794352067</v>
      </c>
      <c r="U747">
        <v>0</v>
      </c>
      <c r="V747">
        <v>-3.4743994474411002E-3</v>
      </c>
      <c r="AB747">
        <v>4.9000000000000004</v>
      </c>
      <c r="AC747">
        <v>14.140372337000001</v>
      </c>
    </row>
    <row r="748" spans="1:38" hidden="1" x14ac:dyDescent="0.3">
      <c r="A748" t="s">
        <v>53</v>
      </c>
      <c r="B748">
        <v>2032</v>
      </c>
      <c r="J748">
        <v>2.6466126396615999</v>
      </c>
      <c r="R748">
        <v>12.642813768617</v>
      </c>
      <c r="U748">
        <v>0</v>
      </c>
      <c r="V748">
        <v>-3.9707422256470004E-3</v>
      </c>
      <c r="AB748">
        <v>2.1938359765</v>
      </c>
      <c r="AC748">
        <v>5.60590704</v>
      </c>
    </row>
    <row r="749" spans="1:38" hidden="1" x14ac:dyDescent="0.3">
      <c r="A749" t="s">
        <v>53</v>
      </c>
      <c r="B749">
        <v>2033</v>
      </c>
      <c r="J749">
        <v>2.4410966496608002</v>
      </c>
      <c r="R749">
        <v>12.721055869266999</v>
      </c>
      <c r="U749">
        <v>0</v>
      </c>
      <c r="V749">
        <v>-4.4670850038528E-3</v>
      </c>
      <c r="AB749">
        <v>4.2668328756599996</v>
      </c>
      <c r="AC749">
        <v>4.9347183479999996</v>
      </c>
    </row>
    <row r="750" spans="1:38" hidden="1" x14ac:dyDescent="0.3">
      <c r="A750" t="s">
        <v>53</v>
      </c>
      <c r="B750">
        <v>2034</v>
      </c>
      <c r="J750">
        <v>2.2355806596599002</v>
      </c>
      <c r="R750">
        <v>12.846261934653</v>
      </c>
      <c r="U750">
        <v>0</v>
      </c>
      <c r="V750">
        <v>-4.9634277820587002E-3</v>
      </c>
      <c r="AB750">
        <v>1.48</v>
      </c>
      <c r="AC750">
        <v>4.902815457</v>
      </c>
    </row>
    <row r="751" spans="1:38" hidden="1" x14ac:dyDescent="0.3">
      <c r="A751" t="s">
        <v>53</v>
      </c>
      <c r="B751">
        <v>2035</v>
      </c>
      <c r="J751">
        <v>2.0300646696590001</v>
      </c>
      <c r="R751">
        <v>12.963736267078</v>
      </c>
      <c r="U751">
        <v>0</v>
      </c>
      <c r="V751">
        <v>-5.4597705602646004E-3</v>
      </c>
      <c r="AC751">
        <v>4.8168114649999998</v>
      </c>
    </row>
    <row r="752" spans="1:38" hidden="1" x14ac:dyDescent="0.3">
      <c r="A752" t="s">
        <v>53</v>
      </c>
      <c r="B752">
        <v>2036</v>
      </c>
      <c r="J752">
        <v>1.8245486796581001</v>
      </c>
      <c r="R752">
        <v>13.096485882807</v>
      </c>
      <c r="U752">
        <v>0</v>
      </c>
      <c r="V752">
        <v>-5.9561133384704998E-3</v>
      </c>
      <c r="AC752">
        <v>0.52320405599999997</v>
      </c>
    </row>
    <row r="753" spans="1:29" hidden="1" x14ac:dyDescent="0.3">
      <c r="A753" t="s">
        <v>53</v>
      </c>
      <c r="B753">
        <v>2037</v>
      </c>
      <c r="J753">
        <v>1.8232262086819</v>
      </c>
      <c r="R753">
        <v>13.246267286026001</v>
      </c>
      <c r="U753">
        <v>0</v>
      </c>
      <c r="V753">
        <v>-6.4524561166763002E-3</v>
      </c>
      <c r="AC753">
        <v>6.81765022</v>
      </c>
    </row>
    <row r="754" spans="1:29" hidden="1" x14ac:dyDescent="0.3">
      <c r="A754" t="s">
        <v>53</v>
      </c>
      <c r="B754">
        <v>2038</v>
      </c>
      <c r="J754">
        <v>1.7845035395647</v>
      </c>
      <c r="R754">
        <v>13.310990172396</v>
      </c>
      <c r="U754">
        <v>0</v>
      </c>
      <c r="V754">
        <v>-6.9487988948822004E-3</v>
      </c>
      <c r="AC754">
        <v>0</v>
      </c>
    </row>
    <row r="755" spans="1:29" hidden="1" x14ac:dyDescent="0.3">
      <c r="A755" t="s">
        <v>53</v>
      </c>
      <c r="B755">
        <v>2039</v>
      </c>
      <c r="J755">
        <v>1.7343683005256001</v>
      </c>
      <c r="R755">
        <v>13.428372296917001</v>
      </c>
      <c r="U755">
        <v>0</v>
      </c>
      <c r="V755">
        <v>-7.4451416730880998E-3</v>
      </c>
      <c r="AC755">
        <v>0</v>
      </c>
    </row>
    <row r="756" spans="1:29" hidden="1" x14ac:dyDescent="0.3">
      <c r="A756" t="s">
        <v>53</v>
      </c>
      <c r="B756">
        <v>2040</v>
      </c>
      <c r="J756">
        <v>1.6682107943675999</v>
      </c>
      <c r="R756">
        <v>13.554632979526</v>
      </c>
      <c r="U756">
        <v>0</v>
      </c>
      <c r="V756">
        <v>-7.9414844512939002E-3</v>
      </c>
      <c r="AC756">
        <v>0.51022859600000003</v>
      </c>
    </row>
    <row r="757" spans="1:29" hidden="1" x14ac:dyDescent="0.3">
      <c r="A757" t="s">
        <v>53</v>
      </c>
      <c r="B757">
        <v>2041</v>
      </c>
      <c r="J757">
        <v>1.5711083246857001</v>
      </c>
      <c r="R757">
        <v>13.691052257115</v>
      </c>
      <c r="U757">
        <v>0</v>
      </c>
      <c r="V757">
        <v>-8.4378272294997995E-3</v>
      </c>
      <c r="AC757">
        <v>3.7942758169999999</v>
      </c>
    </row>
    <row r="758" spans="1:29" hidden="1" x14ac:dyDescent="0.3">
      <c r="A758" t="s">
        <v>53</v>
      </c>
      <c r="B758">
        <v>2042</v>
      </c>
      <c r="J758">
        <v>1.4923959845107</v>
      </c>
      <c r="R758">
        <v>13.833493731137001</v>
      </c>
      <c r="U758">
        <v>0</v>
      </c>
      <c r="V758">
        <v>-8.9341700077057006E-3</v>
      </c>
      <c r="AB758">
        <v>1.6</v>
      </c>
      <c r="AC758">
        <v>4.4903464999999997E-2</v>
      </c>
    </row>
    <row r="759" spans="1:29" hidden="1" x14ac:dyDescent="0.3">
      <c r="A759" t="s">
        <v>53</v>
      </c>
      <c r="B759">
        <v>2043</v>
      </c>
      <c r="J759">
        <v>1.4109239430435001</v>
      </c>
      <c r="R759">
        <v>14.066874182736001</v>
      </c>
      <c r="U759">
        <v>0</v>
      </c>
      <c r="V759">
        <v>-9.4305127859116E-3</v>
      </c>
      <c r="AC759">
        <v>3.6558569520000002</v>
      </c>
    </row>
    <row r="760" spans="1:29" hidden="1" x14ac:dyDescent="0.3">
      <c r="A760" t="s">
        <v>53</v>
      </c>
      <c r="B760">
        <v>2044</v>
      </c>
      <c r="J760">
        <v>1.3381593730951999</v>
      </c>
      <c r="R760">
        <v>14.186946177276999</v>
      </c>
      <c r="U760">
        <v>0</v>
      </c>
      <c r="V760">
        <v>-9.9268555641174004E-3</v>
      </c>
      <c r="AC760">
        <v>8.3712649E-2</v>
      </c>
    </row>
    <row r="761" spans="1:29" hidden="1" x14ac:dyDescent="0.3">
      <c r="A761" t="s">
        <v>53</v>
      </c>
      <c r="B761">
        <v>2045</v>
      </c>
      <c r="J761">
        <v>1.2808350374863</v>
      </c>
      <c r="R761">
        <v>14.375594825349999</v>
      </c>
      <c r="U761">
        <v>0</v>
      </c>
      <c r="V761">
        <v>-1.0423198342323E-2</v>
      </c>
      <c r="AC761">
        <v>9.639536648</v>
      </c>
    </row>
    <row r="762" spans="1:29" hidden="1" x14ac:dyDescent="0.3">
      <c r="A762" t="s">
        <v>53</v>
      </c>
      <c r="B762">
        <v>2046</v>
      </c>
      <c r="J762">
        <v>1.2190957409306999</v>
      </c>
      <c r="R762">
        <v>14.56315050485</v>
      </c>
      <c r="U762">
        <v>0</v>
      </c>
      <c r="V762">
        <v>-1.0919541120529E-2</v>
      </c>
      <c r="AC762">
        <v>0</v>
      </c>
    </row>
    <row r="763" spans="1:29" hidden="1" x14ac:dyDescent="0.3">
      <c r="A763" t="s">
        <v>53</v>
      </c>
      <c r="B763">
        <v>2047</v>
      </c>
      <c r="J763">
        <v>1.1961856361679</v>
      </c>
      <c r="R763">
        <v>14.754766589649</v>
      </c>
      <c r="U763">
        <v>0</v>
      </c>
      <c r="V763">
        <v>-1.1415883898735E-2</v>
      </c>
      <c r="AC763">
        <v>5.2286920000000001E-2</v>
      </c>
    </row>
    <row r="764" spans="1:29" hidden="1" x14ac:dyDescent="0.3">
      <c r="A764" t="s">
        <v>53</v>
      </c>
      <c r="B764">
        <v>2048</v>
      </c>
      <c r="J764">
        <v>1.2073535207946</v>
      </c>
      <c r="R764">
        <v>14.999302770212999</v>
      </c>
      <c r="U764">
        <v>0</v>
      </c>
      <c r="V764">
        <v>-1.1912226676941E-2</v>
      </c>
      <c r="AC764">
        <v>0</v>
      </c>
    </row>
    <row r="765" spans="1:29" hidden="1" x14ac:dyDescent="0.3">
      <c r="A765" t="s">
        <v>53</v>
      </c>
      <c r="B765">
        <v>2049</v>
      </c>
      <c r="J765">
        <v>1.2241643900504</v>
      </c>
      <c r="R765">
        <v>15.085650787024001</v>
      </c>
      <c r="U765">
        <v>0</v>
      </c>
      <c r="V765">
        <v>-1.2408569455146999E-2</v>
      </c>
      <c r="AC765">
        <v>0.25113794699999997</v>
      </c>
    </row>
    <row r="766" spans="1:29" hidden="1" x14ac:dyDescent="0.3">
      <c r="A766" t="s">
        <v>53</v>
      </c>
      <c r="B766">
        <v>2050</v>
      </c>
      <c r="J766">
        <v>1.2474226065914</v>
      </c>
      <c r="R766">
        <v>15.222607347112</v>
      </c>
      <c r="U766">
        <v>0</v>
      </c>
      <c r="V766">
        <v>-1.2904912233352999E-2</v>
      </c>
      <c r="AC766">
        <v>7.6858927020000003</v>
      </c>
    </row>
    <row r="767" spans="1:29" hidden="1" x14ac:dyDescent="0.3">
      <c r="A767" t="s">
        <v>53</v>
      </c>
      <c r="B767">
        <v>2051</v>
      </c>
      <c r="J767">
        <v>1.2675736828855999</v>
      </c>
      <c r="R767">
        <v>15.358849906454999</v>
      </c>
      <c r="U767">
        <v>0</v>
      </c>
      <c r="V767">
        <v>-1.3401255011558999E-2</v>
      </c>
      <c r="AC767">
        <v>8.3712649E-2</v>
      </c>
    </row>
    <row r="768" spans="1:29" hidden="1" x14ac:dyDescent="0.3">
      <c r="A768" t="s">
        <v>53</v>
      </c>
      <c r="B768">
        <v>2052</v>
      </c>
      <c r="J768">
        <v>1.2822346132650999</v>
      </c>
      <c r="R768">
        <v>15.489136141823</v>
      </c>
      <c r="U768">
        <v>0</v>
      </c>
      <c r="V768">
        <v>-1.3897597789764E-2</v>
      </c>
      <c r="AC768">
        <v>0</v>
      </c>
    </row>
    <row r="769" spans="1:29" hidden="1" x14ac:dyDescent="0.3">
      <c r="A769" t="s">
        <v>53</v>
      </c>
      <c r="B769">
        <v>2053</v>
      </c>
      <c r="J769">
        <v>1.2923734376330001</v>
      </c>
      <c r="R769">
        <v>15.614078511663999</v>
      </c>
      <c r="U769">
        <v>0</v>
      </c>
      <c r="V769">
        <v>-1.439394056797E-2</v>
      </c>
      <c r="AC769">
        <v>0</v>
      </c>
    </row>
    <row r="770" spans="1:29" hidden="1" x14ac:dyDescent="0.3">
      <c r="A770" t="s">
        <v>53</v>
      </c>
      <c r="B770">
        <v>2054</v>
      </c>
      <c r="J770">
        <v>1.3137284435583001</v>
      </c>
      <c r="R770">
        <v>15.806425024065</v>
      </c>
      <c r="U770">
        <v>0</v>
      </c>
      <c r="V770">
        <v>-1.4890283346176E-2</v>
      </c>
      <c r="AC770">
        <v>0</v>
      </c>
    </row>
    <row r="771" spans="1:29" hidden="1" x14ac:dyDescent="0.3">
      <c r="A771" t="s">
        <v>53</v>
      </c>
      <c r="B771">
        <v>2055</v>
      </c>
      <c r="J771">
        <v>1.3402313584101</v>
      </c>
      <c r="R771">
        <v>15.831731132714999</v>
      </c>
      <c r="U771">
        <v>0</v>
      </c>
      <c r="V771">
        <v>-1.5386626124382E-2</v>
      </c>
      <c r="AC771">
        <v>2.5113794710000001</v>
      </c>
    </row>
    <row r="772" spans="1:29" hidden="1" x14ac:dyDescent="0.3">
      <c r="A772" t="s">
        <v>53</v>
      </c>
      <c r="B772">
        <v>2056</v>
      </c>
      <c r="J772">
        <v>1.3505671563995001</v>
      </c>
      <c r="R772">
        <v>15.923005078574</v>
      </c>
      <c r="U772">
        <v>0</v>
      </c>
      <c r="V772">
        <v>-1.5882968902588002E-2</v>
      </c>
      <c r="AC772">
        <v>0</v>
      </c>
    </row>
    <row r="773" spans="1:29" hidden="1" x14ac:dyDescent="0.3">
      <c r="A773" t="s">
        <v>53</v>
      </c>
      <c r="B773">
        <v>2057</v>
      </c>
      <c r="J773">
        <v>1.3547421063038001</v>
      </c>
      <c r="R773">
        <v>16.009814870109</v>
      </c>
      <c r="U773">
        <v>0</v>
      </c>
      <c r="V773">
        <v>-1.6379311680794002E-2</v>
      </c>
      <c r="AC773">
        <v>0</v>
      </c>
    </row>
    <row r="774" spans="1:29" hidden="1" x14ac:dyDescent="0.3">
      <c r="A774" t="s">
        <v>53</v>
      </c>
      <c r="B774">
        <v>2058</v>
      </c>
      <c r="J774">
        <v>1.3643521486000001</v>
      </c>
      <c r="R774">
        <v>16.101132221678998</v>
      </c>
      <c r="U774">
        <v>0</v>
      </c>
      <c r="V774">
        <v>-1.6875654459000002E-2</v>
      </c>
      <c r="AC774">
        <v>0</v>
      </c>
    </row>
    <row r="775" spans="1:29" hidden="1" x14ac:dyDescent="0.3">
      <c r="A775" t="s">
        <v>53</v>
      </c>
      <c r="B775">
        <v>2059</v>
      </c>
      <c r="J775">
        <v>1.3475224502717</v>
      </c>
      <c r="R775">
        <v>16.192997039493999</v>
      </c>
      <c r="U775">
        <v>0</v>
      </c>
      <c r="V775">
        <v>-1.7371997237206002E-2</v>
      </c>
      <c r="AC775">
        <v>0</v>
      </c>
    </row>
    <row r="776" spans="1:29" hidden="1" x14ac:dyDescent="0.3">
      <c r="A776" t="s">
        <v>53</v>
      </c>
      <c r="B776">
        <v>2060</v>
      </c>
      <c r="J776">
        <v>1.3319717051622999</v>
      </c>
      <c r="R776">
        <v>16.356807714500999</v>
      </c>
      <c r="U776">
        <v>0</v>
      </c>
      <c r="V776">
        <v>-1.7868340015410999E-2</v>
      </c>
      <c r="AC776">
        <v>0</v>
      </c>
    </row>
    <row r="777" spans="1:29" hidden="1" x14ac:dyDescent="0.3">
      <c r="A777" t="s">
        <v>53</v>
      </c>
      <c r="B777">
        <v>2061</v>
      </c>
      <c r="J777">
        <v>1.3022776611310001</v>
      </c>
      <c r="R777">
        <v>16.328171642739001</v>
      </c>
      <c r="U777">
        <v>0</v>
      </c>
      <c r="V777">
        <v>-1.8364682793616999E-2</v>
      </c>
      <c r="AC777">
        <v>0</v>
      </c>
    </row>
    <row r="778" spans="1:29" hidden="1" x14ac:dyDescent="0.3">
      <c r="A778" t="s">
        <v>53</v>
      </c>
      <c r="B778">
        <v>2062</v>
      </c>
      <c r="J778">
        <v>1.2689624894756999</v>
      </c>
      <c r="R778">
        <v>16.382045787003999</v>
      </c>
      <c r="U778">
        <v>0</v>
      </c>
      <c r="V778">
        <v>-1.8861025571822999E-2</v>
      </c>
      <c r="AC778">
        <v>0</v>
      </c>
    </row>
    <row r="779" spans="1:29" hidden="1" x14ac:dyDescent="0.3">
      <c r="A779" t="s">
        <v>53</v>
      </c>
      <c r="B779">
        <v>2063</v>
      </c>
      <c r="J779">
        <v>1.2243197232711001</v>
      </c>
      <c r="R779">
        <v>16.438376298543002</v>
      </c>
      <c r="U779">
        <v>0</v>
      </c>
      <c r="V779">
        <v>-1.9357368350028999E-2</v>
      </c>
      <c r="AC779">
        <v>8.3712649E-2</v>
      </c>
    </row>
    <row r="780" spans="1:29" hidden="1" x14ac:dyDescent="0.3">
      <c r="A780" t="s">
        <v>53</v>
      </c>
      <c r="B780">
        <v>2064</v>
      </c>
      <c r="J780">
        <v>1.1756560677782</v>
      </c>
      <c r="R780">
        <v>16.514346890723999</v>
      </c>
      <c r="U780">
        <v>0</v>
      </c>
      <c r="V780">
        <v>-1.9853711128234999E-2</v>
      </c>
      <c r="AC780">
        <v>8.3712649E-2</v>
      </c>
    </row>
    <row r="781" spans="1:29" hidden="1" x14ac:dyDescent="0.3">
      <c r="A781" t="s">
        <v>53</v>
      </c>
      <c r="B781">
        <v>2065</v>
      </c>
      <c r="J781">
        <v>1.1340912584809</v>
      </c>
      <c r="R781">
        <v>16.677942671452001</v>
      </c>
      <c r="U781">
        <v>0</v>
      </c>
      <c r="V781">
        <v>-2.0350053906440999E-2</v>
      </c>
      <c r="AC781">
        <v>0</v>
      </c>
    </row>
    <row r="782" spans="1:29" hidden="1" x14ac:dyDescent="0.3">
      <c r="A782" t="s">
        <v>53</v>
      </c>
      <c r="B782">
        <v>2066</v>
      </c>
      <c r="J782">
        <v>1.0922284916044001</v>
      </c>
      <c r="R782">
        <v>16.666310327839</v>
      </c>
      <c r="U782">
        <v>0</v>
      </c>
      <c r="V782">
        <v>-2.0846396684646998E-2</v>
      </c>
      <c r="AC782">
        <v>0</v>
      </c>
    </row>
    <row r="783" spans="1:29" hidden="1" x14ac:dyDescent="0.3">
      <c r="A783" t="s">
        <v>53</v>
      </c>
      <c r="B783">
        <v>2067</v>
      </c>
      <c r="J783">
        <v>1.0454096608584</v>
      </c>
      <c r="R783">
        <v>16.729164658748999</v>
      </c>
      <c r="U783">
        <v>0</v>
      </c>
      <c r="V783">
        <v>-2.1342739462851999E-2</v>
      </c>
      <c r="AC783">
        <v>0</v>
      </c>
    </row>
    <row r="784" spans="1:29" hidden="1" x14ac:dyDescent="0.3">
      <c r="A784" t="s">
        <v>53</v>
      </c>
      <c r="B784">
        <v>2068</v>
      </c>
      <c r="J784">
        <v>0.99450560038031999</v>
      </c>
      <c r="R784">
        <v>16.794155405702</v>
      </c>
      <c r="U784">
        <v>0</v>
      </c>
      <c r="V784">
        <v>-2.1839082241057999E-2</v>
      </c>
      <c r="AC784">
        <v>0</v>
      </c>
    </row>
    <row r="785" spans="1:38" hidden="1" x14ac:dyDescent="0.3">
      <c r="A785" t="s">
        <v>53</v>
      </c>
      <c r="B785">
        <v>2069</v>
      </c>
      <c r="J785">
        <v>0.94349189555808999</v>
      </c>
      <c r="R785">
        <v>16.858439058306999</v>
      </c>
      <c r="U785">
        <v>0</v>
      </c>
      <c r="V785">
        <v>-2.2335425019263999E-2</v>
      </c>
      <c r="AC785">
        <v>0</v>
      </c>
    </row>
    <row r="786" spans="1:38" hidden="1" x14ac:dyDescent="0.3">
      <c r="A786" t="s">
        <v>53</v>
      </c>
      <c r="B786">
        <v>2070</v>
      </c>
      <c r="J786">
        <v>0.89391409544074996</v>
      </c>
      <c r="R786">
        <v>16.921819813212</v>
      </c>
      <c r="U786">
        <v>0</v>
      </c>
      <c r="V786">
        <v>-2.2831767797469999E-2</v>
      </c>
      <c r="AC786">
        <v>0</v>
      </c>
    </row>
    <row r="787" spans="1:38" hidden="1" x14ac:dyDescent="0.3">
      <c r="A787" t="s">
        <v>53</v>
      </c>
      <c r="B787">
        <v>2071</v>
      </c>
      <c r="V787">
        <v>-2.3328110575675999E-2</v>
      </c>
    </row>
    <row r="788" spans="1:38" x14ac:dyDescent="0.3">
      <c r="A788" t="s">
        <v>54</v>
      </c>
      <c r="B788">
        <v>0</v>
      </c>
      <c r="AD788">
        <v>0.12374960925432001</v>
      </c>
      <c r="AE788">
        <v>9.1177269135848005E-2</v>
      </c>
      <c r="AF788">
        <v>0.10145397352097001</v>
      </c>
      <c r="AG788">
        <v>0.99957156297266003</v>
      </c>
      <c r="AH788">
        <v>0</v>
      </c>
      <c r="AI788">
        <v>3.9254405263157999</v>
      </c>
      <c r="AJ788">
        <v>4.7862610526316001</v>
      </c>
      <c r="AK788">
        <v>2.1578473684211001</v>
      </c>
      <c r="AL788">
        <v>0.54400000000000004</v>
      </c>
    </row>
    <row r="789" spans="1:38" x14ac:dyDescent="0.3">
      <c r="A789" t="s">
        <v>54</v>
      </c>
      <c r="B789">
        <v>2024</v>
      </c>
      <c r="C789">
        <v>2966.6</v>
      </c>
      <c r="D789">
        <v>135.3262</v>
      </c>
      <c r="E789">
        <v>2192.1819999999998</v>
      </c>
      <c r="F789">
        <v>2.8522231970686001</v>
      </c>
      <c r="G789">
        <v>1934.4468024231001</v>
      </c>
      <c r="H789">
        <v>0.72579231844759995</v>
      </c>
      <c r="I789">
        <v>1915.8216669955</v>
      </c>
      <c r="J789">
        <v>1.2673635275187001</v>
      </c>
      <c r="K789">
        <v>2.1110899680647002</v>
      </c>
      <c r="L789">
        <v>2.9323319626384001</v>
      </c>
      <c r="M789">
        <v>0.43942530000000002</v>
      </c>
      <c r="N789">
        <v>-0.26240000000000002</v>
      </c>
      <c r="O789">
        <v>-3.4462017</v>
      </c>
      <c r="P789">
        <v>21.4</v>
      </c>
      <c r="Q789">
        <v>46.676516200000002</v>
      </c>
      <c r="R789">
        <v>27.143708900174001</v>
      </c>
      <c r="S789">
        <v>3.0507243955022001</v>
      </c>
      <c r="U789">
        <v>0</v>
      </c>
      <c r="V789">
        <v>0</v>
      </c>
      <c r="W789">
        <v>2.9683085</v>
      </c>
      <c r="X789">
        <v>3.17</v>
      </c>
      <c r="Y789">
        <v>3.7074166666666999</v>
      </c>
      <c r="Z789">
        <v>1</v>
      </c>
      <c r="AA789">
        <v>1.0823804690000001</v>
      </c>
    </row>
    <row r="790" spans="1:38" x14ac:dyDescent="0.3">
      <c r="A790" t="s">
        <v>54</v>
      </c>
      <c r="B790">
        <v>2025</v>
      </c>
      <c r="C790">
        <v>3083.3</v>
      </c>
      <c r="D790">
        <v>136.66319999999999</v>
      </c>
      <c r="E790">
        <v>2256.123</v>
      </c>
      <c r="F790">
        <v>2.916774245934</v>
      </c>
      <c r="G790">
        <v>1947.3008340284</v>
      </c>
      <c r="H790">
        <v>0.66448100765286</v>
      </c>
      <c r="I790">
        <v>1935.5249690726</v>
      </c>
      <c r="J790">
        <v>1.0284517821546</v>
      </c>
      <c r="K790">
        <v>2.2374511147901002</v>
      </c>
      <c r="L790">
        <v>2.4767093808285998</v>
      </c>
      <c r="M790">
        <v>0.6300152</v>
      </c>
      <c r="N790">
        <v>0.16159999999999999</v>
      </c>
      <c r="O790">
        <v>-3.2639342</v>
      </c>
      <c r="P790">
        <v>43.05</v>
      </c>
      <c r="Q790">
        <v>47.063271299999997</v>
      </c>
      <c r="R790">
        <v>27.120266532132</v>
      </c>
      <c r="S790">
        <v>3.0540124849232999</v>
      </c>
      <c r="U790">
        <v>0</v>
      </c>
      <c r="V790">
        <v>3.1206011772156E-4</v>
      </c>
      <c r="W790">
        <v>2.9613830999999999</v>
      </c>
      <c r="X790">
        <v>2.6059999999999999</v>
      </c>
      <c r="Y790">
        <v>3.6958000000000002</v>
      </c>
      <c r="Z790">
        <v>1</v>
      </c>
      <c r="AA790">
        <v>1.113519535</v>
      </c>
      <c r="AC790">
        <v>266.47146600000002</v>
      </c>
    </row>
    <row r="791" spans="1:38" x14ac:dyDescent="0.3">
      <c r="A791" t="s">
        <v>54</v>
      </c>
      <c r="B791">
        <v>2026</v>
      </c>
      <c r="C791">
        <v>3201</v>
      </c>
      <c r="D791">
        <v>138.19810000000001</v>
      </c>
      <c r="E791">
        <v>2316.223</v>
      </c>
      <c r="F791">
        <v>2.6638618550495998</v>
      </c>
      <c r="G791">
        <v>1965.7325667646001</v>
      </c>
      <c r="H791">
        <v>0.94652723472830003</v>
      </c>
      <c r="I791">
        <v>1952.9129206056</v>
      </c>
      <c r="J791">
        <v>0.89835842010777001</v>
      </c>
      <c r="K791">
        <v>1.7012200295029001</v>
      </c>
      <c r="L791">
        <v>2.0119566334671002</v>
      </c>
      <c r="M791">
        <v>1.097933</v>
      </c>
      <c r="N791">
        <v>0.62019999999999997</v>
      </c>
      <c r="O791">
        <v>-2.8818608000000001</v>
      </c>
      <c r="P791">
        <v>50.93</v>
      </c>
      <c r="Q791">
        <v>46.775658499999999</v>
      </c>
      <c r="R791">
        <v>27.150763466331998</v>
      </c>
      <c r="S791">
        <v>3.0814412235044002</v>
      </c>
      <c r="U791">
        <v>0</v>
      </c>
      <c r="V791">
        <v>2.4765118956565999E-2</v>
      </c>
      <c r="W791">
        <v>2.9896926000000001</v>
      </c>
      <c r="Z791">
        <v>1</v>
      </c>
      <c r="AA791">
        <v>1.1346799999999999</v>
      </c>
      <c r="AC791">
        <v>322.768654454</v>
      </c>
    </row>
    <row r="792" spans="1:38" x14ac:dyDescent="0.3">
      <c r="A792" t="s">
        <v>54</v>
      </c>
      <c r="B792">
        <v>2027</v>
      </c>
      <c r="G792">
        <v>1976.0640076003999</v>
      </c>
      <c r="H792">
        <v>0.52557713142380003</v>
      </c>
      <c r="I792">
        <v>1967.4539417169001</v>
      </c>
      <c r="J792">
        <v>0.74458113097942003</v>
      </c>
      <c r="R792">
        <v>27.294407220450001</v>
      </c>
      <c r="S792">
        <v>3.1079174964640002</v>
      </c>
      <c r="U792">
        <v>0</v>
      </c>
      <c r="V792">
        <v>4.8265248537064001E-2</v>
      </c>
      <c r="AC792">
        <v>233.49454493499999</v>
      </c>
    </row>
    <row r="793" spans="1:38" x14ac:dyDescent="0.3">
      <c r="A793" t="s">
        <v>54</v>
      </c>
      <c r="B793">
        <v>2028</v>
      </c>
      <c r="G793">
        <v>1984.2141417988</v>
      </c>
      <c r="H793">
        <v>0.41244282406880001</v>
      </c>
      <c r="I793">
        <v>1979.8819149121</v>
      </c>
      <c r="J793">
        <v>0.63167797384025004</v>
      </c>
      <c r="R793">
        <v>27.36070574184</v>
      </c>
      <c r="S793">
        <v>3.1225094044469999</v>
      </c>
      <c r="U793">
        <v>0</v>
      </c>
      <c r="V793">
        <v>5.9881515800953002E-2</v>
      </c>
      <c r="AC793">
        <v>235.576174635</v>
      </c>
    </row>
    <row r="794" spans="1:38" x14ac:dyDescent="0.3">
      <c r="A794" t="s">
        <v>54</v>
      </c>
      <c r="B794">
        <v>2029</v>
      </c>
      <c r="G794">
        <v>1990.2009180821001</v>
      </c>
      <c r="H794">
        <v>0.30172027087471998</v>
      </c>
      <c r="I794">
        <v>1990.2009180821001</v>
      </c>
      <c r="J794">
        <v>0.52119285964936002</v>
      </c>
      <c r="R794">
        <v>27.385126070386999</v>
      </c>
      <c r="S794">
        <v>3.1286441421697</v>
      </c>
      <c r="U794">
        <v>0</v>
      </c>
      <c r="V794">
        <v>6.3040629029274001E-2</v>
      </c>
      <c r="AC794">
        <v>215.72450504400001</v>
      </c>
    </row>
    <row r="795" spans="1:38" x14ac:dyDescent="0.3">
      <c r="A795" t="s">
        <v>54</v>
      </c>
      <c r="B795">
        <v>2030</v>
      </c>
      <c r="J795">
        <v>0.57259833060063003</v>
      </c>
      <c r="R795">
        <v>27.562331540357</v>
      </c>
      <c r="S795">
        <v>3.1629994667317001</v>
      </c>
      <c r="U795">
        <v>0</v>
      </c>
      <c r="V795">
        <v>9.4419747591018996E-2</v>
      </c>
      <c r="AC795">
        <v>214.94391825</v>
      </c>
    </row>
    <row r="796" spans="1:38" x14ac:dyDescent="0.3">
      <c r="A796" t="s">
        <v>54</v>
      </c>
      <c r="B796">
        <v>2031</v>
      </c>
      <c r="J796">
        <v>0.62400380155191004</v>
      </c>
      <c r="R796">
        <v>27.722616544306</v>
      </c>
      <c r="S796">
        <v>3.1919178461120001</v>
      </c>
      <c r="U796">
        <v>0</v>
      </c>
      <c r="V796">
        <v>0.12036292254925</v>
      </c>
      <c r="AC796">
        <v>184.9232901</v>
      </c>
    </row>
    <row r="797" spans="1:38" x14ac:dyDescent="0.3">
      <c r="A797" t="s">
        <v>54</v>
      </c>
      <c r="B797">
        <v>2032</v>
      </c>
      <c r="J797">
        <v>0.67540927250319005</v>
      </c>
      <c r="R797">
        <v>27.942831921482998</v>
      </c>
      <c r="S797">
        <v>3.2304290045858002</v>
      </c>
      <c r="U797">
        <v>0</v>
      </c>
      <c r="V797">
        <v>0.15589797496796001</v>
      </c>
      <c r="AC797">
        <v>100.830178</v>
      </c>
    </row>
    <row r="798" spans="1:38" x14ac:dyDescent="0.3">
      <c r="A798" t="s">
        <v>54</v>
      </c>
      <c r="B798">
        <v>2033</v>
      </c>
      <c r="J798">
        <v>0.72681474345445995</v>
      </c>
      <c r="R798">
        <v>28.054932789428001</v>
      </c>
      <c r="S798">
        <v>3.2478412383021</v>
      </c>
      <c r="U798">
        <v>0</v>
      </c>
      <c r="V798">
        <v>0.17033410072326999</v>
      </c>
      <c r="AC798">
        <v>144.04907741100001</v>
      </c>
    </row>
    <row r="799" spans="1:38" x14ac:dyDescent="0.3">
      <c r="A799" t="s">
        <v>54</v>
      </c>
      <c r="B799">
        <v>2034</v>
      </c>
      <c r="J799">
        <v>0.77822021440573996</v>
      </c>
      <c r="R799">
        <v>28.17870922194</v>
      </c>
      <c r="S799">
        <v>3.2669392841043998</v>
      </c>
      <c r="U799">
        <v>0</v>
      </c>
      <c r="V799">
        <v>0.18645629286766</v>
      </c>
      <c r="AC799">
        <v>73.259662650999999</v>
      </c>
    </row>
    <row r="800" spans="1:38" x14ac:dyDescent="0.3">
      <c r="A800" t="s">
        <v>54</v>
      </c>
      <c r="B800">
        <v>2035</v>
      </c>
      <c r="J800">
        <v>0.82962568535701997</v>
      </c>
      <c r="R800">
        <v>28.241669414124999</v>
      </c>
      <c r="S800">
        <v>3.2740434571033998</v>
      </c>
      <c r="U800">
        <v>0</v>
      </c>
      <c r="V800">
        <v>0.20631539990955999</v>
      </c>
      <c r="AC800">
        <v>89.011269999999996</v>
      </c>
    </row>
    <row r="801" spans="1:29" x14ac:dyDescent="0.3">
      <c r="A801" t="s">
        <v>54</v>
      </c>
      <c r="B801">
        <v>2036</v>
      </c>
      <c r="J801">
        <v>0.88103115630829998</v>
      </c>
      <c r="R801">
        <v>28.310573733636001</v>
      </c>
      <c r="S801">
        <v>3.2817293196489001</v>
      </c>
      <c r="U801">
        <v>0</v>
      </c>
      <c r="V801">
        <v>0.22617450695145999</v>
      </c>
      <c r="AC801">
        <v>45.782499999999999</v>
      </c>
    </row>
    <row r="802" spans="1:29" x14ac:dyDescent="0.3">
      <c r="A802" t="s">
        <v>54</v>
      </c>
      <c r="B802">
        <v>2037</v>
      </c>
      <c r="J802">
        <v>1.0125606656751001</v>
      </c>
      <c r="R802">
        <v>28.274088484151001</v>
      </c>
      <c r="S802">
        <v>3.2690265665084999</v>
      </c>
      <c r="U802">
        <v>0</v>
      </c>
      <c r="V802">
        <v>0.24603361399335999</v>
      </c>
      <c r="AC802">
        <v>66.798390999999995</v>
      </c>
    </row>
    <row r="803" spans="1:29" x14ac:dyDescent="0.3">
      <c r="A803" t="s">
        <v>54</v>
      </c>
      <c r="B803">
        <v>2038</v>
      </c>
      <c r="J803">
        <v>1.1120025976107999</v>
      </c>
      <c r="R803">
        <v>28.297693391342001</v>
      </c>
      <c r="S803">
        <v>3.2663654815398999</v>
      </c>
      <c r="U803">
        <v>0</v>
      </c>
      <c r="V803">
        <v>0.26589272103526002</v>
      </c>
      <c r="AC803">
        <v>29.788050810000001</v>
      </c>
    </row>
    <row r="804" spans="1:29" x14ac:dyDescent="0.3">
      <c r="A804" t="s">
        <v>54</v>
      </c>
      <c r="B804">
        <v>2039</v>
      </c>
      <c r="J804">
        <v>1.2246125963901999</v>
      </c>
      <c r="R804">
        <v>28.262338641336999</v>
      </c>
      <c r="S804">
        <v>3.2507270792281999</v>
      </c>
      <c r="U804">
        <v>0</v>
      </c>
      <c r="V804">
        <v>0.28575182807715999</v>
      </c>
      <c r="AC804">
        <v>52.851765</v>
      </c>
    </row>
    <row r="805" spans="1:29" x14ac:dyDescent="0.3">
      <c r="A805" t="s">
        <v>54</v>
      </c>
      <c r="B805">
        <v>2040</v>
      </c>
      <c r="J805">
        <v>1.3518366510938999</v>
      </c>
      <c r="R805">
        <v>28.271683220216001</v>
      </c>
      <c r="S805">
        <v>3.2428651025356001</v>
      </c>
      <c r="U805">
        <v>0</v>
      </c>
      <c r="V805">
        <v>0.30561093511907</v>
      </c>
      <c r="AC805">
        <v>53.797255</v>
      </c>
    </row>
    <row r="806" spans="1:29" x14ac:dyDescent="0.3">
      <c r="A806" t="s">
        <v>54</v>
      </c>
      <c r="B806">
        <v>2041</v>
      </c>
      <c r="J806">
        <v>1.3598562229558</v>
      </c>
      <c r="R806">
        <v>28.229435380544</v>
      </c>
      <c r="S806">
        <v>3.2235301595885</v>
      </c>
      <c r="U806">
        <v>0</v>
      </c>
      <c r="V806">
        <v>0.32547004216096997</v>
      </c>
      <c r="AC806">
        <v>33.687435000000001</v>
      </c>
    </row>
    <row r="807" spans="1:29" x14ac:dyDescent="0.3">
      <c r="A807" t="s">
        <v>54</v>
      </c>
      <c r="B807">
        <v>2042</v>
      </c>
      <c r="J807">
        <v>1.3725773579524001</v>
      </c>
      <c r="R807">
        <v>28.217617458465</v>
      </c>
      <c r="S807">
        <v>3.2099015866449001</v>
      </c>
      <c r="U807">
        <v>0</v>
      </c>
      <c r="V807">
        <v>0.34532914920287</v>
      </c>
      <c r="AC807">
        <v>0.23</v>
      </c>
    </row>
    <row r="808" spans="1:29" x14ac:dyDescent="0.3">
      <c r="A808" t="s">
        <v>54</v>
      </c>
      <c r="B808">
        <v>2043</v>
      </c>
      <c r="J808">
        <v>1.3672920051285999</v>
      </c>
      <c r="R808">
        <v>28.15587737724</v>
      </c>
      <c r="S808">
        <v>3.1861599301255001</v>
      </c>
      <c r="U808">
        <v>0</v>
      </c>
      <c r="V808">
        <v>0.36518825624477003</v>
      </c>
      <c r="AC808">
        <v>13.7</v>
      </c>
    </row>
    <row r="809" spans="1:29" x14ac:dyDescent="0.3">
      <c r="A809" t="s">
        <v>54</v>
      </c>
      <c r="B809">
        <v>2044</v>
      </c>
      <c r="J809">
        <v>1.3697121980414</v>
      </c>
      <c r="R809">
        <v>28.115118240868998</v>
      </c>
      <c r="S809">
        <v>3.1660739130858002</v>
      </c>
      <c r="U809">
        <v>0</v>
      </c>
      <c r="V809">
        <v>0.38504736328667</v>
      </c>
      <c r="AC809">
        <v>20.730829</v>
      </c>
    </row>
    <row r="810" spans="1:29" x14ac:dyDescent="0.3">
      <c r="A810" t="s">
        <v>54</v>
      </c>
      <c r="B810">
        <v>2045</v>
      </c>
      <c r="J810">
        <v>1.3788360337671</v>
      </c>
      <c r="R810">
        <v>28.006551066905001</v>
      </c>
      <c r="S810">
        <v>3.1333288619402002</v>
      </c>
      <c r="U810">
        <v>0</v>
      </c>
      <c r="V810">
        <v>0.40490647032857002</v>
      </c>
      <c r="AC810">
        <v>15.35</v>
      </c>
    </row>
    <row r="811" spans="1:29" x14ac:dyDescent="0.3">
      <c r="A811" t="s">
        <v>54</v>
      </c>
      <c r="B811">
        <v>2046</v>
      </c>
      <c r="J811">
        <v>1.3886529799053</v>
      </c>
      <c r="R811">
        <v>27.911934018819</v>
      </c>
      <c r="S811">
        <v>3.1034483976410998</v>
      </c>
      <c r="U811">
        <v>0</v>
      </c>
      <c r="V811">
        <v>0.42476557737046999</v>
      </c>
      <c r="AC811">
        <v>24.540324999999999</v>
      </c>
    </row>
    <row r="812" spans="1:29" x14ac:dyDescent="0.3">
      <c r="A812" t="s">
        <v>54</v>
      </c>
      <c r="B812">
        <v>2047</v>
      </c>
      <c r="J812">
        <v>1.4033508919408999</v>
      </c>
      <c r="R812">
        <v>27.759176149078002</v>
      </c>
      <c r="S812">
        <v>3.0631492009030001</v>
      </c>
      <c r="U812">
        <v>0</v>
      </c>
      <c r="V812">
        <v>0.44462468441237002</v>
      </c>
      <c r="AC812">
        <v>18.740969</v>
      </c>
    </row>
    <row r="813" spans="1:29" x14ac:dyDescent="0.3">
      <c r="A813" t="s">
        <v>54</v>
      </c>
      <c r="B813">
        <v>2048</v>
      </c>
      <c r="J813">
        <v>1.4233278124343001</v>
      </c>
      <c r="R813">
        <v>27.626571010987</v>
      </c>
      <c r="S813">
        <v>3.0269874515874</v>
      </c>
      <c r="U813">
        <v>0</v>
      </c>
      <c r="V813">
        <v>0.46448379145426999</v>
      </c>
      <c r="AC813">
        <v>21.282253999999998</v>
      </c>
    </row>
    <row r="814" spans="1:29" x14ac:dyDescent="0.3">
      <c r="A814" t="s">
        <v>54</v>
      </c>
      <c r="B814">
        <v>2049</v>
      </c>
      <c r="J814">
        <v>1.4067479526221001</v>
      </c>
      <c r="R814">
        <v>27.431744401827</v>
      </c>
      <c r="S814">
        <v>2.9796746236514999</v>
      </c>
      <c r="U814">
        <v>0</v>
      </c>
      <c r="V814">
        <v>0.48434289849617002</v>
      </c>
      <c r="AC814">
        <v>20.429784013999999</v>
      </c>
    </row>
    <row r="815" spans="1:29" x14ac:dyDescent="0.3">
      <c r="A815" t="s">
        <v>54</v>
      </c>
      <c r="B815">
        <v>2050</v>
      </c>
      <c r="J815">
        <v>1.3953760949405001</v>
      </c>
      <c r="R815">
        <v>27.272216624658999</v>
      </c>
      <c r="S815">
        <v>2.9401132062983999</v>
      </c>
      <c r="U815">
        <v>0</v>
      </c>
      <c r="V815">
        <v>0.50420200553807004</v>
      </c>
      <c r="AC815">
        <v>16.834623000000001</v>
      </c>
    </row>
    <row r="816" spans="1:29" x14ac:dyDescent="0.3">
      <c r="A816" t="s">
        <v>54</v>
      </c>
      <c r="B816">
        <v>2051</v>
      </c>
      <c r="J816">
        <v>1.3774730774544</v>
      </c>
      <c r="R816">
        <v>27.076407369723</v>
      </c>
      <c r="S816">
        <v>2.8946488163696</v>
      </c>
      <c r="U816">
        <v>0</v>
      </c>
      <c r="V816">
        <v>0.52406111257997001</v>
      </c>
      <c r="AC816">
        <v>26.490038014</v>
      </c>
    </row>
    <row r="817" spans="1:29" x14ac:dyDescent="0.3">
      <c r="A817" t="s">
        <v>54</v>
      </c>
      <c r="B817">
        <v>2052</v>
      </c>
      <c r="J817">
        <v>1.3605534929993</v>
      </c>
      <c r="R817">
        <v>26.917757927718998</v>
      </c>
      <c r="S817">
        <v>2.8579175028674002</v>
      </c>
      <c r="U817">
        <v>0</v>
      </c>
      <c r="V817">
        <v>0.54392021962186998</v>
      </c>
      <c r="AC817">
        <v>9.10243</v>
      </c>
    </row>
    <row r="818" spans="1:29" x14ac:dyDescent="0.3">
      <c r="A818" t="s">
        <v>54</v>
      </c>
      <c r="B818">
        <v>2053</v>
      </c>
      <c r="J818">
        <v>1.3443961549873</v>
      </c>
      <c r="R818">
        <v>26.732051107354</v>
      </c>
      <c r="S818">
        <v>2.8173429441921001</v>
      </c>
      <c r="U818">
        <v>0</v>
      </c>
      <c r="V818">
        <v>0.56377932666377994</v>
      </c>
      <c r="AC818">
        <v>15</v>
      </c>
    </row>
    <row r="819" spans="1:29" x14ac:dyDescent="0.3">
      <c r="A819" t="s">
        <v>54</v>
      </c>
      <c r="B819">
        <v>2054</v>
      </c>
      <c r="J819">
        <v>1.3540690310403001</v>
      </c>
      <c r="R819">
        <v>26.574095445307002</v>
      </c>
      <c r="S819">
        <v>2.7838200705740999</v>
      </c>
      <c r="U819">
        <v>0</v>
      </c>
      <c r="V819">
        <v>0.58363843370568003</v>
      </c>
      <c r="AC819">
        <v>13.5</v>
      </c>
    </row>
    <row r="820" spans="1:29" x14ac:dyDescent="0.3">
      <c r="A820" t="s">
        <v>54</v>
      </c>
      <c r="B820">
        <v>2055</v>
      </c>
      <c r="J820">
        <v>1.3575531739141</v>
      </c>
      <c r="R820">
        <v>26.385052980927</v>
      </c>
      <c r="S820">
        <v>2.7455409933628001</v>
      </c>
      <c r="U820">
        <v>0</v>
      </c>
      <c r="V820">
        <v>0.60349754074758</v>
      </c>
      <c r="AC820">
        <v>0</v>
      </c>
    </row>
    <row r="821" spans="1:29" x14ac:dyDescent="0.3">
      <c r="A821" t="s">
        <v>54</v>
      </c>
      <c r="B821">
        <v>2056</v>
      </c>
      <c r="J821">
        <v>1.3580861906213</v>
      </c>
      <c r="R821">
        <v>26.229450229941001</v>
      </c>
      <c r="S821">
        <v>2.7158907623905999</v>
      </c>
      <c r="U821">
        <v>0</v>
      </c>
      <c r="V821">
        <v>0.62335664778947997</v>
      </c>
      <c r="AC821">
        <v>0</v>
      </c>
    </row>
    <row r="822" spans="1:29" x14ac:dyDescent="0.3">
      <c r="A822" t="s">
        <v>54</v>
      </c>
      <c r="B822">
        <v>2057</v>
      </c>
      <c r="J822">
        <v>1.3575420462395</v>
      </c>
      <c r="R822">
        <v>26.049622291976</v>
      </c>
      <c r="S822">
        <v>2.6827233059736999</v>
      </c>
      <c r="U822">
        <v>0</v>
      </c>
      <c r="V822">
        <v>0.64321575483138005</v>
      </c>
      <c r="AC822">
        <v>1</v>
      </c>
    </row>
    <row r="823" spans="1:29" x14ac:dyDescent="0.3">
      <c r="A823" t="s">
        <v>54</v>
      </c>
      <c r="B823">
        <v>2058</v>
      </c>
      <c r="J823">
        <v>1.3494013682601</v>
      </c>
      <c r="R823">
        <v>25.917718103597998</v>
      </c>
      <c r="S823">
        <v>2.6600311632775999</v>
      </c>
      <c r="U823">
        <v>0</v>
      </c>
      <c r="V823">
        <v>0.66307486187328002</v>
      </c>
      <c r="AC823">
        <v>0.5</v>
      </c>
    </row>
    <row r="824" spans="1:29" x14ac:dyDescent="0.3">
      <c r="A824" t="s">
        <v>54</v>
      </c>
      <c r="B824">
        <v>2059</v>
      </c>
      <c r="J824">
        <v>1.3380605187634</v>
      </c>
      <c r="R824">
        <v>25.739974541713998</v>
      </c>
      <c r="S824">
        <v>2.6296678251640002</v>
      </c>
      <c r="U824">
        <v>0</v>
      </c>
      <c r="V824">
        <v>0.68293396891517999</v>
      </c>
      <c r="AC824">
        <v>0</v>
      </c>
    </row>
    <row r="825" spans="1:29" x14ac:dyDescent="0.3">
      <c r="A825" t="s">
        <v>54</v>
      </c>
      <c r="B825">
        <v>2060</v>
      </c>
      <c r="J825">
        <v>1.3297622655903001</v>
      </c>
      <c r="R825">
        <v>25.627357875655999</v>
      </c>
      <c r="S825">
        <v>2.6128129757659</v>
      </c>
      <c r="U825">
        <v>0</v>
      </c>
      <c r="V825">
        <v>0.70279307595707996</v>
      </c>
      <c r="AC825">
        <v>0.25</v>
      </c>
    </row>
    <row r="826" spans="1:29" x14ac:dyDescent="0.3">
      <c r="A826" t="s">
        <v>54</v>
      </c>
      <c r="B826">
        <v>2061</v>
      </c>
      <c r="J826">
        <v>1.3157759280440999</v>
      </c>
      <c r="R826">
        <v>25.498670872561</v>
      </c>
      <c r="S826">
        <v>2.5938768743315999</v>
      </c>
      <c r="U826">
        <v>0</v>
      </c>
      <c r="V826">
        <v>0.72265218299898004</v>
      </c>
      <c r="AC826">
        <v>0</v>
      </c>
    </row>
    <row r="827" spans="1:29" x14ac:dyDescent="0.3">
      <c r="A827" t="s">
        <v>54</v>
      </c>
      <c r="B827">
        <v>2062</v>
      </c>
      <c r="J827">
        <v>1.2964473538921</v>
      </c>
      <c r="R827">
        <v>25.413142151992002</v>
      </c>
      <c r="S827">
        <v>2.5840737243984</v>
      </c>
      <c r="U827">
        <v>0</v>
      </c>
      <c r="V827">
        <v>0.74251129004088001</v>
      </c>
      <c r="AC827">
        <v>0.25</v>
      </c>
    </row>
    <row r="828" spans="1:29" x14ac:dyDescent="0.3">
      <c r="A828" t="s">
        <v>54</v>
      </c>
      <c r="B828">
        <v>2063</v>
      </c>
      <c r="J828">
        <v>1.279767327384</v>
      </c>
      <c r="R828">
        <v>25.296777478548002</v>
      </c>
      <c r="S828">
        <v>2.5685618003666999</v>
      </c>
      <c r="U828">
        <v>0</v>
      </c>
      <c r="V828">
        <v>0.76237039708277998</v>
      </c>
      <c r="AC828">
        <v>0.5</v>
      </c>
    </row>
    <row r="829" spans="1:29" x14ac:dyDescent="0.3">
      <c r="A829" t="s">
        <v>54</v>
      </c>
      <c r="B829">
        <v>2064</v>
      </c>
      <c r="J829">
        <v>1.2574241595411</v>
      </c>
      <c r="R829">
        <v>25.249483062355001</v>
      </c>
      <c r="S829">
        <v>2.5664518648881001</v>
      </c>
      <c r="U829">
        <v>0</v>
      </c>
      <c r="V829">
        <v>0.78222950412467995</v>
      </c>
      <c r="AC829">
        <v>0</v>
      </c>
    </row>
    <row r="830" spans="1:29" x14ac:dyDescent="0.3">
      <c r="A830" t="s">
        <v>54</v>
      </c>
      <c r="B830">
        <v>2065</v>
      </c>
      <c r="J830">
        <v>1.2299324124688999</v>
      </c>
      <c r="R830">
        <v>25.154046442532</v>
      </c>
      <c r="S830">
        <v>2.5553053473431002</v>
      </c>
      <c r="U830">
        <v>0</v>
      </c>
      <c r="V830">
        <v>0.80208861116658003</v>
      </c>
      <c r="AC830">
        <v>0</v>
      </c>
    </row>
    <row r="831" spans="1:29" x14ac:dyDescent="0.3">
      <c r="A831" t="s">
        <v>54</v>
      </c>
      <c r="B831">
        <v>2066</v>
      </c>
      <c r="J831">
        <v>1.1998381558347</v>
      </c>
      <c r="R831">
        <v>25.149502070326001</v>
      </c>
      <c r="S831">
        <v>2.5612326906582998</v>
      </c>
      <c r="U831">
        <v>0</v>
      </c>
      <c r="V831">
        <v>0.82194771820849</v>
      </c>
      <c r="AC831">
        <v>0</v>
      </c>
    </row>
    <row r="832" spans="1:29" x14ac:dyDescent="0.3">
      <c r="A832" t="s">
        <v>54</v>
      </c>
      <c r="B832">
        <v>2067</v>
      </c>
      <c r="J832">
        <v>1.1662514510846</v>
      </c>
      <c r="R832">
        <v>25.165833301269</v>
      </c>
      <c r="S832">
        <v>2.5701279193565001</v>
      </c>
      <c r="U832">
        <v>0</v>
      </c>
      <c r="V832">
        <v>0.84180682525038997</v>
      </c>
      <c r="AC832">
        <v>10.633214000000001</v>
      </c>
    </row>
    <row r="833" spans="1:38" x14ac:dyDescent="0.3">
      <c r="A833" t="s">
        <v>54</v>
      </c>
      <c r="B833">
        <v>2068</v>
      </c>
      <c r="J833">
        <v>1.1324154325060001</v>
      </c>
      <c r="R833">
        <v>25.220028955292001</v>
      </c>
      <c r="S833">
        <v>2.5855818804928998</v>
      </c>
      <c r="U833">
        <v>0</v>
      </c>
      <c r="V833">
        <v>0.86166593229229005</v>
      </c>
      <c r="AC833">
        <v>0</v>
      </c>
    </row>
    <row r="834" spans="1:38" x14ac:dyDescent="0.3">
      <c r="A834" t="s">
        <v>54</v>
      </c>
      <c r="B834">
        <v>2069</v>
      </c>
      <c r="J834">
        <v>1.1026312785393</v>
      </c>
      <c r="R834">
        <v>25.213580147784</v>
      </c>
      <c r="S834">
        <v>2.5885526038883002</v>
      </c>
      <c r="U834">
        <v>0</v>
      </c>
      <c r="V834">
        <v>0.88152503933419002</v>
      </c>
      <c r="AC834">
        <v>0</v>
      </c>
    </row>
    <row r="835" spans="1:38" x14ac:dyDescent="0.3">
      <c r="A835" t="s">
        <v>54</v>
      </c>
      <c r="B835">
        <v>2070</v>
      </c>
      <c r="J835">
        <v>1.0702518334921001</v>
      </c>
      <c r="R835">
        <v>25.253767247431</v>
      </c>
      <c r="S835">
        <v>2.5991395919237998</v>
      </c>
      <c r="U835">
        <v>0</v>
      </c>
      <c r="V835">
        <v>0.90138414637608999</v>
      </c>
      <c r="AC835">
        <v>0</v>
      </c>
    </row>
    <row r="836" spans="1:38" x14ac:dyDescent="0.3">
      <c r="A836" t="s">
        <v>54</v>
      </c>
      <c r="B836">
        <v>2071</v>
      </c>
      <c r="V836">
        <v>0.92124325341798996</v>
      </c>
    </row>
    <row r="837" spans="1:38" hidden="1" x14ac:dyDescent="0.3">
      <c r="A837" t="s">
        <v>55</v>
      </c>
      <c r="B837">
        <v>0</v>
      </c>
      <c r="AD837">
        <v>8.4376834163930002E-4</v>
      </c>
      <c r="AE837">
        <v>9.4596402059787005E-2</v>
      </c>
      <c r="AF837">
        <v>9.3456132071721001E-2</v>
      </c>
      <c r="AG837">
        <v>1</v>
      </c>
      <c r="AH837">
        <v>0</v>
      </c>
      <c r="AI837">
        <v>3.0357968421053001</v>
      </c>
      <c r="AJ837">
        <v>4.3574473684211004</v>
      </c>
      <c r="AK837">
        <v>2.1578473684211001</v>
      </c>
      <c r="AL837">
        <v>0.39900000000000002</v>
      </c>
    </row>
    <row r="838" spans="1:38" hidden="1" x14ac:dyDescent="0.3">
      <c r="A838" t="s">
        <v>55</v>
      </c>
      <c r="B838">
        <v>2024</v>
      </c>
      <c r="C838">
        <v>29.97</v>
      </c>
      <c r="D838">
        <v>38.225299999999997</v>
      </c>
      <c r="E838">
        <v>78.409779999999998</v>
      </c>
      <c r="F838">
        <v>6.2566376706247002</v>
      </c>
      <c r="G838">
        <v>56.541402370311999</v>
      </c>
      <c r="H838">
        <v>2.7726267033354</v>
      </c>
      <c r="I838">
        <v>57.543452472242997</v>
      </c>
      <c r="J838">
        <v>2.6824771861175001</v>
      </c>
      <c r="K838">
        <v>3.3900184077684998</v>
      </c>
      <c r="L838">
        <v>2.9323319626384001</v>
      </c>
      <c r="M838">
        <v>-0.484761</v>
      </c>
      <c r="N838">
        <v>0.20749999999999999</v>
      </c>
      <c r="O838">
        <v>-1.2832583</v>
      </c>
      <c r="P838">
        <v>1.4079999999999999</v>
      </c>
      <c r="Q838">
        <v>38.724760699999997</v>
      </c>
      <c r="R838">
        <v>15.355461501096</v>
      </c>
      <c r="U838">
        <v>0</v>
      </c>
      <c r="V838">
        <v>0</v>
      </c>
      <c r="W838">
        <v>2.2719469000000001</v>
      </c>
      <c r="X838">
        <v>2.85</v>
      </c>
      <c r="Y838">
        <v>2.88</v>
      </c>
      <c r="Z838">
        <v>1</v>
      </c>
      <c r="AA838">
        <v>1.0823804690000001</v>
      </c>
    </row>
    <row r="839" spans="1:38" hidden="1" x14ac:dyDescent="0.3">
      <c r="A839" t="s">
        <v>55</v>
      </c>
      <c r="B839">
        <v>2025</v>
      </c>
      <c r="C839">
        <v>34.4</v>
      </c>
      <c r="D839">
        <v>41.216200000000001</v>
      </c>
      <c r="E839">
        <v>83.466160000000002</v>
      </c>
      <c r="F839">
        <v>6.4486598482995001</v>
      </c>
      <c r="G839">
        <v>58.104375139570998</v>
      </c>
      <c r="H839">
        <v>2.7642978485432002</v>
      </c>
      <c r="I839">
        <v>59.155111985585997</v>
      </c>
      <c r="J839">
        <v>2.8007695821183001</v>
      </c>
      <c r="K839">
        <v>3.5852567570313001</v>
      </c>
      <c r="L839">
        <v>2.4767093808285998</v>
      </c>
      <c r="M839">
        <v>-1.331396</v>
      </c>
      <c r="N839">
        <v>-0.62419999999999998</v>
      </c>
      <c r="O839">
        <v>-2.3065576999999999</v>
      </c>
      <c r="P839">
        <v>2.504</v>
      </c>
      <c r="Q839">
        <v>40.634366700000001</v>
      </c>
      <c r="R839">
        <v>15.699311034620999</v>
      </c>
      <c r="U839">
        <v>0</v>
      </c>
      <c r="V839">
        <v>3.6527514457703001E-3</v>
      </c>
      <c r="W839">
        <v>2.7156001999999999</v>
      </c>
      <c r="X839">
        <v>2.5459999999999998</v>
      </c>
      <c r="Y839">
        <v>2.88</v>
      </c>
      <c r="Z839">
        <v>1</v>
      </c>
      <c r="AA839">
        <v>1.113519535</v>
      </c>
      <c r="AC839">
        <v>2.7</v>
      </c>
    </row>
    <row r="840" spans="1:38" hidden="1" x14ac:dyDescent="0.3">
      <c r="A840" t="s">
        <v>55</v>
      </c>
      <c r="B840">
        <v>2026</v>
      </c>
      <c r="C840">
        <v>38.67</v>
      </c>
      <c r="D840">
        <v>43.9191</v>
      </c>
      <c r="E840">
        <v>88.052689999999998</v>
      </c>
      <c r="F840">
        <v>5.4950772864116004</v>
      </c>
      <c r="G840">
        <v>59.885143238714001</v>
      </c>
      <c r="H840">
        <v>3.0647745455763</v>
      </c>
      <c r="I840">
        <v>60.430940235942003</v>
      </c>
      <c r="J840">
        <v>2.1567506298809</v>
      </c>
      <c r="K840">
        <v>2.3580318728884002</v>
      </c>
      <c r="L840">
        <v>2.0119566334671002</v>
      </c>
      <c r="M840">
        <v>-1.175891</v>
      </c>
      <c r="N840">
        <v>-0.84850000000000003</v>
      </c>
      <c r="O840">
        <v>-2.349837</v>
      </c>
      <c r="P840">
        <v>2.2010000000000001</v>
      </c>
      <c r="Q840">
        <v>40.725198800000001</v>
      </c>
      <c r="R840">
        <v>15.968813052639</v>
      </c>
      <c r="U840">
        <v>0</v>
      </c>
      <c r="V840">
        <v>7.3055028915404996E-3</v>
      </c>
      <c r="W840">
        <v>3.0047796999999998</v>
      </c>
      <c r="Z840">
        <v>1</v>
      </c>
      <c r="AA840">
        <v>1.1346799999999999</v>
      </c>
      <c r="AC840">
        <v>3.3410000000000002</v>
      </c>
    </row>
    <row r="841" spans="1:38" hidden="1" x14ac:dyDescent="0.3">
      <c r="A841" t="s">
        <v>55</v>
      </c>
      <c r="B841">
        <v>2027</v>
      </c>
      <c r="G841">
        <v>61.194986676070997</v>
      </c>
      <c r="H841">
        <v>2.1872594211475</v>
      </c>
      <c r="I841">
        <v>61.565683819284999</v>
      </c>
      <c r="J841">
        <v>1.8777526527185</v>
      </c>
      <c r="R841">
        <v>16.088947489454</v>
      </c>
      <c r="U841">
        <v>0</v>
      </c>
      <c r="V841">
        <v>1.0958254337310999E-2</v>
      </c>
      <c r="AC841">
        <v>2.9849999999999999</v>
      </c>
    </row>
    <row r="842" spans="1:38" hidden="1" x14ac:dyDescent="0.3">
      <c r="A842" t="s">
        <v>55</v>
      </c>
      <c r="B842">
        <v>2028</v>
      </c>
      <c r="G842">
        <v>62.382153943417002</v>
      </c>
      <c r="H842">
        <v>1.9399747133373</v>
      </c>
      <c r="I842">
        <v>62.570527680388999</v>
      </c>
      <c r="J842">
        <v>1.6321492733727001</v>
      </c>
      <c r="R842">
        <v>16.263391056460001</v>
      </c>
      <c r="U842">
        <v>0</v>
      </c>
      <c r="V842">
        <v>1.4611005783080999E-2</v>
      </c>
      <c r="AC842">
        <v>2.153</v>
      </c>
    </row>
    <row r="843" spans="1:38" hidden="1" x14ac:dyDescent="0.3">
      <c r="A843" t="s">
        <v>55</v>
      </c>
      <c r="B843">
        <v>2029</v>
      </c>
      <c r="G843">
        <v>63.587789888574001</v>
      </c>
      <c r="H843">
        <v>1.9326616170555</v>
      </c>
      <c r="I843">
        <v>63.587789888574001</v>
      </c>
      <c r="J843">
        <v>1.6257849276598999</v>
      </c>
      <c r="R843">
        <v>16.436701101556999</v>
      </c>
      <c r="U843">
        <v>0</v>
      </c>
      <c r="V843">
        <v>1.8263757228850999E-2</v>
      </c>
      <c r="AC843">
        <v>2.1</v>
      </c>
    </row>
    <row r="844" spans="1:38" hidden="1" x14ac:dyDescent="0.3">
      <c r="A844" t="s">
        <v>55</v>
      </c>
      <c r="B844">
        <v>2030</v>
      </c>
      <c r="J844">
        <v>1.5983018378773</v>
      </c>
      <c r="R844">
        <v>16.614419367039002</v>
      </c>
      <c r="U844">
        <v>0</v>
      </c>
      <c r="V844">
        <v>2.1916508674621998E-2</v>
      </c>
      <c r="AC844">
        <v>2.5499999999999998</v>
      </c>
    </row>
    <row r="845" spans="1:38" hidden="1" x14ac:dyDescent="0.3">
      <c r="A845" t="s">
        <v>55</v>
      </c>
      <c r="B845">
        <v>2031</v>
      </c>
      <c r="J845">
        <v>1.5708187480947999</v>
      </c>
      <c r="R845">
        <v>16.799592585068002</v>
      </c>
      <c r="U845">
        <v>0</v>
      </c>
      <c r="V845">
        <v>2.5569260120391998E-2</v>
      </c>
      <c r="AC845">
        <v>1.355</v>
      </c>
    </row>
    <row r="846" spans="1:38" hidden="1" x14ac:dyDescent="0.3">
      <c r="A846" t="s">
        <v>55</v>
      </c>
      <c r="B846">
        <v>2032</v>
      </c>
      <c r="J846">
        <v>1.5433356583122999</v>
      </c>
      <c r="R846">
        <v>16.989453786514002</v>
      </c>
      <c r="U846">
        <v>0</v>
      </c>
      <c r="V846">
        <v>2.9222011566161998E-2</v>
      </c>
      <c r="AC846">
        <v>1.329</v>
      </c>
    </row>
    <row r="847" spans="1:38" hidden="1" x14ac:dyDescent="0.3">
      <c r="A847" t="s">
        <v>55</v>
      </c>
      <c r="B847">
        <v>2033</v>
      </c>
      <c r="J847">
        <v>1.5158525685298001</v>
      </c>
      <c r="R847">
        <v>17.176103633412001</v>
      </c>
      <c r="U847">
        <v>0</v>
      </c>
      <c r="V847">
        <v>3.2874763011931998E-2</v>
      </c>
      <c r="AC847">
        <v>1.25</v>
      </c>
    </row>
    <row r="848" spans="1:38" hidden="1" x14ac:dyDescent="0.3">
      <c r="A848" t="s">
        <v>55</v>
      </c>
      <c r="B848">
        <v>2034</v>
      </c>
      <c r="J848">
        <v>1.4883694787471999</v>
      </c>
      <c r="R848">
        <v>17.335723381649</v>
      </c>
      <c r="U848">
        <v>0</v>
      </c>
      <c r="V848">
        <v>3.6527514457702998E-2</v>
      </c>
      <c r="AC848">
        <v>1.9550000000000001</v>
      </c>
    </row>
    <row r="849" spans="1:29" hidden="1" x14ac:dyDescent="0.3">
      <c r="A849" t="s">
        <v>55</v>
      </c>
      <c r="B849">
        <v>2035</v>
      </c>
      <c r="J849">
        <v>1.4608863889646999</v>
      </c>
      <c r="R849">
        <v>17.498610461038002</v>
      </c>
      <c r="U849">
        <v>0</v>
      </c>
      <c r="V849">
        <v>4.0180265903472998E-2</v>
      </c>
      <c r="AC849">
        <v>1.2</v>
      </c>
    </row>
    <row r="850" spans="1:29" hidden="1" x14ac:dyDescent="0.3">
      <c r="A850" t="s">
        <v>55</v>
      </c>
      <c r="B850">
        <v>2036</v>
      </c>
      <c r="J850">
        <v>1.4334032991822001</v>
      </c>
      <c r="R850">
        <v>17.639976372881002</v>
      </c>
      <c r="U850">
        <v>0</v>
      </c>
      <c r="V850">
        <v>4.3833017349242998E-2</v>
      </c>
      <c r="AC850">
        <v>0</v>
      </c>
    </row>
    <row r="851" spans="1:29" hidden="1" x14ac:dyDescent="0.3">
      <c r="A851" t="s">
        <v>55</v>
      </c>
      <c r="B851">
        <v>2037</v>
      </c>
      <c r="J851">
        <v>1.4508502281136999</v>
      </c>
      <c r="R851">
        <v>17.741550250526998</v>
      </c>
      <c r="U851">
        <v>0</v>
      </c>
      <c r="V851">
        <v>4.7485768795012998E-2</v>
      </c>
      <c r="AC851">
        <v>0</v>
      </c>
    </row>
    <row r="852" spans="1:29" hidden="1" x14ac:dyDescent="0.3">
      <c r="A852" t="s">
        <v>55</v>
      </c>
      <c r="B852">
        <v>2038</v>
      </c>
      <c r="J852">
        <v>1.3712044905856</v>
      </c>
      <c r="R852">
        <v>17.838605643213</v>
      </c>
      <c r="U852">
        <v>0</v>
      </c>
      <c r="V852">
        <v>5.1138520240783997E-2</v>
      </c>
      <c r="AC852">
        <v>0</v>
      </c>
    </row>
    <row r="853" spans="1:29" hidden="1" x14ac:dyDescent="0.3">
      <c r="A853" t="s">
        <v>55</v>
      </c>
      <c r="B853">
        <v>2039</v>
      </c>
      <c r="J853">
        <v>1.2780196974669</v>
      </c>
      <c r="R853">
        <v>17.935041086039998</v>
      </c>
      <c r="U853">
        <v>0</v>
      </c>
      <c r="V853">
        <v>5.4791271686553997E-2</v>
      </c>
      <c r="AC853">
        <v>0</v>
      </c>
    </row>
    <row r="854" spans="1:29" hidden="1" x14ac:dyDescent="0.3">
      <c r="A854" t="s">
        <v>55</v>
      </c>
      <c r="B854">
        <v>2040</v>
      </c>
      <c r="J854">
        <v>1.1673696634640001</v>
      </c>
      <c r="R854">
        <v>18.015547282747001</v>
      </c>
      <c r="U854">
        <v>0</v>
      </c>
      <c r="V854">
        <v>5.8444023132323997E-2</v>
      </c>
      <c r="AC854">
        <v>1</v>
      </c>
    </row>
    <row r="855" spans="1:29" hidden="1" x14ac:dyDescent="0.3">
      <c r="A855" t="s">
        <v>55</v>
      </c>
      <c r="B855">
        <v>2041</v>
      </c>
      <c r="J855">
        <v>1.0959768038669</v>
      </c>
      <c r="R855">
        <v>18.110666895518001</v>
      </c>
      <c r="U855">
        <v>0</v>
      </c>
      <c r="V855">
        <v>6.2096774578093997E-2</v>
      </c>
      <c r="AC855">
        <v>0</v>
      </c>
    </row>
    <row r="856" spans="1:29" hidden="1" x14ac:dyDescent="0.3">
      <c r="A856" t="s">
        <v>55</v>
      </c>
      <c r="B856">
        <v>2042</v>
      </c>
      <c r="J856">
        <v>1.0344190021255999</v>
      </c>
      <c r="R856">
        <v>18.210677553370001</v>
      </c>
      <c r="U856">
        <v>0</v>
      </c>
      <c r="V856">
        <v>6.5749526023864996E-2</v>
      </c>
      <c r="AC856">
        <v>0</v>
      </c>
    </row>
    <row r="857" spans="1:29" hidden="1" x14ac:dyDescent="0.3">
      <c r="A857" t="s">
        <v>55</v>
      </c>
      <c r="B857">
        <v>2043</v>
      </c>
      <c r="J857">
        <v>1.0018537685740001</v>
      </c>
      <c r="R857">
        <v>18.298823385734998</v>
      </c>
      <c r="U857">
        <v>0</v>
      </c>
      <c r="V857">
        <v>6.9402277469634996E-2</v>
      </c>
      <c r="AC857">
        <v>0</v>
      </c>
    </row>
    <row r="858" spans="1:29" hidden="1" x14ac:dyDescent="0.3">
      <c r="A858" t="s">
        <v>55</v>
      </c>
      <c r="B858">
        <v>2044</v>
      </c>
      <c r="J858">
        <v>0.97645748966708001</v>
      </c>
      <c r="R858">
        <v>18.381032544901</v>
      </c>
      <c r="U858">
        <v>0</v>
      </c>
      <c r="V858">
        <v>7.3055028915404996E-2</v>
      </c>
      <c r="AC858">
        <v>0</v>
      </c>
    </row>
    <row r="859" spans="1:29" hidden="1" x14ac:dyDescent="0.3">
      <c r="A859" t="s">
        <v>55</v>
      </c>
      <c r="B859">
        <v>2045</v>
      </c>
      <c r="J859">
        <v>0.95199509131069004</v>
      </c>
      <c r="R859">
        <v>18.459198653036001</v>
      </c>
      <c r="U859">
        <v>0</v>
      </c>
      <c r="V859">
        <v>7.6707780361175995E-2</v>
      </c>
      <c r="AC859">
        <v>0</v>
      </c>
    </row>
    <row r="860" spans="1:29" hidden="1" x14ac:dyDescent="0.3">
      <c r="A860" t="s">
        <v>55</v>
      </c>
      <c r="B860">
        <v>2046</v>
      </c>
      <c r="J860">
        <v>0.92220484268751002</v>
      </c>
      <c r="R860">
        <v>18.540256077687999</v>
      </c>
      <c r="U860">
        <v>0</v>
      </c>
      <c r="V860">
        <v>8.0360531806945995E-2</v>
      </c>
      <c r="AC860">
        <v>0</v>
      </c>
    </row>
    <row r="861" spans="1:29" hidden="1" x14ac:dyDescent="0.3">
      <c r="A861" t="s">
        <v>55</v>
      </c>
      <c r="B861">
        <v>2047</v>
      </c>
      <c r="J861">
        <v>0.88187882396462003</v>
      </c>
      <c r="R861">
        <v>18.62009125438</v>
      </c>
      <c r="U861">
        <v>0</v>
      </c>
      <c r="V861">
        <v>8.4013283252715995E-2</v>
      </c>
      <c r="AC861">
        <v>0.75</v>
      </c>
    </row>
    <row r="862" spans="1:29" hidden="1" x14ac:dyDescent="0.3">
      <c r="A862" t="s">
        <v>55</v>
      </c>
      <c r="B862">
        <v>2048</v>
      </c>
      <c r="J862">
        <v>0.83176537619023005</v>
      </c>
      <c r="R862">
        <v>18.700273189093998</v>
      </c>
      <c r="U862">
        <v>0</v>
      </c>
      <c r="V862">
        <v>8.7666034698485995E-2</v>
      </c>
      <c r="AC862">
        <v>0</v>
      </c>
    </row>
    <row r="863" spans="1:29" hidden="1" x14ac:dyDescent="0.3">
      <c r="A863" t="s">
        <v>55</v>
      </c>
      <c r="B863">
        <v>2049</v>
      </c>
      <c r="J863">
        <v>0.73422539826863997</v>
      </c>
      <c r="R863">
        <v>18.784352306698</v>
      </c>
      <c r="U863">
        <v>0</v>
      </c>
      <c r="V863">
        <v>9.1318786144256994E-2</v>
      </c>
      <c r="AC863">
        <v>0.85</v>
      </c>
    </row>
    <row r="864" spans="1:29" hidden="1" x14ac:dyDescent="0.3">
      <c r="A864" t="s">
        <v>55</v>
      </c>
      <c r="B864">
        <v>2050</v>
      </c>
      <c r="J864">
        <v>0.64136248675411001</v>
      </c>
      <c r="R864">
        <v>18.874520200858001</v>
      </c>
      <c r="U864">
        <v>0</v>
      </c>
      <c r="V864">
        <v>9.4971537590026994E-2</v>
      </c>
      <c r="AC864">
        <v>1.75</v>
      </c>
    </row>
    <row r="865" spans="1:29" hidden="1" x14ac:dyDescent="0.3">
      <c r="A865" t="s">
        <v>55</v>
      </c>
      <c r="B865">
        <v>2051</v>
      </c>
      <c r="J865">
        <v>0.55338667962358001</v>
      </c>
      <c r="R865">
        <v>18.972294411450999</v>
      </c>
      <c r="U865">
        <v>0</v>
      </c>
      <c r="V865">
        <v>9.8624289035796994E-2</v>
      </c>
      <c r="AC865">
        <v>0.75</v>
      </c>
    </row>
    <row r="866" spans="1:29" hidden="1" x14ac:dyDescent="0.3">
      <c r="A866" t="s">
        <v>55</v>
      </c>
      <c r="B866">
        <v>2052</v>
      </c>
      <c r="J866">
        <v>0.46893483475408998</v>
      </c>
      <c r="R866">
        <v>19.075034709739001</v>
      </c>
      <c r="U866">
        <v>0</v>
      </c>
      <c r="V866">
        <v>0.10227704048157001</v>
      </c>
      <c r="AC866">
        <v>0</v>
      </c>
    </row>
    <row r="867" spans="1:29" hidden="1" x14ac:dyDescent="0.3">
      <c r="A867" t="s">
        <v>55</v>
      </c>
      <c r="B867">
        <v>2053</v>
      </c>
      <c r="J867">
        <v>0.39678030624649002</v>
      </c>
      <c r="R867">
        <v>19.174523393943002</v>
      </c>
      <c r="U867">
        <v>0</v>
      </c>
      <c r="V867">
        <v>0.10592979192734001</v>
      </c>
      <c r="AC867">
        <v>0</v>
      </c>
    </row>
    <row r="868" spans="1:29" hidden="1" x14ac:dyDescent="0.3">
      <c r="A868" t="s">
        <v>55</v>
      </c>
      <c r="B868">
        <v>2054</v>
      </c>
      <c r="J868">
        <v>0.33689831995731001</v>
      </c>
      <c r="R868">
        <v>19.277513231055</v>
      </c>
      <c r="U868">
        <v>0</v>
      </c>
      <c r="V868">
        <v>0.10958254337311001</v>
      </c>
      <c r="AC868">
        <v>0</v>
      </c>
    </row>
    <row r="869" spans="1:29" hidden="1" x14ac:dyDescent="0.3">
      <c r="A869" t="s">
        <v>55</v>
      </c>
      <c r="B869">
        <v>2055</v>
      </c>
      <c r="J869">
        <v>0.29097068707141999</v>
      </c>
      <c r="R869">
        <v>19.380306902303001</v>
      </c>
      <c r="U869">
        <v>0</v>
      </c>
      <c r="V869">
        <v>0.11323529481888001</v>
      </c>
      <c r="AC869">
        <v>0</v>
      </c>
    </row>
    <row r="870" spans="1:29" hidden="1" x14ac:dyDescent="0.3">
      <c r="A870" t="s">
        <v>55</v>
      </c>
      <c r="B870">
        <v>2056</v>
      </c>
      <c r="J870">
        <v>0.26216463822147001</v>
      </c>
      <c r="R870">
        <v>19.47982939804</v>
      </c>
      <c r="U870">
        <v>0</v>
      </c>
      <c r="V870">
        <v>0.11688804626465001</v>
      </c>
      <c r="AC870">
        <v>0</v>
      </c>
    </row>
    <row r="871" spans="1:29" hidden="1" x14ac:dyDescent="0.3">
      <c r="A871" t="s">
        <v>55</v>
      </c>
      <c r="B871">
        <v>2057</v>
      </c>
      <c r="J871">
        <v>0.25930440790585002</v>
      </c>
      <c r="R871">
        <v>19.568863211038</v>
      </c>
      <c r="U871">
        <v>0</v>
      </c>
      <c r="V871">
        <v>0.12054079771042001</v>
      </c>
      <c r="AC871">
        <v>0</v>
      </c>
    </row>
    <row r="872" spans="1:29" hidden="1" x14ac:dyDescent="0.3">
      <c r="A872" t="s">
        <v>55</v>
      </c>
      <c r="B872">
        <v>2058</v>
      </c>
      <c r="J872">
        <v>0.27079405121146</v>
      </c>
      <c r="R872">
        <v>19.639657706649999</v>
      </c>
      <c r="U872">
        <v>0</v>
      </c>
      <c r="V872">
        <v>0.12419354915619001</v>
      </c>
      <c r="AC872">
        <v>0</v>
      </c>
    </row>
    <row r="873" spans="1:29" hidden="1" x14ac:dyDescent="0.3">
      <c r="A873" t="s">
        <v>55</v>
      </c>
      <c r="B873">
        <v>2059</v>
      </c>
      <c r="J873">
        <v>0.30110945153815999</v>
      </c>
      <c r="R873">
        <v>19.690107736197</v>
      </c>
      <c r="U873">
        <v>0</v>
      </c>
      <c r="V873">
        <v>0.12784630060196001</v>
      </c>
      <c r="AC873">
        <v>0</v>
      </c>
    </row>
    <row r="874" spans="1:29" hidden="1" x14ac:dyDescent="0.3">
      <c r="A874" t="s">
        <v>55</v>
      </c>
      <c r="B874">
        <v>2060</v>
      </c>
      <c r="J874">
        <v>0.34241718069527</v>
      </c>
      <c r="R874">
        <v>19.728976946852001</v>
      </c>
      <c r="U874">
        <v>0</v>
      </c>
      <c r="V874">
        <v>0.13149905204772999</v>
      </c>
      <c r="AC874">
        <v>0</v>
      </c>
    </row>
    <row r="875" spans="1:29" hidden="1" x14ac:dyDescent="0.3">
      <c r="A875" t="s">
        <v>55</v>
      </c>
      <c r="B875">
        <v>2061</v>
      </c>
      <c r="J875">
        <v>0.38283485126518002</v>
      </c>
      <c r="R875">
        <v>19.760452143127999</v>
      </c>
      <c r="U875">
        <v>0</v>
      </c>
      <c r="V875">
        <v>0.13515180349350001</v>
      </c>
      <c r="AC875">
        <v>0</v>
      </c>
    </row>
    <row r="876" spans="1:29" hidden="1" x14ac:dyDescent="0.3">
      <c r="A876" t="s">
        <v>55</v>
      </c>
      <c r="B876">
        <v>2062</v>
      </c>
      <c r="J876">
        <v>0.41982801109485002</v>
      </c>
      <c r="R876">
        <v>19.771759648846999</v>
      </c>
      <c r="U876">
        <v>0</v>
      </c>
      <c r="V876">
        <v>0.13880455493926999</v>
      </c>
      <c r="AC876">
        <v>0</v>
      </c>
    </row>
    <row r="877" spans="1:29" hidden="1" x14ac:dyDescent="0.3">
      <c r="A877" t="s">
        <v>55</v>
      </c>
      <c r="B877">
        <v>2063</v>
      </c>
      <c r="J877">
        <v>0.45971521673401</v>
      </c>
      <c r="R877">
        <v>19.773512143556999</v>
      </c>
      <c r="U877">
        <v>0</v>
      </c>
      <c r="V877">
        <v>0.14245730638504001</v>
      </c>
      <c r="AC877">
        <v>0</v>
      </c>
    </row>
    <row r="878" spans="1:29" hidden="1" x14ac:dyDescent="0.3">
      <c r="A878" t="s">
        <v>55</v>
      </c>
      <c r="B878">
        <v>2064</v>
      </c>
      <c r="J878">
        <v>0.50483478048115005</v>
      </c>
      <c r="R878">
        <v>19.758960884135998</v>
      </c>
      <c r="U878">
        <v>0</v>
      </c>
      <c r="V878">
        <v>0.14611005783080999</v>
      </c>
      <c r="AC878">
        <v>0</v>
      </c>
    </row>
    <row r="879" spans="1:29" hidden="1" x14ac:dyDescent="0.3">
      <c r="A879" t="s">
        <v>55</v>
      </c>
      <c r="B879">
        <v>2065</v>
      </c>
      <c r="J879">
        <v>0.5531388937817</v>
      </c>
      <c r="R879">
        <v>19.729067193759999</v>
      </c>
      <c r="U879">
        <v>0</v>
      </c>
      <c r="V879">
        <v>0.14976280927658001</v>
      </c>
      <c r="AC879">
        <v>0</v>
      </c>
    </row>
    <row r="880" spans="1:29" hidden="1" x14ac:dyDescent="0.3">
      <c r="A880" t="s">
        <v>55</v>
      </c>
      <c r="B880">
        <v>2066</v>
      </c>
      <c r="J880">
        <v>0.60172566865990995</v>
      </c>
      <c r="R880">
        <v>19.680973908542001</v>
      </c>
      <c r="U880">
        <v>0</v>
      </c>
      <c r="V880">
        <v>0.15341556072234999</v>
      </c>
      <c r="AC880">
        <v>0</v>
      </c>
    </row>
    <row r="881" spans="1:38" hidden="1" x14ac:dyDescent="0.3">
      <c r="A881" t="s">
        <v>55</v>
      </c>
      <c r="B881">
        <v>2067</v>
      </c>
      <c r="J881">
        <v>0.64283206168546003</v>
      </c>
      <c r="R881">
        <v>19.618102785615001</v>
      </c>
      <c r="U881">
        <v>0</v>
      </c>
      <c r="V881">
        <v>0.15706831216812001</v>
      </c>
      <c r="AC881">
        <v>0</v>
      </c>
    </row>
    <row r="882" spans="1:38" hidden="1" x14ac:dyDescent="0.3">
      <c r="A882" t="s">
        <v>55</v>
      </c>
      <c r="B882">
        <v>2068</v>
      </c>
      <c r="J882">
        <v>0.66900123255057997</v>
      </c>
      <c r="R882">
        <v>19.548552103582001</v>
      </c>
      <c r="U882">
        <v>0</v>
      </c>
      <c r="V882">
        <v>0.16072106361388999</v>
      </c>
      <c r="AC882">
        <v>0</v>
      </c>
    </row>
    <row r="883" spans="1:38" hidden="1" x14ac:dyDescent="0.3">
      <c r="A883" t="s">
        <v>55</v>
      </c>
      <c r="B883">
        <v>2069</v>
      </c>
      <c r="J883">
        <v>0.6741886074897</v>
      </c>
      <c r="R883">
        <v>19.474438203232999</v>
      </c>
      <c r="U883">
        <v>0</v>
      </c>
      <c r="V883">
        <v>0.16437381505966001</v>
      </c>
      <c r="AC883">
        <v>0</v>
      </c>
    </row>
    <row r="884" spans="1:38" hidden="1" x14ac:dyDescent="0.3">
      <c r="A884" t="s">
        <v>55</v>
      </c>
      <c r="B884">
        <v>2070</v>
      </c>
      <c r="J884">
        <v>0.66051745077976998</v>
      </c>
      <c r="R884">
        <v>19.403852632056001</v>
      </c>
      <c r="U884">
        <v>0</v>
      </c>
      <c r="V884">
        <v>0.16802656650542999</v>
      </c>
      <c r="AC884">
        <v>0</v>
      </c>
    </row>
    <row r="885" spans="1:38" hidden="1" x14ac:dyDescent="0.3">
      <c r="A885" t="s">
        <v>55</v>
      </c>
      <c r="B885">
        <v>2071</v>
      </c>
      <c r="V885">
        <v>0.17167931795120001</v>
      </c>
    </row>
    <row r="886" spans="1:38" hidden="1" x14ac:dyDescent="0.3">
      <c r="A886" t="s">
        <v>56</v>
      </c>
      <c r="B886">
        <v>0</v>
      </c>
      <c r="AD886">
        <v>7.0382042808505005E-2</v>
      </c>
      <c r="AE886">
        <v>7.4636638708700007E-2</v>
      </c>
      <c r="AF886">
        <v>7.4636638708700007E-2</v>
      </c>
      <c r="AG886">
        <v>0</v>
      </c>
      <c r="AH886">
        <v>0.93028205668205999</v>
      </c>
      <c r="AI886">
        <v>3.0357968421053001</v>
      </c>
      <c r="AJ886">
        <v>3.6765157894736999</v>
      </c>
      <c r="AK886">
        <v>2.1578473684211001</v>
      </c>
      <c r="AL886">
        <v>0.46200000000000002</v>
      </c>
    </row>
    <row r="887" spans="1:38" hidden="1" x14ac:dyDescent="0.3">
      <c r="A887" t="s">
        <v>56</v>
      </c>
      <c r="B887">
        <v>2024</v>
      </c>
      <c r="C887">
        <v>22.65</v>
      </c>
      <c r="D887">
        <v>26.309699999999999</v>
      </c>
      <c r="E887">
        <v>86.104039999999998</v>
      </c>
      <c r="F887">
        <v>6.3118888896570997</v>
      </c>
      <c r="G887">
        <v>68.439289273829004</v>
      </c>
      <c r="H887">
        <v>1.0316269123635999</v>
      </c>
      <c r="I887">
        <v>70.974574051019005</v>
      </c>
      <c r="J887">
        <v>1.1249221733103001</v>
      </c>
      <c r="K887">
        <v>5.2263456189437996</v>
      </c>
      <c r="L887">
        <v>2.9323319626384001</v>
      </c>
      <c r="M887">
        <v>1.3383809</v>
      </c>
      <c r="N887">
        <v>2.9887000000000001</v>
      </c>
      <c r="O887">
        <v>1.0314266999999999</v>
      </c>
      <c r="P887">
        <v>3.274</v>
      </c>
      <c r="Q887">
        <v>46.600950400000002</v>
      </c>
      <c r="R887">
        <v>17.431867850359001</v>
      </c>
      <c r="S887">
        <v>1.5998669673054999</v>
      </c>
      <c r="T887">
        <v>6.1789177001126003E-2</v>
      </c>
      <c r="U887">
        <v>0</v>
      </c>
      <c r="V887">
        <v>0</v>
      </c>
      <c r="W887">
        <v>1.3040388999999999</v>
      </c>
      <c r="Y887">
        <v>2.7639166666667001</v>
      </c>
      <c r="Z887">
        <v>1</v>
      </c>
      <c r="AA887">
        <v>1.0823804690000001</v>
      </c>
    </row>
    <row r="888" spans="1:38" hidden="1" x14ac:dyDescent="0.3">
      <c r="A888" t="s">
        <v>56</v>
      </c>
      <c r="B888">
        <v>2025</v>
      </c>
      <c r="C888">
        <v>23.02</v>
      </c>
      <c r="D888">
        <v>25.6509</v>
      </c>
      <c r="E888">
        <v>89.759780000000006</v>
      </c>
      <c r="F888">
        <v>4.2457241263011998</v>
      </c>
      <c r="G888">
        <v>69.615017386228999</v>
      </c>
      <c r="H888">
        <v>1.7179139714556</v>
      </c>
      <c r="I888">
        <v>71.808629964164993</v>
      </c>
      <c r="J888">
        <v>1.1751474725958</v>
      </c>
      <c r="K888">
        <v>2.4851123889425999</v>
      </c>
      <c r="L888">
        <v>2.4767093808285998</v>
      </c>
      <c r="M888">
        <v>-0.1032711</v>
      </c>
      <c r="N888">
        <v>1.3080000000000001</v>
      </c>
      <c r="O888">
        <v>-0.41274080000000002</v>
      </c>
      <c r="P888">
        <v>0</v>
      </c>
      <c r="Q888">
        <v>47.644136799999998</v>
      </c>
      <c r="R888">
        <v>17.343260141544999</v>
      </c>
      <c r="S888">
        <v>1.5920149253731</v>
      </c>
      <c r="T888">
        <v>-1.792643923241E-2</v>
      </c>
      <c r="U888">
        <v>0</v>
      </c>
      <c r="V888">
        <v>-1.2048810720444E-2</v>
      </c>
      <c r="W888">
        <v>1.2261993</v>
      </c>
      <c r="X888">
        <v>2.024</v>
      </c>
      <c r="Y888">
        <v>2.8908</v>
      </c>
      <c r="Z888">
        <v>1</v>
      </c>
      <c r="AA888">
        <v>1.113519535</v>
      </c>
      <c r="AC888">
        <v>1.5639778870000001</v>
      </c>
    </row>
    <row r="889" spans="1:38" hidden="1" x14ac:dyDescent="0.3">
      <c r="A889" t="s">
        <v>56</v>
      </c>
      <c r="B889">
        <v>2026</v>
      </c>
      <c r="C889">
        <v>24.64</v>
      </c>
      <c r="D889">
        <v>26.193100000000001</v>
      </c>
      <c r="E889">
        <v>94.084220000000002</v>
      </c>
      <c r="F889">
        <v>4.8177925569782003</v>
      </c>
      <c r="G889">
        <v>70.978436706186002</v>
      </c>
      <c r="H889">
        <v>1.9585132219276</v>
      </c>
      <c r="I889">
        <v>72.766371806562006</v>
      </c>
      <c r="J889">
        <v>1.333741979027</v>
      </c>
      <c r="K889">
        <v>2.8043640072995002</v>
      </c>
      <c r="L889">
        <v>2.0119566334671002</v>
      </c>
      <c r="M889">
        <v>-0.1988422</v>
      </c>
      <c r="N889">
        <v>0.93630000000000002</v>
      </c>
      <c r="O889">
        <v>-0.52125010000000005</v>
      </c>
      <c r="P889">
        <v>1.129</v>
      </c>
      <c r="Q889">
        <v>47.837583799999997</v>
      </c>
      <c r="R889">
        <v>17.270069144916</v>
      </c>
      <c r="S889">
        <v>1.5858111111111</v>
      </c>
      <c r="T889">
        <v>-9.7889898989898E-2</v>
      </c>
      <c r="U889">
        <v>0</v>
      </c>
      <c r="V889">
        <v>-2.2449366748333002E-2</v>
      </c>
      <c r="W889">
        <v>1.317464</v>
      </c>
      <c r="Z889">
        <v>1</v>
      </c>
      <c r="AA889">
        <v>1.1346799999999999</v>
      </c>
      <c r="AC889">
        <v>1.797463912</v>
      </c>
    </row>
    <row r="890" spans="1:38" hidden="1" x14ac:dyDescent="0.3">
      <c r="A890" t="s">
        <v>56</v>
      </c>
      <c r="B890">
        <v>2027</v>
      </c>
      <c r="G890">
        <v>72.657358971657999</v>
      </c>
      <c r="H890">
        <v>2.3653976381897999</v>
      </c>
      <c r="I890">
        <v>73.867350393625998</v>
      </c>
      <c r="J890">
        <v>1.5130321324680001</v>
      </c>
      <c r="R890">
        <v>17.272457479711999</v>
      </c>
      <c r="S890">
        <v>1.5888740384615001</v>
      </c>
      <c r="T890">
        <v>-0.19654423076923</v>
      </c>
      <c r="U890">
        <v>0</v>
      </c>
      <c r="V890">
        <v>-2.3582957684994001E-2</v>
      </c>
      <c r="AC890">
        <v>2.0793225450000001</v>
      </c>
    </row>
    <row r="891" spans="1:38" hidden="1" x14ac:dyDescent="0.3">
      <c r="A891" t="s">
        <v>56</v>
      </c>
      <c r="B891">
        <v>2028</v>
      </c>
      <c r="G891">
        <v>74.463374113689</v>
      </c>
      <c r="H891">
        <v>2.4856603207058998</v>
      </c>
      <c r="I891">
        <v>75.078287764216995</v>
      </c>
      <c r="J891">
        <v>1.6393404719925</v>
      </c>
      <c r="R891">
        <v>17.381641446216001</v>
      </c>
      <c r="S891">
        <v>1.6083674976916</v>
      </c>
      <c r="T891">
        <v>-0.30013481071099002</v>
      </c>
      <c r="U891">
        <v>0</v>
      </c>
      <c r="V891">
        <v>-8.2864612340927003E-3</v>
      </c>
      <c r="AC891">
        <v>1.0193156750000001</v>
      </c>
    </row>
    <row r="892" spans="1:38" hidden="1" x14ac:dyDescent="0.3">
      <c r="A892" t="s">
        <v>56</v>
      </c>
      <c r="B892">
        <v>2029</v>
      </c>
      <c r="G892">
        <v>76.355279305170001</v>
      </c>
      <c r="H892">
        <v>2.5407191307121999</v>
      </c>
      <c r="I892">
        <v>76.355279305170001</v>
      </c>
      <c r="J892">
        <v>1.7008799467597999</v>
      </c>
      <c r="R892">
        <v>17.552601782017</v>
      </c>
      <c r="S892">
        <v>1.6347953736655001</v>
      </c>
      <c r="T892">
        <v>-0.42669928825622999</v>
      </c>
      <c r="U892">
        <v>0</v>
      </c>
      <c r="V892">
        <v>1.394484937191E-2</v>
      </c>
      <c r="AC892">
        <v>1.323357814</v>
      </c>
    </row>
    <row r="893" spans="1:38" hidden="1" x14ac:dyDescent="0.3">
      <c r="A893" t="s">
        <v>56</v>
      </c>
      <c r="B893">
        <v>2030</v>
      </c>
      <c r="J893">
        <v>1.7135456886621001</v>
      </c>
      <c r="R893">
        <v>17.769829643681</v>
      </c>
      <c r="S893">
        <v>1.6671399141631</v>
      </c>
      <c r="T893">
        <v>-0.58781115879828005</v>
      </c>
      <c r="U893">
        <v>0</v>
      </c>
      <c r="V893">
        <v>4.2093344032763998E-2</v>
      </c>
      <c r="AC893">
        <v>1</v>
      </c>
    </row>
    <row r="894" spans="1:38" hidden="1" x14ac:dyDescent="0.3">
      <c r="A894" t="s">
        <v>56</v>
      </c>
      <c r="B894">
        <v>2031</v>
      </c>
      <c r="J894">
        <v>1.7262114305642999</v>
      </c>
      <c r="R894">
        <v>17.988565756109999</v>
      </c>
      <c r="S894">
        <v>1.6984233637117001</v>
      </c>
      <c r="T894">
        <v>-0.74855840927921002</v>
      </c>
      <c r="U894">
        <v>0</v>
      </c>
      <c r="V894">
        <v>6.9179758429527005E-2</v>
      </c>
      <c r="AC894">
        <v>3.1150000000000002</v>
      </c>
    </row>
    <row r="895" spans="1:38" hidden="1" x14ac:dyDescent="0.3">
      <c r="A895" t="s">
        <v>56</v>
      </c>
      <c r="B895">
        <v>2032</v>
      </c>
      <c r="J895">
        <v>1.7388771724665</v>
      </c>
      <c r="R895">
        <v>18.218233360847002</v>
      </c>
      <c r="S895">
        <v>1.7305756605284</v>
      </c>
      <c r="T895">
        <v>-0.90606885508406998</v>
      </c>
      <c r="U895">
        <v>0</v>
      </c>
      <c r="V895">
        <v>9.7136095166205999E-2</v>
      </c>
      <c r="AC895">
        <v>1.5249999999999999</v>
      </c>
    </row>
    <row r="896" spans="1:38" hidden="1" x14ac:dyDescent="0.3">
      <c r="A896" t="s">
        <v>56</v>
      </c>
      <c r="B896">
        <v>2033</v>
      </c>
      <c r="J896">
        <v>1.7515429143687</v>
      </c>
      <c r="R896">
        <v>18.441755087903001</v>
      </c>
      <c r="S896">
        <v>1.7609535962877001</v>
      </c>
      <c r="T896">
        <v>-1.061569992266</v>
      </c>
      <c r="U896">
        <v>0</v>
      </c>
      <c r="V896">
        <v>0.1233175098896</v>
      </c>
      <c r="AC896">
        <v>1.25</v>
      </c>
    </row>
    <row r="897" spans="1:29" hidden="1" x14ac:dyDescent="0.3">
      <c r="A897" t="s">
        <v>56</v>
      </c>
      <c r="B897">
        <v>2034</v>
      </c>
      <c r="J897">
        <v>1.7642086562709001</v>
      </c>
      <c r="R897">
        <v>18.665913129848001</v>
      </c>
      <c r="S897">
        <v>1.7903487677370999</v>
      </c>
      <c r="T897">
        <v>-1.2123450336071999</v>
      </c>
      <c r="U897">
        <v>0</v>
      </c>
      <c r="V897">
        <v>0.14851595461368999</v>
      </c>
      <c r="AC897">
        <v>2.52</v>
      </c>
    </row>
    <row r="898" spans="1:29" hidden="1" x14ac:dyDescent="0.3">
      <c r="A898" t="s">
        <v>56</v>
      </c>
      <c r="B898">
        <v>2035</v>
      </c>
      <c r="J898">
        <v>1.7768743981730999</v>
      </c>
      <c r="R898">
        <v>18.863664557997001</v>
      </c>
      <c r="S898">
        <v>1.8152829373649999</v>
      </c>
      <c r="T898">
        <v>-1.3458243340533</v>
      </c>
      <c r="U898">
        <v>0</v>
      </c>
      <c r="V898">
        <v>0.16559510623866999</v>
      </c>
      <c r="AC898">
        <v>3.7160019999999999E-3</v>
      </c>
    </row>
    <row r="899" spans="1:29" hidden="1" x14ac:dyDescent="0.3">
      <c r="A899" t="s">
        <v>56</v>
      </c>
      <c r="B899">
        <v>2036</v>
      </c>
      <c r="J899">
        <v>1.7895401400752999</v>
      </c>
      <c r="R899">
        <v>19.051672882998002</v>
      </c>
      <c r="S899">
        <v>1.8382496532593999</v>
      </c>
      <c r="T899">
        <v>-1.4645492371705999</v>
      </c>
      <c r="U899">
        <v>0</v>
      </c>
      <c r="V899">
        <v>0.18267425786364999</v>
      </c>
      <c r="AC899">
        <v>0.15209666899999999</v>
      </c>
    </row>
    <row r="900" spans="1:29" hidden="1" x14ac:dyDescent="0.3">
      <c r="A900" t="s">
        <v>56</v>
      </c>
      <c r="B900">
        <v>2037</v>
      </c>
      <c r="J900">
        <v>1.8757617224520999</v>
      </c>
      <c r="R900">
        <v>19.238805346199001</v>
      </c>
      <c r="S900">
        <v>1.8601781187458</v>
      </c>
      <c r="T900">
        <v>-1.5827551701133999</v>
      </c>
      <c r="U900">
        <v>0</v>
      </c>
      <c r="V900">
        <v>0.19975340948862999</v>
      </c>
      <c r="AC900">
        <v>3.3308999999999998E-2</v>
      </c>
    </row>
    <row r="901" spans="1:29" hidden="1" x14ac:dyDescent="0.3">
      <c r="A901" t="s">
        <v>56</v>
      </c>
      <c r="B901">
        <v>2038</v>
      </c>
      <c r="J901">
        <v>1.9914970563659999</v>
      </c>
      <c r="R901">
        <v>19.422195237819</v>
      </c>
      <c r="S901">
        <v>1.8808389993586001</v>
      </c>
      <c r="T901">
        <v>-1.6855420141116</v>
      </c>
      <c r="U901">
        <v>0</v>
      </c>
      <c r="V901">
        <v>0.21683256111362001</v>
      </c>
      <c r="AC901">
        <v>0</v>
      </c>
    </row>
    <row r="902" spans="1:29" hidden="1" x14ac:dyDescent="0.3">
      <c r="A902" t="s">
        <v>56</v>
      </c>
      <c r="B902">
        <v>2039</v>
      </c>
      <c r="J902">
        <v>2.1287338646012</v>
      </c>
      <c r="R902">
        <v>19.592064821227002</v>
      </c>
      <c r="S902">
        <v>1.8988719211823</v>
      </c>
      <c r="T902">
        <v>-1.7771490147783</v>
      </c>
      <c r="U902">
        <v>0</v>
      </c>
      <c r="V902">
        <v>0.23391171273860001</v>
      </c>
      <c r="AC902">
        <v>0</v>
      </c>
    </row>
    <row r="903" spans="1:29" hidden="1" x14ac:dyDescent="0.3">
      <c r="A903" t="s">
        <v>56</v>
      </c>
      <c r="B903">
        <v>2040</v>
      </c>
      <c r="J903">
        <v>2.2491617482018</v>
      </c>
      <c r="R903">
        <v>19.751981783182998</v>
      </c>
      <c r="S903">
        <v>1.9156292798111001</v>
      </c>
      <c r="T903">
        <v>-1.8647402597403</v>
      </c>
      <c r="U903">
        <v>0</v>
      </c>
      <c r="V903">
        <v>0.25099086436357998</v>
      </c>
      <c r="AC903">
        <v>0</v>
      </c>
    </row>
    <row r="904" spans="1:29" hidden="1" x14ac:dyDescent="0.3">
      <c r="A904" t="s">
        <v>56</v>
      </c>
      <c r="B904">
        <v>2041</v>
      </c>
      <c r="J904">
        <v>2.2265502088438001</v>
      </c>
      <c r="R904">
        <v>19.924247413122998</v>
      </c>
      <c r="S904">
        <v>1.9341002265006</v>
      </c>
      <c r="T904">
        <v>-1.9619479048698001</v>
      </c>
      <c r="U904">
        <v>0</v>
      </c>
      <c r="V904">
        <v>0.26807001598857</v>
      </c>
      <c r="AC904">
        <v>2.5000000000000001E-2</v>
      </c>
    </row>
    <row r="905" spans="1:29" hidden="1" x14ac:dyDescent="0.3">
      <c r="A905" t="s">
        <v>56</v>
      </c>
      <c r="B905">
        <v>2042</v>
      </c>
      <c r="J905">
        <v>2.1897141375056002</v>
      </c>
      <c r="R905">
        <v>20.097643891488001</v>
      </c>
      <c r="S905">
        <v>1.9532634437806</v>
      </c>
      <c r="T905">
        <v>-2.0676480173819001</v>
      </c>
      <c r="U905">
        <v>0</v>
      </c>
      <c r="V905">
        <v>0.28514916761355003</v>
      </c>
      <c r="AC905">
        <v>1.2649999999999999</v>
      </c>
    </row>
    <row r="906" spans="1:29" hidden="1" x14ac:dyDescent="0.3">
      <c r="A906" t="s">
        <v>56</v>
      </c>
      <c r="B906">
        <v>2043</v>
      </c>
      <c r="J906">
        <v>2.1438805592627999</v>
      </c>
      <c r="R906">
        <v>20.272466097803001</v>
      </c>
      <c r="S906">
        <v>1.9723550573513999</v>
      </c>
      <c r="T906">
        <v>-2.1690563086547998</v>
      </c>
      <c r="U906">
        <v>0</v>
      </c>
      <c r="V906">
        <v>0.30222831923853</v>
      </c>
      <c r="AC906">
        <v>2.0699999999999998</v>
      </c>
    </row>
    <row r="907" spans="1:29" hidden="1" x14ac:dyDescent="0.3">
      <c r="A907" t="s">
        <v>56</v>
      </c>
      <c r="B907">
        <v>2044</v>
      </c>
      <c r="J907">
        <v>2.1108266384943999</v>
      </c>
      <c r="R907">
        <v>20.448890997658001</v>
      </c>
      <c r="S907">
        <v>1.9921021021020999</v>
      </c>
      <c r="T907">
        <v>-2.2793843843844002</v>
      </c>
      <c r="U907">
        <v>0</v>
      </c>
      <c r="V907">
        <v>0.31930747086352002</v>
      </c>
      <c r="AC907">
        <v>0.13600000000000001</v>
      </c>
    </row>
    <row r="908" spans="1:29" hidden="1" x14ac:dyDescent="0.3">
      <c r="A908" t="s">
        <v>56</v>
      </c>
      <c r="B908">
        <v>2045</v>
      </c>
      <c r="J908">
        <v>2.0594885113083001</v>
      </c>
      <c r="R908">
        <v>20.634096470296999</v>
      </c>
      <c r="S908">
        <v>2.0135589225589001</v>
      </c>
      <c r="T908">
        <v>-2.3937950937951</v>
      </c>
      <c r="U908">
        <v>0</v>
      </c>
      <c r="V908">
        <v>0.33638662248849999</v>
      </c>
      <c r="AC908">
        <v>2.5999999999999999E-2</v>
      </c>
    </row>
    <row r="909" spans="1:29" hidden="1" x14ac:dyDescent="0.3">
      <c r="A909" t="s">
        <v>56</v>
      </c>
      <c r="B909">
        <v>2046</v>
      </c>
      <c r="J909">
        <v>2.0219135049690999</v>
      </c>
      <c r="R909">
        <v>20.817719689370001</v>
      </c>
      <c r="S909">
        <v>2.0349371534195999</v>
      </c>
      <c r="T909">
        <v>-2.5159565619223998</v>
      </c>
      <c r="U909">
        <v>0</v>
      </c>
      <c r="V909">
        <v>0.35346577411348001</v>
      </c>
      <c r="AC909">
        <v>2.5000000000000001E-2</v>
      </c>
    </row>
    <row r="910" spans="1:29" hidden="1" x14ac:dyDescent="0.3">
      <c r="A910" t="s">
        <v>56</v>
      </c>
      <c r="B910">
        <v>2047</v>
      </c>
      <c r="J910">
        <v>1.9862919607981</v>
      </c>
      <c r="R910">
        <v>21.007070576116998</v>
      </c>
      <c r="S910">
        <v>2.0576446023988999</v>
      </c>
      <c r="T910">
        <v>-2.6435228787206002</v>
      </c>
      <c r="U910">
        <v>0</v>
      </c>
      <c r="V910">
        <v>0.37054492573845998</v>
      </c>
      <c r="AC910">
        <v>0</v>
      </c>
    </row>
    <row r="911" spans="1:29" hidden="1" x14ac:dyDescent="0.3">
      <c r="A911" t="s">
        <v>56</v>
      </c>
      <c r="B911">
        <v>2048</v>
      </c>
      <c r="J911">
        <v>1.9085499298410999</v>
      </c>
      <c r="R911">
        <v>21.211077109963998</v>
      </c>
      <c r="S911">
        <v>2.0829064102563999</v>
      </c>
      <c r="T911">
        <v>-2.7880470085470002</v>
      </c>
      <c r="U911">
        <v>0</v>
      </c>
      <c r="V911">
        <v>0.38762407736345</v>
      </c>
      <c r="AC911">
        <v>0</v>
      </c>
    </row>
    <row r="912" spans="1:29" hidden="1" x14ac:dyDescent="0.3">
      <c r="A912" t="s">
        <v>56</v>
      </c>
      <c r="B912">
        <v>2049</v>
      </c>
      <c r="J912">
        <v>1.8544382952908001</v>
      </c>
      <c r="R912">
        <v>21.427403700776999</v>
      </c>
      <c r="S912">
        <v>2.1099317153435</v>
      </c>
      <c r="T912">
        <v>-2.9419991772933001</v>
      </c>
      <c r="U912">
        <v>0</v>
      </c>
      <c r="V912">
        <v>0.40470322898842997</v>
      </c>
      <c r="AC912">
        <v>0</v>
      </c>
    </row>
    <row r="913" spans="1:29" hidden="1" x14ac:dyDescent="0.3">
      <c r="A913" t="s">
        <v>56</v>
      </c>
      <c r="B913">
        <v>2050</v>
      </c>
      <c r="J913">
        <v>1.7957254932316999</v>
      </c>
      <c r="R913">
        <v>21.660653337056001</v>
      </c>
      <c r="S913">
        <v>2.1399722662440999</v>
      </c>
      <c r="T913">
        <v>-3.1150832012678</v>
      </c>
      <c r="U913">
        <v>0</v>
      </c>
      <c r="V913">
        <v>0.42178238061341</v>
      </c>
      <c r="AC913">
        <v>0.01</v>
      </c>
    </row>
    <row r="914" spans="1:29" hidden="1" x14ac:dyDescent="0.3">
      <c r="A914" t="s">
        <v>56</v>
      </c>
      <c r="B914">
        <v>2051</v>
      </c>
      <c r="J914">
        <v>1.7370042161829999</v>
      </c>
      <c r="R914">
        <v>21.909496522167</v>
      </c>
      <c r="S914">
        <v>2.172544482627</v>
      </c>
      <c r="T914">
        <v>-3.3050515463918</v>
      </c>
      <c r="U914">
        <v>0</v>
      </c>
      <c r="V914">
        <v>0.43886153223840002</v>
      </c>
      <c r="AC914">
        <v>0</v>
      </c>
    </row>
    <row r="915" spans="1:29" hidden="1" x14ac:dyDescent="0.3">
      <c r="A915" t="s">
        <v>56</v>
      </c>
      <c r="B915">
        <v>2052</v>
      </c>
      <c r="J915">
        <v>1.6841314959674001</v>
      </c>
      <c r="R915">
        <v>22.167563339626</v>
      </c>
      <c r="S915">
        <v>2.2069661391239999</v>
      </c>
      <c r="T915">
        <v>-3.5099374309900999</v>
      </c>
      <c r="U915">
        <v>0</v>
      </c>
      <c r="V915">
        <v>0.45594068386337999</v>
      </c>
      <c r="AC915">
        <v>0</v>
      </c>
    </row>
    <row r="916" spans="1:29" hidden="1" x14ac:dyDescent="0.3">
      <c r="A916" t="s">
        <v>56</v>
      </c>
      <c r="B916">
        <v>2053</v>
      </c>
      <c r="J916">
        <v>1.6243783566662999</v>
      </c>
      <c r="R916">
        <v>22.442299978851999</v>
      </c>
      <c r="S916">
        <v>2.2439588068181999</v>
      </c>
      <c r="T916">
        <v>-3.725546875</v>
      </c>
      <c r="U916">
        <v>0</v>
      </c>
      <c r="V916">
        <v>0.47301983548836002</v>
      </c>
      <c r="AC916">
        <v>0</v>
      </c>
    </row>
    <row r="917" spans="1:29" hidden="1" x14ac:dyDescent="0.3">
      <c r="A917" t="s">
        <v>56</v>
      </c>
      <c r="B917">
        <v>2054</v>
      </c>
      <c r="J917">
        <v>1.5712565866315999</v>
      </c>
      <c r="R917">
        <v>22.733317989107</v>
      </c>
      <c r="S917">
        <v>2.2833606444978001</v>
      </c>
      <c r="T917">
        <v>-3.9543537881385</v>
      </c>
      <c r="U917">
        <v>0</v>
      </c>
      <c r="V917">
        <v>0.49009898711334998</v>
      </c>
      <c r="AC917">
        <v>0</v>
      </c>
    </row>
    <row r="918" spans="1:29" hidden="1" x14ac:dyDescent="0.3">
      <c r="A918" t="s">
        <v>56</v>
      </c>
      <c r="B918">
        <v>2055</v>
      </c>
      <c r="J918">
        <v>1.5290130495531</v>
      </c>
      <c r="R918">
        <v>23.034141622587999</v>
      </c>
      <c r="S918">
        <v>2.3247255875538002</v>
      </c>
      <c r="T918">
        <v>-4.1978881165177002</v>
      </c>
      <c r="U918">
        <v>0</v>
      </c>
      <c r="V918">
        <v>0.50717813873832995</v>
      </c>
      <c r="AC918">
        <v>1.4999999999999999E-2</v>
      </c>
    </row>
    <row r="919" spans="1:29" hidden="1" x14ac:dyDescent="0.3">
      <c r="A919" t="s">
        <v>56</v>
      </c>
      <c r="B919">
        <v>2056</v>
      </c>
      <c r="J919">
        <v>1.4881377790625001</v>
      </c>
      <c r="R919">
        <v>23.34567161559</v>
      </c>
      <c r="S919">
        <v>2.3678861892583001</v>
      </c>
      <c r="T919">
        <v>-4.4536764705882002</v>
      </c>
      <c r="U919">
        <v>0</v>
      </c>
      <c r="V919">
        <v>0.52425729036331004</v>
      </c>
      <c r="AC919">
        <v>0</v>
      </c>
    </row>
    <row r="920" spans="1:29" hidden="1" x14ac:dyDescent="0.3">
      <c r="A920" t="s">
        <v>56</v>
      </c>
      <c r="B920">
        <v>2057</v>
      </c>
      <c r="J920">
        <v>1.4572925233914</v>
      </c>
      <c r="R920">
        <v>23.676309306808001</v>
      </c>
      <c r="S920">
        <v>2.4137630522087998</v>
      </c>
      <c r="T920">
        <v>-4.7241427247451</v>
      </c>
      <c r="U920">
        <v>0</v>
      </c>
      <c r="V920">
        <v>0.54133644198829001</v>
      </c>
      <c r="AC920">
        <v>0</v>
      </c>
    </row>
    <row r="921" spans="1:29" hidden="1" x14ac:dyDescent="0.3">
      <c r="A921" t="s">
        <v>56</v>
      </c>
      <c r="B921">
        <v>2058</v>
      </c>
      <c r="J921">
        <v>1.4316357705077001</v>
      </c>
      <c r="R921">
        <v>24.006887602871998</v>
      </c>
      <c r="S921">
        <v>2.4599617796356998</v>
      </c>
      <c r="T921">
        <v>-4.9952941176471004</v>
      </c>
      <c r="U921">
        <v>0</v>
      </c>
      <c r="V921">
        <v>0.55841559361327997</v>
      </c>
      <c r="AC921">
        <v>0</v>
      </c>
    </row>
    <row r="922" spans="1:29" hidden="1" x14ac:dyDescent="0.3">
      <c r="A922" t="s">
        <v>56</v>
      </c>
      <c r="B922">
        <v>2059</v>
      </c>
      <c r="J922">
        <v>1.4057670034312999</v>
      </c>
      <c r="R922">
        <v>24.348254264527998</v>
      </c>
      <c r="S922">
        <v>2.5081763856813</v>
      </c>
      <c r="T922">
        <v>-5.2792205542725004</v>
      </c>
      <c r="U922">
        <v>0</v>
      </c>
      <c r="V922">
        <v>0.57549474523826005</v>
      </c>
      <c r="AC922">
        <v>0</v>
      </c>
    </row>
    <row r="923" spans="1:29" hidden="1" x14ac:dyDescent="0.3">
      <c r="A923" t="s">
        <v>56</v>
      </c>
      <c r="B923">
        <v>2060</v>
      </c>
      <c r="J923">
        <v>1.3829247001808</v>
      </c>
      <c r="R923">
        <v>24.704495245705999</v>
      </c>
      <c r="S923">
        <v>2.5586513121160999</v>
      </c>
      <c r="T923">
        <v>-5.5776130653265996</v>
      </c>
      <c r="U923">
        <v>0</v>
      </c>
      <c r="V923">
        <v>0.59257389686324002</v>
      </c>
      <c r="AC923">
        <v>0</v>
      </c>
    </row>
    <row r="924" spans="1:29" hidden="1" x14ac:dyDescent="0.3">
      <c r="A924" t="s">
        <v>56</v>
      </c>
      <c r="B924">
        <v>2061</v>
      </c>
      <c r="J924">
        <v>1.3608076437270999</v>
      </c>
      <c r="R924">
        <v>25.064180643053</v>
      </c>
      <c r="S924">
        <v>2.6093110991088002</v>
      </c>
      <c r="T924">
        <v>-5.8756467728867996</v>
      </c>
      <c r="U924">
        <v>0</v>
      </c>
      <c r="V924">
        <v>0.60965304848822999</v>
      </c>
      <c r="AC924">
        <v>0</v>
      </c>
    </row>
    <row r="925" spans="1:29" hidden="1" x14ac:dyDescent="0.3">
      <c r="A925" t="s">
        <v>56</v>
      </c>
      <c r="B925">
        <v>2062</v>
      </c>
      <c r="J925">
        <v>1.3427185117394</v>
      </c>
      <c r="R925">
        <v>25.422039146273001</v>
      </c>
      <c r="S925">
        <v>2.6595376175548999</v>
      </c>
      <c r="T925">
        <v>-6.1723119122257</v>
      </c>
      <c r="U925">
        <v>0</v>
      </c>
      <c r="V925">
        <v>0.62673220011320996</v>
      </c>
      <c r="AC925">
        <v>0</v>
      </c>
    </row>
    <row r="926" spans="1:29" hidden="1" x14ac:dyDescent="0.3">
      <c r="A926" t="s">
        <v>56</v>
      </c>
      <c r="B926">
        <v>2063</v>
      </c>
      <c r="J926">
        <v>1.3309297300634</v>
      </c>
      <c r="R926">
        <v>25.773715121188999</v>
      </c>
      <c r="S926">
        <v>2.7083594539939</v>
      </c>
      <c r="T926">
        <v>-6.4567770475227002</v>
      </c>
      <c r="U926">
        <v>0</v>
      </c>
      <c r="V926">
        <v>0.64381135173819004</v>
      </c>
      <c r="AC926">
        <v>0</v>
      </c>
    </row>
    <row r="927" spans="1:29" hidden="1" x14ac:dyDescent="0.3">
      <c r="A927" t="s">
        <v>56</v>
      </c>
      <c r="B927">
        <v>2064</v>
      </c>
      <c r="J927">
        <v>1.3161933329636999</v>
      </c>
      <c r="R927">
        <v>26.104735537075001</v>
      </c>
      <c r="S927">
        <v>2.7535778919050999</v>
      </c>
      <c r="T927">
        <v>-6.7203130349719</v>
      </c>
      <c r="U927">
        <v>0</v>
      </c>
      <c r="V927">
        <v>0.66089050336318</v>
      </c>
      <c r="AC927">
        <v>0</v>
      </c>
    </row>
    <row r="928" spans="1:29" hidden="1" x14ac:dyDescent="0.3">
      <c r="A928" t="s">
        <v>56</v>
      </c>
      <c r="B928">
        <v>2065</v>
      </c>
      <c r="J928">
        <v>1.2991215226626001</v>
      </c>
      <c r="R928">
        <v>26.423245885629999</v>
      </c>
      <c r="S928">
        <v>2.796624852071</v>
      </c>
      <c r="T928">
        <v>-6.9669680473372999</v>
      </c>
      <c r="U928">
        <v>0</v>
      </c>
      <c r="V928">
        <v>0.67796965498815998</v>
      </c>
      <c r="AC928">
        <v>0</v>
      </c>
    </row>
    <row r="929" spans="1:38" hidden="1" x14ac:dyDescent="0.3">
      <c r="A929" t="s">
        <v>56</v>
      </c>
      <c r="B929">
        <v>2066</v>
      </c>
      <c r="J929">
        <v>1.2808372383749</v>
      </c>
      <c r="R929">
        <v>26.736679644624001</v>
      </c>
      <c r="S929">
        <v>2.8379835013749002</v>
      </c>
      <c r="T929">
        <v>-7.2006347387718002</v>
      </c>
      <c r="U929">
        <v>0</v>
      </c>
      <c r="V929">
        <v>0.69504880661313995</v>
      </c>
      <c r="AC929">
        <v>0</v>
      </c>
    </row>
    <row r="930" spans="1:38" hidden="1" x14ac:dyDescent="0.3">
      <c r="A930" t="s">
        <v>56</v>
      </c>
      <c r="B930">
        <v>2067</v>
      </c>
      <c r="J930">
        <v>1.2613954723737999</v>
      </c>
      <c r="R930">
        <v>27.036149573058999</v>
      </c>
      <c r="S930">
        <v>2.8767191659272</v>
      </c>
      <c r="T930">
        <v>-7.4205523513753002</v>
      </c>
      <c r="U930">
        <v>0</v>
      </c>
      <c r="V930">
        <v>0.71212795823812003</v>
      </c>
      <c r="AC930">
        <v>0</v>
      </c>
    </row>
    <row r="931" spans="1:38" hidden="1" x14ac:dyDescent="0.3">
      <c r="A931" t="s">
        <v>56</v>
      </c>
      <c r="B931">
        <v>2068</v>
      </c>
      <c r="J931">
        <v>1.2377446568782999</v>
      </c>
      <c r="R931">
        <v>27.332522664942001</v>
      </c>
      <c r="S931">
        <v>2.9142191192265998</v>
      </c>
      <c r="T931">
        <v>-7.6306766917292999</v>
      </c>
      <c r="U931">
        <v>0</v>
      </c>
      <c r="V931">
        <v>0.72920710986310999</v>
      </c>
      <c r="AC931">
        <v>0</v>
      </c>
    </row>
    <row r="932" spans="1:38" hidden="1" x14ac:dyDescent="0.3">
      <c r="A932" t="s">
        <v>56</v>
      </c>
      <c r="B932">
        <v>2069</v>
      </c>
      <c r="J932">
        <v>1.2159511519849</v>
      </c>
      <c r="R932">
        <v>27.617831475825</v>
      </c>
      <c r="S932">
        <v>2.9500853100290998</v>
      </c>
      <c r="T932">
        <v>-7.8308177278402002</v>
      </c>
      <c r="U932">
        <v>0</v>
      </c>
      <c r="V932">
        <v>0.74628626148808996</v>
      </c>
      <c r="AC932">
        <v>0</v>
      </c>
    </row>
    <row r="933" spans="1:38" hidden="1" x14ac:dyDescent="0.3">
      <c r="A933" t="s">
        <v>56</v>
      </c>
      <c r="B933">
        <v>2070</v>
      </c>
      <c r="J933">
        <v>1.1944638428447001</v>
      </c>
      <c r="R933">
        <v>27.898394350522999</v>
      </c>
      <c r="S933">
        <v>2.9852459677418999</v>
      </c>
      <c r="T933">
        <v>-8.0248931451613004</v>
      </c>
      <c r="U933">
        <v>0</v>
      </c>
      <c r="V933">
        <v>0.76336541311307005</v>
      </c>
      <c r="AC933">
        <v>0</v>
      </c>
    </row>
    <row r="934" spans="1:38" hidden="1" x14ac:dyDescent="0.3">
      <c r="A934" t="s">
        <v>56</v>
      </c>
      <c r="B934">
        <v>2071</v>
      </c>
      <c r="V934">
        <v>0.78044456473806001</v>
      </c>
    </row>
    <row r="935" spans="1:38" hidden="1" x14ac:dyDescent="0.3">
      <c r="A935" t="s">
        <v>57</v>
      </c>
      <c r="B935">
        <v>0</v>
      </c>
      <c r="AD935">
        <v>2.3143074063561999E-2</v>
      </c>
      <c r="AE935">
        <v>0.10021450237585</v>
      </c>
      <c r="AF935">
        <v>9.1130547564612002E-2</v>
      </c>
      <c r="AG935">
        <v>1</v>
      </c>
      <c r="AH935">
        <v>0</v>
      </c>
      <c r="AI935">
        <v>3.3879810526315999</v>
      </c>
      <c r="AJ935">
        <v>4.0869326315789003</v>
      </c>
      <c r="AK935">
        <v>2.1578473684211001</v>
      </c>
      <c r="AL935">
        <v>0.378</v>
      </c>
    </row>
    <row r="936" spans="1:38" hidden="1" x14ac:dyDescent="0.3">
      <c r="A936" t="s">
        <v>57</v>
      </c>
      <c r="B936">
        <v>2024</v>
      </c>
      <c r="C936">
        <v>18.8</v>
      </c>
      <c r="D936">
        <v>46.755600000000001</v>
      </c>
      <c r="E936">
        <v>40.208390000000001</v>
      </c>
      <c r="F936">
        <v>2.1232634730767002</v>
      </c>
      <c r="G936">
        <v>32.581265838534001</v>
      </c>
      <c r="H936">
        <v>-0.44249349909974001</v>
      </c>
      <c r="I936">
        <v>32.751190811661999</v>
      </c>
      <c r="J936">
        <v>0.77220836196839004</v>
      </c>
      <c r="K936">
        <v>2.5771607551911999</v>
      </c>
      <c r="L936">
        <v>2.9323319626384001</v>
      </c>
      <c r="M936">
        <v>-0.66279699999999997</v>
      </c>
      <c r="N936">
        <v>-0.4667</v>
      </c>
      <c r="O936">
        <v>-1.7562753</v>
      </c>
      <c r="P936">
        <v>0.51500000000000001</v>
      </c>
      <c r="Q936">
        <v>44.584627500000003</v>
      </c>
      <c r="R936">
        <v>16.445877483034</v>
      </c>
      <c r="S936">
        <v>0.26856211524927998</v>
      </c>
      <c r="U936">
        <v>0</v>
      </c>
      <c r="V936">
        <v>0</v>
      </c>
      <c r="W936">
        <v>2.5011800000000002</v>
      </c>
      <c r="X936">
        <v>3.7530000000000001</v>
      </c>
      <c r="Y936">
        <v>3.2875000000000001</v>
      </c>
      <c r="Z936">
        <v>1</v>
      </c>
      <c r="AA936">
        <v>1.0823804690000001</v>
      </c>
    </row>
    <row r="937" spans="1:38" hidden="1" x14ac:dyDescent="0.3">
      <c r="A937" t="s">
        <v>57</v>
      </c>
      <c r="B937">
        <v>2025</v>
      </c>
      <c r="C937">
        <v>20.41</v>
      </c>
      <c r="D937">
        <v>48.6235</v>
      </c>
      <c r="E937">
        <v>41.977170000000001</v>
      </c>
      <c r="F937">
        <v>4.3990321422966998</v>
      </c>
      <c r="G937">
        <v>32.728713942360002</v>
      </c>
      <c r="H937">
        <v>0.45255486559708002</v>
      </c>
      <c r="I937">
        <v>33.163328558132001</v>
      </c>
      <c r="J937">
        <v>1.2583901111868001</v>
      </c>
      <c r="K937">
        <v>3.9286883618221</v>
      </c>
      <c r="L937">
        <v>2.4767093808285998</v>
      </c>
      <c r="M937">
        <v>-1.8405518999999999</v>
      </c>
      <c r="N937">
        <v>-1.3452</v>
      </c>
      <c r="O937">
        <v>-3.1323487999999999</v>
      </c>
      <c r="P937">
        <v>0.29599999999999999</v>
      </c>
      <c r="Q937">
        <v>46.268863099999997</v>
      </c>
      <c r="R937">
        <v>16.347104870178001</v>
      </c>
      <c r="S937">
        <v>0.26440172998931999</v>
      </c>
      <c r="U937">
        <v>0</v>
      </c>
      <c r="V937">
        <v>-4.9665784463286001E-3</v>
      </c>
      <c r="W937">
        <v>2.8844124</v>
      </c>
      <c r="X937">
        <v>3.2309999999999999</v>
      </c>
      <c r="Y937">
        <v>3.2759999999999998</v>
      </c>
      <c r="Z937">
        <v>1</v>
      </c>
      <c r="AA937">
        <v>1.113519535</v>
      </c>
      <c r="AC937">
        <v>1.1000000000000001</v>
      </c>
    </row>
    <row r="938" spans="1:38" hidden="1" x14ac:dyDescent="0.3">
      <c r="A938" t="s">
        <v>57</v>
      </c>
      <c r="B938">
        <v>2026</v>
      </c>
      <c r="C938">
        <v>21.67</v>
      </c>
      <c r="D938">
        <v>49.262599999999999</v>
      </c>
      <c r="E938">
        <v>43.991889999999998</v>
      </c>
      <c r="F938">
        <v>4.7995612853368002</v>
      </c>
      <c r="G938">
        <v>33.374452041615001</v>
      </c>
      <c r="H938">
        <v>1.9730017512831</v>
      </c>
      <c r="I938">
        <v>33.619783227728</v>
      </c>
      <c r="J938">
        <v>1.3763837631564</v>
      </c>
      <c r="K938">
        <v>2.7718787504727</v>
      </c>
      <c r="L938">
        <v>2.0119566334671002</v>
      </c>
      <c r="M938">
        <v>-1.7059953000000001</v>
      </c>
      <c r="N938">
        <v>-1.4301999999999999</v>
      </c>
      <c r="O938">
        <v>-3.1274130000000002</v>
      </c>
      <c r="P938">
        <v>-0.115</v>
      </c>
      <c r="Q938">
        <v>46.096407499999998</v>
      </c>
      <c r="R938">
        <v>16.404344988146999</v>
      </c>
      <c r="S938">
        <v>0.26538593699196</v>
      </c>
      <c r="U938">
        <v>0</v>
      </c>
      <c r="V938">
        <v>-4.7891363501549001E-3</v>
      </c>
      <c r="W938">
        <v>3.0636198000000001</v>
      </c>
      <c r="Z938">
        <v>1</v>
      </c>
      <c r="AA938">
        <v>1.1346799999999999</v>
      </c>
      <c r="AC938">
        <v>2.04</v>
      </c>
    </row>
    <row r="939" spans="1:38" hidden="1" x14ac:dyDescent="0.3">
      <c r="A939" t="s">
        <v>57</v>
      </c>
      <c r="B939">
        <v>2027</v>
      </c>
      <c r="G939">
        <v>33.813805438586002</v>
      </c>
      <c r="H939">
        <v>1.3164362861234999</v>
      </c>
      <c r="I939">
        <v>33.979107610358</v>
      </c>
      <c r="J939">
        <v>1.0687885171555001</v>
      </c>
      <c r="R939">
        <v>16.451301325827</v>
      </c>
      <c r="S939">
        <v>0.26615303786700001</v>
      </c>
      <c r="U939">
        <v>0</v>
      </c>
      <c r="V939">
        <v>-4.8287156969309001E-3</v>
      </c>
      <c r="AC939">
        <v>1.4350000000000001</v>
      </c>
    </row>
    <row r="940" spans="1:38" hidden="1" x14ac:dyDescent="0.3">
      <c r="A940" t="s">
        <v>57</v>
      </c>
      <c r="B940">
        <v>2028</v>
      </c>
      <c r="G940">
        <v>34.277800031828001</v>
      </c>
      <c r="H940">
        <v>1.3722045987546001</v>
      </c>
      <c r="I940">
        <v>34.361380962843</v>
      </c>
      <c r="J940">
        <v>1.1250246971405999</v>
      </c>
      <c r="R940">
        <v>16.450847219642998</v>
      </c>
      <c r="S940">
        <v>0.26523176321356001</v>
      </c>
      <c r="U940">
        <v>0</v>
      </c>
      <c r="V940">
        <v>-6.5562706440686997E-3</v>
      </c>
      <c r="AC940">
        <v>2.1317499999999998</v>
      </c>
    </row>
    <row r="941" spans="1:38" hidden="1" x14ac:dyDescent="0.3">
      <c r="A941" t="s">
        <v>57</v>
      </c>
      <c r="B941">
        <v>2029</v>
      </c>
      <c r="G941">
        <v>34.802796418810999</v>
      </c>
      <c r="H941">
        <v>1.5315930033298999</v>
      </c>
      <c r="I941">
        <v>34.802796418810999</v>
      </c>
      <c r="J941">
        <v>1.2846266465402001</v>
      </c>
      <c r="R941">
        <v>16.445681899208999</v>
      </c>
      <c r="S941">
        <v>0.26382358215794999</v>
      </c>
      <c r="U941">
        <v>0</v>
      </c>
      <c r="V941">
        <v>-8.7708374485372994E-3</v>
      </c>
      <c r="AC941">
        <v>2.83</v>
      </c>
    </row>
    <row r="942" spans="1:38" hidden="1" x14ac:dyDescent="0.3">
      <c r="A942" t="s">
        <v>57</v>
      </c>
      <c r="B942">
        <v>2030</v>
      </c>
      <c r="J942">
        <v>1.3124081850255001</v>
      </c>
      <c r="R942">
        <v>16.445636068881001</v>
      </c>
      <c r="S942">
        <v>0.26217254049442001</v>
      </c>
      <c r="U942">
        <v>0</v>
      </c>
      <c r="V942">
        <v>-1.1228409595788E-2</v>
      </c>
      <c r="AC942">
        <v>0.6</v>
      </c>
    </row>
    <row r="943" spans="1:38" hidden="1" x14ac:dyDescent="0.3">
      <c r="A943" t="s">
        <v>57</v>
      </c>
      <c r="B943">
        <v>2031</v>
      </c>
      <c r="J943">
        <v>1.3401897235108</v>
      </c>
      <c r="R943">
        <v>16.449649691407</v>
      </c>
      <c r="S943">
        <v>0.26062274098237997</v>
      </c>
      <c r="U943">
        <v>0</v>
      </c>
      <c r="V943">
        <v>-1.3584979809821001E-2</v>
      </c>
      <c r="AC943">
        <v>1.3905000000000001</v>
      </c>
    </row>
    <row r="944" spans="1:38" hidden="1" x14ac:dyDescent="0.3">
      <c r="A944" t="s">
        <v>57</v>
      </c>
      <c r="B944">
        <v>2032</v>
      </c>
      <c r="J944">
        <v>1.3679712619961</v>
      </c>
      <c r="R944">
        <v>16.443265948720001</v>
      </c>
      <c r="S944">
        <v>0.25911555134158998</v>
      </c>
      <c r="U944">
        <v>0</v>
      </c>
      <c r="V944">
        <v>-1.5898569487035E-2</v>
      </c>
      <c r="AC944">
        <v>0.64500000000000002</v>
      </c>
    </row>
    <row r="945" spans="1:29" hidden="1" x14ac:dyDescent="0.3">
      <c r="A945" t="s">
        <v>57</v>
      </c>
      <c r="B945">
        <v>2033</v>
      </c>
      <c r="J945">
        <v>1.3957528004813999</v>
      </c>
      <c r="R945">
        <v>16.425635829777999</v>
      </c>
      <c r="S945">
        <v>0.25785839256113002</v>
      </c>
      <c r="U945">
        <v>0</v>
      </c>
      <c r="V945">
        <v>-1.7963123507797999E-2</v>
      </c>
      <c r="AC945">
        <v>0.91500000000000004</v>
      </c>
    </row>
    <row r="946" spans="1:29" hidden="1" x14ac:dyDescent="0.3">
      <c r="A946" t="s">
        <v>57</v>
      </c>
      <c r="B946">
        <v>2034</v>
      </c>
      <c r="J946">
        <v>1.4235343389666999</v>
      </c>
      <c r="R946">
        <v>16.393699903439</v>
      </c>
      <c r="S946">
        <v>0.25659677698453998</v>
      </c>
      <c r="U946">
        <v>0</v>
      </c>
      <c r="V946">
        <v>-2.0030704326927998E-2</v>
      </c>
      <c r="AC946">
        <v>2.311818014</v>
      </c>
    </row>
    <row r="947" spans="1:29" hidden="1" x14ac:dyDescent="0.3">
      <c r="A947" t="s">
        <v>57</v>
      </c>
      <c r="B947">
        <v>2035</v>
      </c>
      <c r="J947">
        <v>1.4513158774520001</v>
      </c>
      <c r="R947">
        <v>16.352645194034999</v>
      </c>
      <c r="S947">
        <v>0.25551531017894002</v>
      </c>
      <c r="U947">
        <v>0</v>
      </c>
      <c r="V947">
        <v>-2.1918455858461E-2</v>
      </c>
      <c r="AC947">
        <v>0</v>
      </c>
    </row>
    <row r="948" spans="1:29" hidden="1" x14ac:dyDescent="0.3">
      <c r="A948" t="s">
        <v>57</v>
      </c>
      <c r="B948">
        <v>2036</v>
      </c>
      <c r="J948">
        <v>1.4790974159373</v>
      </c>
      <c r="R948">
        <v>16.29210351123</v>
      </c>
      <c r="S948">
        <v>0.25392863862643</v>
      </c>
      <c r="U948">
        <v>0</v>
      </c>
      <c r="V948">
        <v>-2.3806207389993998E-2</v>
      </c>
      <c r="AC948">
        <v>0.94</v>
      </c>
    </row>
    <row r="949" spans="1:29" hidden="1" x14ac:dyDescent="0.3">
      <c r="A949" t="s">
        <v>57</v>
      </c>
      <c r="B949">
        <v>2037</v>
      </c>
      <c r="J949">
        <v>1.4863032057989001</v>
      </c>
      <c r="R949">
        <v>16.215439519372001</v>
      </c>
      <c r="S949">
        <v>0.25185941425870001</v>
      </c>
      <c r="U949">
        <v>0</v>
      </c>
      <c r="V949">
        <v>-2.5693958921527E-2</v>
      </c>
      <c r="AC949">
        <v>0</v>
      </c>
    </row>
    <row r="950" spans="1:29" hidden="1" x14ac:dyDescent="0.3">
      <c r="A950" t="s">
        <v>57</v>
      </c>
      <c r="B950">
        <v>2038</v>
      </c>
      <c r="J950">
        <v>1.4228976607127</v>
      </c>
      <c r="R950">
        <v>16.138115406013</v>
      </c>
      <c r="S950">
        <v>0.24973498039989001</v>
      </c>
      <c r="U950">
        <v>0</v>
      </c>
      <c r="V950">
        <v>-2.7581710453061001E-2</v>
      </c>
      <c r="AC950">
        <v>0</v>
      </c>
    </row>
    <row r="951" spans="1:29" hidden="1" x14ac:dyDescent="0.3">
      <c r="A951" t="s">
        <v>57</v>
      </c>
      <c r="B951">
        <v>2039</v>
      </c>
      <c r="J951">
        <v>1.3146416990865999</v>
      </c>
      <c r="R951">
        <v>16.066403669643002</v>
      </c>
      <c r="S951">
        <v>0.24769825508168</v>
      </c>
      <c r="U951">
        <v>0</v>
      </c>
      <c r="V951">
        <v>-2.9469461984593999E-2</v>
      </c>
      <c r="AC951">
        <v>0</v>
      </c>
    </row>
    <row r="952" spans="1:29" hidden="1" x14ac:dyDescent="0.3">
      <c r="A952" t="s">
        <v>57</v>
      </c>
      <c r="B952">
        <v>2040</v>
      </c>
      <c r="J952">
        <v>1.2121258905462</v>
      </c>
      <c r="R952">
        <v>15.996377016637</v>
      </c>
      <c r="S952">
        <v>0.24570412189213001</v>
      </c>
      <c r="U952">
        <v>0</v>
      </c>
      <c r="V952">
        <v>-3.1357213516126997E-2</v>
      </c>
      <c r="AC952">
        <v>0</v>
      </c>
    </row>
    <row r="953" spans="1:29" hidden="1" x14ac:dyDescent="0.3">
      <c r="A953" t="s">
        <v>57</v>
      </c>
      <c r="B953">
        <v>2041</v>
      </c>
      <c r="J953">
        <v>1.1341852540609001</v>
      </c>
      <c r="R953">
        <v>15.940631017825</v>
      </c>
      <c r="S953">
        <v>0.24396123121231</v>
      </c>
      <c r="U953">
        <v>0</v>
      </c>
      <c r="V953">
        <v>-3.3244965047660002E-2</v>
      </c>
      <c r="AC953">
        <v>0</v>
      </c>
    </row>
    <row r="954" spans="1:29" hidden="1" x14ac:dyDescent="0.3">
      <c r="A954" t="s">
        <v>57</v>
      </c>
      <c r="B954">
        <v>2042</v>
      </c>
      <c r="J954">
        <v>1.0372887462078999</v>
      </c>
      <c r="R954">
        <v>15.892863821422999</v>
      </c>
      <c r="S954">
        <v>0.24229834956140001</v>
      </c>
      <c r="U954">
        <v>0</v>
      </c>
      <c r="V954">
        <v>-3.5132716579193E-2</v>
      </c>
      <c r="AC954">
        <v>0</v>
      </c>
    </row>
    <row r="955" spans="1:29" hidden="1" x14ac:dyDescent="0.3">
      <c r="A955" t="s">
        <v>57</v>
      </c>
      <c r="B955">
        <v>2043</v>
      </c>
      <c r="J955">
        <v>0.98478211242084002</v>
      </c>
      <c r="R955">
        <v>15.853949130478</v>
      </c>
      <c r="S955">
        <v>0.24077714597137001</v>
      </c>
      <c r="U955">
        <v>0</v>
      </c>
      <c r="V955">
        <v>-3.7020468110726998E-2</v>
      </c>
      <c r="AC955">
        <v>0</v>
      </c>
    </row>
    <row r="956" spans="1:29" hidden="1" x14ac:dyDescent="0.3">
      <c r="A956" t="s">
        <v>57</v>
      </c>
      <c r="B956">
        <v>2044</v>
      </c>
      <c r="J956">
        <v>0.92264368925447005</v>
      </c>
      <c r="R956">
        <v>15.834506004423</v>
      </c>
      <c r="S956">
        <v>0.23965611831600001</v>
      </c>
      <c r="U956">
        <v>0</v>
      </c>
      <c r="V956">
        <v>-3.8908219642260003E-2</v>
      </c>
      <c r="AC956">
        <v>0</v>
      </c>
    </row>
    <row r="957" spans="1:29" hidden="1" x14ac:dyDescent="0.3">
      <c r="A957" t="s">
        <v>57</v>
      </c>
      <c r="B957">
        <v>2045</v>
      </c>
      <c r="J957">
        <v>0.84514325063388995</v>
      </c>
      <c r="R957">
        <v>15.834881752712</v>
      </c>
      <c r="S957">
        <v>0.23894591312592001</v>
      </c>
      <c r="U957">
        <v>0</v>
      </c>
      <c r="V957">
        <v>-4.0795971173793001E-2</v>
      </c>
      <c r="AC957">
        <v>0</v>
      </c>
    </row>
    <row r="958" spans="1:29" hidden="1" x14ac:dyDescent="0.3">
      <c r="A958" t="s">
        <v>57</v>
      </c>
      <c r="B958">
        <v>2046</v>
      </c>
      <c r="J958">
        <v>0.76068338549658998</v>
      </c>
      <c r="R958">
        <v>15.844860793087999</v>
      </c>
      <c r="S958">
        <v>0.23818603626144999</v>
      </c>
      <c r="U958">
        <v>0</v>
      </c>
      <c r="V958">
        <v>-4.2683722705325999E-2</v>
      </c>
      <c r="AC958">
        <v>0</v>
      </c>
    </row>
    <row r="959" spans="1:29" hidden="1" x14ac:dyDescent="0.3">
      <c r="A959" t="s">
        <v>57</v>
      </c>
      <c r="B959">
        <v>2047</v>
      </c>
      <c r="J959">
        <v>0.66876490082804996</v>
      </c>
      <c r="R959">
        <v>15.878221989189001</v>
      </c>
      <c r="S959">
        <v>0.23794846827287999</v>
      </c>
      <c r="U959">
        <v>0</v>
      </c>
      <c r="V959">
        <v>-4.4571474236859997E-2</v>
      </c>
      <c r="AC959">
        <v>1</v>
      </c>
    </row>
    <row r="960" spans="1:29" hidden="1" x14ac:dyDescent="0.3">
      <c r="A960" t="s">
        <v>57</v>
      </c>
      <c r="B960">
        <v>2048</v>
      </c>
      <c r="J960">
        <v>0.58710749924351002</v>
      </c>
      <c r="R960">
        <v>15.93145863751</v>
      </c>
      <c r="S960">
        <v>0.23815246604644999</v>
      </c>
      <c r="U960">
        <v>0</v>
      </c>
      <c r="V960">
        <v>-4.6459225768393002E-2</v>
      </c>
      <c r="AC960">
        <v>0</v>
      </c>
    </row>
    <row r="961" spans="1:29" hidden="1" x14ac:dyDescent="0.3">
      <c r="A961" t="s">
        <v>57</v>
      </c>
      <c r="B961">
        <v>2049</v>
      </c>
      <c r="J961">
        <v>0.48703840506172003</v>
      </c>
      <c r="R961">
        <v>15.995757895523001</v>
      </c>
      <c r="S961">
        <v>0.23854543700542</v>
      </c>
      <c r="U961">
        <v>0</v>
      </c>
      <c r="V961">
        <v>-4.8346977299926E-2</v>
      </c>
      <c r="AC961">
        <v>1</v>
      </c>
    </row>
    <row r="962" spans="1:29" hidden="1" x14ac:dyDescent="0.3">
      <c r="A962" t="s">
        <v>57</v>
      </c>
      <c r="B962">
        <v>2050</v>
      </c>
      <c r="J962">
        <v>0.42800080913117999</v>
      </c>
      <c r="R962">
        <v>16.068510027754002</v>
      </c>
      <c r="S962">
        <v>0.23905045110508999</v>
      </c>
      <c r="U962">
        <v>0</v>
      </c>
      <c r="V962">
        <v>-5.0234728831458998E-2</v>
      </c>
      <c r="AC962">
        <v>0</v>
      </c>
    </row>
    <row r="963" spans="1:29" hidden="1" x14ac:dyDescent="0.3">
      <c r="A963" t="s">
        <v>57</v>
      </c>
      <c r="B963">
        <v>2051</v>
      </c>
      <c r="J963">
        <v>0.35077685004409997</v>
      </c>
      <c r="R963">
        <v>16.157554586566</v>
      </c>
      <c r="S963">
        <v>0.23985716308626001</v>
      </c>
      <c r="U963">
        <v>0</v>
      </c>
      <c r="V963">
        <v>-5.2122480362992003E-2</v>
      </c>
      <c r="AC963">
        <v>0</v>
      </c>
    </row>
    <row r="964" spans="1:29" hidden="1" x14ac:dyDescent="0.3">
      <c r="A964" t="s">
        <v>57</v>
      </c>
      <c r="B964">
        <v>2052</v>
      </c>
      <c r="J964">
        <v>0.31198219806422001</v>
      </c>
      <c r="R964">
        <v>16.249797776876001</v>
      </c>
      <c r="S964">
        <v>0.24077120104676999</v>
      </c>
      <c r="U964">
        <v>0</v>
      </c>
      <c r="V964">
        <v>-5.4010231894526001E-2</v>
      </c>
      <c r="AC964">
        <v>0</v>
      </c>
    </row>
    <row r="965" spans="1:29" hidden="1" x14ac:dyDescent="0.3">
      <c r="A965" t="s">
        <v>57</v>
      </c>
      <c r="B965">
        <v>2053</v>
      </c>
      <c r="J965">
        <v>0.26998800958961</v>
      </c>
      <c r="R965">
        <v>16.347308542515002</v>
      </c>
      <c r="S965">
        <v>0.24170649879379</v>
      </c>
      <c r="U965">
        <v>0</v>
      </c>
      <c r="V965">
        <v>-5.5897983426058999E-2</v>
      </c>
      <c r="AC965">
        <v>0</v>
      </c>
    </row>
    <row r="966" spans="1:29" hidden="1" x14ac:dyDescent="0.3">
      <c r="A966" t="s">
        <v>57</v>
      </c>
      <c r="B966">
        <v>2054</v>
      </c>
      <c r="J966">
        <v>0.30871722459196999</v>
      </c>
      <c r="R966">
        <v>16.432524611163998</v>
      </c>
      <c r="S966">
        <v>0.24244374656074</v>
      </c>
      <c r="U966">
        <v>0</v>
      </c>
      <c r="V966">
        <v>-5.7785734957591997E-2</v>
      </c>
      <c r="AC966">
        <v>0</v>
      </c>
    </row>
    <row r="967" spans="1:29" hidden="1" x14ac:dyDescent="0.3">
      <c r="A967" t="s">
        <v>57</v>
      </c>
      <c r="B967">
        <v>2055</v>
      </c>
      <c r="J967">
        <v>0.35164629059916003</v>
      </c>
      <c r="R967">
        <v>16.507992269397</v>
      </c>
      <c r="S967">
        <v>0.24296176927936999</v>
      </c>
      <c r="U967">
        <v>0</v>
      </c>
      <c r="V967">
        <v>-5.9673486489125002E-2</v>
      </c>
      <c r="AC967">
        <v>0</v>
      </c>
    </row>
    <row r="968" spans="1:29" hidden="1" x14ac:dyDescent="0.3">
      <c r="A968" t="s">
        <v>57</v>
      </c>
      <c r="B968">
        <v>2056</v>
      </c>
      <c r="J968">
        <v>0.44452338801310998</v>
      </c>
      <c r="R968">
        <v>16.540024355122</v>
      </c>
      <c r="S968">
        <v>0.24203778951079999</v>
      </c>
      <c r="U968">
        <v>0</v>
      </c>
      <c r="V968">
        <v>-6.1561238020659E-2</v>
      </c>
      <c r="AC968">
        <v>0</v>
      </c>
    </row>
    <row r="969" spans="1:29" hidden="1" x14ac:dyDescent="0.3">
      <c r="A969" t="s">
        <v>57</v>
      </c>
      <c r="B969">
        <v>2057</v>
      </c>
      <c r="J969">
        <v>0.56707908943230001</v>
      </c>
      <c r="R969">
        <v>16.54447682592</v>
      </c>
      <c r="S969">
        <v>0.2405511655758</v>
      </c>
      <c r="U969">
        <v>0</v>
      </c>
      <c r="V969">
        <v>-6.3448989552191998E-2</v>
      </c>
      <c r="AC969">
        <v>0</v>
      </c>
    </row>
    <row r="970" spans="1:29" hidden="1" x14ac:dyDescent="0.3">
      <c r="A970" t="s">
        <v>57</v>
      </c>
      <c r="B970">
        <v>2058</v>
      </c>
      <c r="J970">
        <v>0.68969775064591998</v>
      </c>
      <c r="R970">
        <v>16.522874275418001</v>
      </c>
      <c r="S970">
        <v>0.23843959911561999</v>
      </c>
      <c r="U970">
        <v>0</v>
      </c>
      <c r="V970">
        <v>-6.5336741083725003E-2</v>
      </c>
      <c r="AC970">
        <v>0</v>
      </c>
    </row>
    <row r="971" spans="1:29" hidden="1" x14ac:dyDescent="0.3">
      <c r="A971" t="s">
        <v>57</v>
      </c>
      <c r="B971">
        <v>2059</v>
      </c>
      <c r="J971">
        <v>0.83272954781611996</v>
      </c>
      <c r="R971">
        <v>16.473660682165999</v>
      </c>
      <c r="S971">
        <v>0.23578869831474</v>
      </c>
      <c r="U971">
        <v>0</v>
      </c>
      <c r="V971">
        <v>-6.7224492615257994E-2</v>
      </c>
      <c r="AC971">
        <v>0</v>
      </c>
    </row>
    <row r="972" spans="1:29" hidden="1" x14ac:dyDescent="0.3">
      <c r="A972" t="s">
        <v>57</v>
      </c>
      <c r="B972">
        <v>2060</v>
      </c>
      <c r="J972">
        <v>0.94747727235011003</v>
      </c>
      <c r="R972">
        <v>16.388830478940001</v>
      </c>
      <c r="S972">
        <v>0.23227359240327999</v>
      </c>
      <c r="U972">
        <v>0</v>
      </c>
      <c r="V972">
        <v>-6.9112244146790999E-2</v>
      </c>
      <c r="AC972">
        <v>0</v>
      </c>
    </row>
    <row r="973" spans="1:29" hidden="1" x14ac:dyDescent="0.3">
      <c r="A973" t="s">
        <v>57</v>
      </c>
      <c r="B973">
        <v>2061</v>
      </c>
      <c r="J973">
        <v>1.0492637190962999</v>
      </c>
      <c r="R973">
        <v>16.285428941970999</v>
      </c>
      <c r="S973">
        <v>0.22843721029495001</v>
      </c>
      <c r="U973">
        <v>0</v>
      </c>
      <c r="V973">
        <v>-7.0999995678325004E-2</v>
      </c>
      <c r="AC973">
        <v>0</v>
      </c>
    </row>
    <row r="974" spans="1:29" hidden="1" x14ac:dyDescent="0.3">
      <c r="A974" t="s">
        <v>57</v>
      </c>
      <c r="B974">
        <v>2062</v>
      </c>
      <c r="J974">
        <v>1.1143642881539999</v>
      </c>
      <c r="R974">
        <v>16.169522741453999</v>
      </c>
      <c r="S974">
        <v>0.22461392183571</v>
      </c>
      <c r="U974">
        <v>0</v>
      </c>
      <c r="V974">
        <v>-7.2887747209857995E-2</v>
      </c>
      <c r="AC974">
        <v>0</v>
      </c>
    </row>
    <row r="975" spans="1:29" hidden="1" x14ac:dyDescent="0.3">
      <c r="A975" t="s">
        <v>57</v>
      </c>
      <c r="B975">
        <v>2063</v>
      </c>
      <c r="J975">
        <v>1.1433887286185</v>
      </c>
      <c r="R975">
        <v>16.051535673170001</v>
      </c>
      <c r="S975">
        <v>0.22099853463214</v>
      </c>
      <c r="U975">
        <v>0</v>
      </c>
      <c r="V975">
        <v>-7.4775498741391E-2</v>
      </c>
      <c r="AC975">
        <v>0</v>
      </c>
    </row>
    <row r="976" spans="1:29" hidden="1" x14ac:dyDescent="0.3">
      <c r="A976" t="s">
        <v>57</v>
      </c>
      <c r="B976">
        <v>2064</v>
      </c>
      <c r="J976">
        <v>1.1419000214979</v>
      </c>
      <c r="R976">
        <v>15.938290964563</v>
      </c>
      <c r="S976">
        <v>0.21791936286919</v>
      </c>
      <c r="U976">
        <v>0</v>
      </c>
      <c r="V976">
        <v>-7.6663250272924005E-2</v>
      </c>
      <c r="AC976">
        <v>0</v>
      </c>
    </row>
    <row r="977" spans="1:38" hidden="1" x14ac:dyDescent="0.3">
      <c r="A977" t="s">
        <v>57</v>
      </c>
      <c r="B977">
        <v>2065</v>
      </c>
      <c r="J977">
        <v>1.1284870416038</v>
      </c>
      <c r="R977">
        <v>15.831528823239999</v>
      </c>
      <c r="S977">
        <v>0.21524552762641999</v>
      </c>
      <c r="U977">
        <v>0</v>
      </c>
      <c r="V977">
        <v>-7.8551001804456996E-2</v>
      </c>
      <c r="AC977">
        <v>0</v>
      </c>
    </row>
    <row r="978" spans="1:38" hidden="1" x14ac:dyDescent="0.3">
      <c r="A978" t="s">
        <v>57</v>
      </c>
      <c r="B978">
        <v>2066</v>
      </c>
      <c r="J978">
        <v>1.1279950236192</v>
      </c>
      <c r="R978">
        <v>15.722833876136001</v>
      </c>
      <c r="S978">
        <v>0.21274787876185999</v>
      </c>
      <c r="U978">
        <v>0</v>
      </c>
      <c r="V978">
        <v>-8.0438753335991001E-2</v>
      </c>
      <c r="AC978">
        <v>0</v>
      </c>
    </row>
    <row r="979" spans="1:38" hidden="1" x14ac:dyDescent="0.3">
      <c r="A979" t="s">
        <v>57</v>
      </c>
      <c r="B979">
        <v>2067</v>
      </c>
      <c r="J979">
        <v>1.1093025441877999</v>
      </c>
      <c r="R979">
        <v>15.618232986164999</v>
      </c>
      <c r="S979">
        <v>0.21050227373609001</v>
      </c>
      <c r="U979">
        <v>0</v>
      </c>
      <c r="V979">
        <v>-8.2326504867524006E-2</v>
      </c>
      <c r="AC979">
        <v>0</v>
      </c>
    </row>
    <row r="980" spans="1:38" hidden="1" x14ac:dyDescent="0.3">
      <c r="A980" t="s">
        <v>57</v>
      </c>
      <c r="B980">
        <v>2068</v>
      </c>
      <c r="J980">
        <v>1.0642339050820999</v>
      </c>
      <c r="R980">
        <v>15.516544389734999</v>
      </c>
      <c r="S980">
        <v>0.20855484469572999</v>
      </c>
      <c r="U980">
        <v>0</v>
      </c>
      <c r="V980">
        <v>-8.4214256399056997E-2</v>
      </c>
      <c r="AC980">
        <v>0</v>
      </c>
    </row>
    <row r="981" spans="1:38" hidden="1" x14ac:dyDescent="0.3">
      <c r="A981" t="s">
        <v>57</v>
      </c>
      <c r="B981">
        <v>2069</v>
      </c>
      <c r="J981">
        <v>1.0011132098902999</v>
      </c>
      <c r="R981">
        <v>15.428611866937</v>
      </c>
      <c r="S981">
        <v>0.20692929224236001</v>
      </c>
      <c r="U981">
        <v>0</v>
      </c>
      <c r="V981">
        <v>-8.6102007930590002E-2</v>
      </c>
      <c r="AC981">
        <v>0</v>
      </c>
    </row>
    <row r="982" spans="1:38" hidden="1" x14ac:dyDescent="0.3">
      <c r="A982" t="s">
        <v>57</v>
      </c>
      <c r="B982">
        <v>2070</v>
      </c>
      <c r="J982">
        <v>0.90917587440654002</v>
      </c>
      <c r="R982">
        <v>15.354340562399001</v>
      </c>
      <c r="S982">
        <v>0.20584108854871</v>
      </c>
      <c r="U982">
        <v>0</v>
      </c>
      <c r="V982">
        <v>-8.7989759462122993E-2</v>
      </c>
      <c r="AC982">
        <v>0</v>
      </c>
    </row>
    <row r="983" spans="1:38" hidden="1" x14ac:dyDescent="0.3">
      <c r="A983" t="s">
        <v>57</v>
      </c>
      <c r="B983">
        <v>2071</v>
      </c>
      <c r="V983">
        <v>-8.9877510993656998E-2</v>
      </c>
    </row>
    <row r="984" spans="1:38" hidden="1" x14ac:dyDescent="0.3">
      <c r="A984" t="s">
        <v>58</v>
      </c>
      <c r="B984">
        <v>0</v>
      </c>
      <c r="AD984">
        <v>5.5123140041799003E-2</v>
      </c>
      <c r="AE984">
        <v>3.9487978610130002E-2</v>
      </c>
      <c r="AF984">
        <v>3.9487978610130002E-2</v>
      </c>
      <c r="AG984">
        <v>0</v>
      </c>
      <c r="AH984">
        <v>1</v>
      </c>
      <c r="AI984">
        <v>3.1688652631579002</v>
      </c>
      <c r="AJ984">
        <v>4.1230789473684002</v>
      </c>
      <c r="AK984">
        <v>2.1578473684211001</v>
      </c>
      <c r="AL984">
        <v>0.47899999999999998</v>
      </c>
    </row>
    <row r="985" spans="1:38" hidden="1" x14ac:dyDescent="0.3">
      <c r="A985" t="s">
        <v>58</v>
      </c>
      <c r="B985">
        <v>2024</v>
      </c>
      <c r="C985">
        <v>10.65</v>
      </c>
      <c r="D985">
        <v>47.387500000000003</v>
      </c>
      <c r="E985">
        <v>22.470859999999998</v>
      </c>
      <c r="F985">
        <v>9.3932436800679007</v>
      </c>
      <c r="G985">
        <v>19.208180909298999</v>
      </c>
      <c r="H985">
        <v>5.968835537885</v>
      </c>
      <c r="I985">
        <v>19.223408424314002</v>
      </c>
      <c r="J985">
        <v>5.2571693415078</v>
      </c>
      <c r="K985">
        <v>3.2315238169309</v>
      </c>
      <c r="L985">
        <v>2.9323319626384001</v>
      </c>
      <c r="M985">
        <v>-2.4876664000000002</v>
      </c>
      <c r="N985">
        <v>-2.4497</v>
      </c>
      <c r="O985">
        <v>-3.6727568000000002</v>
      </c>
      <c r="P985">
        <v>-8.0000000000000002E-3</v>
      </c>
      <c r="Q985">
        <v>37.128977200000001</v>
      </c>
      <c r="R985">
        <v>16.665516197694</v>
      </c>
      <c r="U985">
        <v>0</v>
      </c>
      <c r="V985">
        <v>0</v>
      </c>
      <c r="W985">
        <v>2.7088679</v>
      </c>
      <c r="X985">
        <v>3.1659999999999999</v>
      </c>
      <c r="Y985">
        <v>3.3716666666666999</v>
      </c>
      <c r="Z985">
        <v>1</v>
      </c>
      <c r="AA985">
        <v>1.0823804690000001</v>
      </c>
    </row>
    <row r="986" spans="1:38" hidden="1" x14ac:dyDescent="0.3">
      <c r="A986" t="s">
        <v>58</v>
      </c>
      <c r="B986">
        <v>2025</v>
      </c>
      <c r="C986">
        <v>11.41</v>
      </c>
      <c r="D986">
        <v>47.582599999999999</v>
      </c>
      <c r="E986">
        <v>23.987410000000001</v>
      </c>
      <c r="F986">
        <v>6.7489628790353002</v>
      </c>
      <c r="G986">
        <v>20.001048607179001</v>
      </c>
      <c r="H986">
        <v>4.1277604663555003</v>
      </c>
      <c r="I986">
        <v>20.108769709065999</v>
      </c>
      <c r="J986">
        <v>4.6056415449849997</v>
      </c>
      <c r="K986">
        <v>2.5172857010743002</v>
      </c>
      <c r="L986">
        <v>2.4767093808285998</v>
      </c>
      <c r="M986">
        <v>-1.9443545</v>
      </c>
      <c r="N986">
        <v>-1.6878</v>
      </c>
      <c r="O986">
        <v>-3.2419199999999999</v>
      </c>
      <c r="P986">
        <v>-1.2E-2</v>
      </c>
      <c r="Q986">
        <v>35.031988400000003</v>
      </c>
      <c r="R986">
        <v>16.600959927201998</v>
      </c>
      <c r="U986">
        <v>0</v>
      </c>
      <c r="V986">
        <v>-1.6805231571198E-3</v>
      </c>
      <c r="W986">
        <v>2.9229991000000002</v>
      </c>
      <c r="X986">
        <v>2.7810000000000001</v>
      </c>
      <c r="Y986">
        <v>3.3879999999999999</v>
      </c>
      <c r="Z986">
        <v>1</v>
      </c>
      <c r="AA986">
        <v>1.113519535</v>
      </c>
      <c r="AC986">
        <v>0.37736189999999997</v>
      </c>
    </row>
    <row r="987" spans="1:38" hidden="1" x14ac:dyDescent="0.3">
      <c r="A987" t="s">
        <v>58</v>
      </c>
      <c r="B987">
        <v>2026</v>
      </c>
      <c r="C987">
        <v>12.07</v>
      </c>
      <c r="D987">
        <v>47.327399999999997</v>
      </c>
      <c r="E987">
        <v>25.493649999999999</v>
      </c>
      <c r="F987">
        <v>6.2792940129843</v>
      </c>
      <c r="G987">
        <v>20.807938126492001</v>
      </c>
      <c r="H987">
        <v>4.0342360801192001</v>
      </c>
      <c r="I987">
        <v>21.023423338415</v>
      </c>
      <c r="J987">
        <v>4.5485310269183001</v>
      </c>
      <c r="K987">
        <v>2.1580091538774</v>
      </c>
      <c r="L987">
        <v>2.0119566334671002</v>
      </c>
      <c r="M987">
        <v>-1.4891843</v>
      </c>
      <c r="N987">
        <v>-0.99819999999999998</v>
      </c>
      <c r="O987">
        <v>-2.8344242999999998</v>
      </c>
      <c r="P987">
        <v>-7.0999999999999994E-2</v>
      </c>
      <c r="Q987">
        <v>34.6771198</v>
      </c>
      <c r="R987">
        <v>16.335183554330001</v>
      </c>
      <c r="U987">
        <v>0</v>
      </c>
      <c r="V987">
        <v>-3.3610463142394998E-3</v>
      </c>
      <c r="W987">
        <v>3.0046962000000002</v>
      </c>
      <c r="Z987">
        <v>1</v>
      </c>
      <c r="AA987">
        <v>1.1346799999999999</v>
      </c>
      <c r="AC987">
        <v>0.86610960000000004</v>
      </c>
    </row>
    <row r="988" spans="1:38" hidden="1" x14ac:dyDescent="0.3">
      <c r="A988" t="s">
        <v>58</v>
      </c>
      <c r="B988">
        <v>2027</v>
      </c>
      <c r="G988">
        <v>21.97888758769</v>
      </c>
      <c r="H988">
        <v>5.6274170659278999</v>
      </c>
      <c r="I988">
        <v>22.130106559822</v>
      </c>
      <c r="J988">
        <v>5.2640485975746003</v>
      </c>
      <c r="R988">
        <v>16.238819019499001</v>
      </c>
      <c r="U988">
        <v>0</v>
      </c>
      <c r="V988">
        <v>-5.0415694713592998E-3</v>
      </c>
      <c r="AC988">
        <v>0.78682160000000001</v>
      </c>
    </row>
    <row r="989" spans="1:38" hidden="1" x14ac:dyDescent="0.3">
      <c r="A989" t="s">
        <v>58</v>
      </c>
      <c r="B989">
        <v>2028</v>
      </c>
      <c r="G989">
        <v>23.215621898352001</v>
      </c>
      <c r="H989">
        <v>5.6269194959388003</v>
      </c>
      <c r="I989">
        <v>23.295212071483999</v>
      </c>
      <c r="J989">
        <v>5.2647984704114998</v>
      </c>
      <c r="R989">
        <v>16.156204445345999</v>
      </c>
      <c r="U989">
        <v>0</v>
      </c>
      <c r="V989">
        <v>-6.7220926284789996E-3</v>
      </c>
      <c r="AC989">
        <v>1.0474695999999999</v>
      </c>
    </row>
    <row r="990" spans="1:38" hidden="1" x14ac:dyDescent="0.3">
      <c r="A990" t="s">
        <v>58</v>
      </c>
      <c r="B990">
        <v>2029</v>
      </c>
      <c r="G990">
        <v>24.517078881528001</v>
      </c>
      <c r="H990">
        <v>5.6059535638269002</v>
      </c>
      <c r="I990">
        <v>24.517078881528001</v>
      </c>
      <c r="J990">
        <v>5.2451413891136998</v>
      </c>
      <c r="R990">
        <v>16.094358749201</v>
      </c>
      <c r="U990">
        <v>0</v>
      </c>
      <c r="V990">
        <v>-8.4026157855988E-3</v>
      </c>
      <c r="AC990">
        <v>0.84841429999999995</v>
      </c>
    </row>
    <row r="991" spans="1:38" hidden="1" x14ac:dyDescent="0.3">
      <c r="A991" t="s">
        <v>58</v>
      </c>
      <c r="B991">
        <v>2030</v>
      </c>
      <c r="J991">
        <v>4.9384538740392001</v>
      </c>
      <c r="R991">
        <v>16.035064011507</v>
      </c>
      <c r="U991">
        <v>0</v>
      </c>
      <c r="V991">
        <v>-1.0083138942719E-2</v>
      </c>
      <c r="AC991">
        <v>0.82004100000000002</v>
      </c>
    </row>
    <row r="992" spans="1:38" hidden="1" x14ac:dyDescent="0.3">
      <c r="A992" t="s">
        <v>58</v>
      </c>
      <c r="B992">
        <v>2031</v>
      </c>
      <c r="J992">
        <v>4.6317663589646996</v>
      </c>
      <c r="R992">
        <v>15.982546641745</v>
      </c>
      <c r="U992">
        <v>0</v>
      </c>
      <c r="V992">
        <v>-1.1763662099838E-2</v>
      </c>
      <c r="AC992">
        <v>0.62819139999999996</v>
      </c>
    </row>
    <row r="993" spans="1:29" hidden="1" x14ac:dyDescent="0.3">
      <c r="A993" t="s">
        <v>58</v>
      </c>
      <c r="B993">
        <v>2032</v>
      </c>
      <c r="J993">
        <v>4.3250788438903003</v>
      </c>
      <c r="R993">
        <v>15.940760647143</v>
      </c>
      <c r="U993">
        <v>0</v>
      </c>
      <c r="V993">
        <v>-1.3444185256957999E-2</v>
      </c>
      <c r="AC993">
        <v>0.69352689999999995</v>
      </c>
    </row>
    <row r="994" spans="1:29" hidden="1" x14ac:dyDescent="0.3">
      <c r="A994" t="s">
        <v>58</v>
      </c>
      <c r="B994">
        <v>2033</v>
      </c>
      <c r="J994">
        <v>4.0183913288157997</v>
      </c>
      <c r="R994">
        <v>15.916570310837001</v>
      </c>
      <c r="U994">
        <v>0</v>
      </c>
      <c r="V994">
        <v>-1.5124708414078E-2</v>
      </c>
      <c r="AC994">
        <v>0.61274759999999995</v>
      </c>
    </row>
    <row r="995" spans="1:29" hidden="1" x14ac:dyDescent="0.3">
      <c r="A995" t="s">
        <v>58</v>
      </c>
      <c r="B995">
        <v>2034</v>
      </c>
      <c r="J995">
        <v>3.7117038137413001</v>
      </c>
      <c r="R995">
        <v>15.907863839398001</v>
      </c>
      <c r="U995">
        <v>0</v>
      </c>
      <c r="V995">
        <v>-1.6805231571197999E-2</v>
      </c>
      <c r="AC995">
        <v>0.74791189999999996</v>
      </c>
    </row>
    <row r="996" spans="1:29" hidden="1" x14ac:dyDescent="0.3">
      <c r="A996" t="s">
        <v>58</v>
      </c>
      <c r="B996">
        <v>2035</v>
      </c>
      <c r="J996">
        <v>3.4050162986668</v>
      </c>
      <c r="R996">
        <v>15.914760458703</v>
      </c>
      <c r="U996">
        <v>0</v>
      </c>
      <c r="V996">
        <v>-1.8485754728317001E-2</v>
      </c>
      <c r="AC996">
        <v>0.5029496</v>
      </c>
    </row>
    <row r="997" spans="1:29" hidden="1" x14ac:dyDescent="0.3">
      <c r="A997" t="s">
        <v>58</v>
      </c>
      <c r="B997">
        <v>2036</v>
      </c>
      <c r="J997">
        <v>3.0983287835923998</v>
      </c>
      <c r="R997">
        <v>15.935982412864</v>
      </c>
      <c r="U997">
        <v>0</v>
      </c>
      <c r="V997">
        <v>-2.0166277885437001E-2</v>
      </c>
      <c r="AC997">
        <v>0.22173309999999999</v>
      </c>
    </row>
    <row r="998" spans="1:29" hidden="1" x14ac:dyDescent="0.3">
      <c r="A998" t="s">
        <v>58</v>
      </c>
      <c r="B998">
        <v>2037</v>
      </c>
      <c r="J998">
        <v>2.9864237880156002</v>
      </c>
      <c r="R998">
        <v>15.966960467641</v>
      </c>
      <c r="U998">
        <v>0</v>
      </c>
      <c r="V998">
        <v>-2.1846801042556999E-2</v>
      </c>
      <c r="AC998">
        <v>8.5900000000000004E-2</v>
      </c>
    </row>
    <row r="999" spans="1:29" hidden="1" x14ac:dyDescent="0.3">
      <c r="A999" t="s">
        <v>58</v>
      </c>
      <c r="B999">
        <v>2038</v>
      </c>
      <c r="J999">
        <v>2.8457972811227998</v>
      </c>
      <c r="R999">
        <v>16.005533825341999</v>
      </c>
      <c r="U999">
        <v>0</v>
      </c>
      <c r="V999">
        <v>-2.3527324199676999E-2</v>
      </c>
      <c r="AC999">
        <v>9.1630699999999995E-2</v>
      </c>
    </row>
    <row r="1000" spans="1:29" hidden="1" x14ac:dyDescent="0.3">
      <c r="A1000" t="s">
        <v>58</v>
      </c>
      <c r="B1000">
        <v>2039</v>
      </c>
      <c r="J1000">
        <v>2.6784674771546002</v>
      </c>
      <c r="R1000">
        <v>16.059813329343999</v>
      </c>
      <c r="U1000">
        <v>0</v>
      </c>
      <c r="V1000">
        <v>-2.5207847356796001E-2</v>
      </c>
      <c r="AC1000">
        <v>0.1591021</v>
      </c>
    </row>
    <row r="1001" spans="1:29" hidden="1" x14ac:dyDescent="0.3">
      <c r="A1001" t="s">
        <v>58</v>
      </c>
      <c r="B1001">
        <v>2040</v>
      </c>
      <c r="J1001">
        <v>2.5182254266091002</v>
      </c>
      <c r="R1001">
        <v>16.132799745429999</v>
      </c>
      <c r="U1001">
        <v>0</v>
      </c>
      <c r="V1001">
        <v>-2.6888370513915998E-2</v>
      </c>
      <c r="AC1001">
        <v>0.16227610000000001</v>
      </c>
    </row>
    <row r="1002" spans="1:29" hidden="1" x14ac:dyDescent="0.3">
      <c r="A1002" t="s">
        <v>58</v>
      </c>
      <c r="B1002">
        <v>2041</v>
      </c>
      <c r="J1002">
        <v>2.3694365352652</v>
      </c>
      <c r="R1002">
        <v>16.223831077380002</v>
      </c>
      <c r="U1002">
        <v>0</v>
      </c>
      <c r="V1002">
        <v>-2.8568893671035999E-2</v>
      </c>
      <c r="AC1002">
        <v>0.1536698</v>
      </c>
    </row>
    <row r="1003" spans="1:29" hidden="1" x14ac:dyDescent="0.3">
      <c r="A1003" t="s">
        <v>58</v>
      </c>
      <c r="B1003">
        <v>2042</v>
      </c>
      <c r="J1003">
        <v>2.2252288251208001</v>
      </c>
      <c r="R1003">
        <v>16.330309691425001</v>
      </c>
      <c r="U1003">
        <v>0</v>
      </c>
      <c r="V1003">
        <v>-3.0249416828156E-2</v>
      </c>
      <c r="AC1003">
        <v>0</v>
      </c>
    </row>
    <row r="1004" spans="1:29" hidden="1" x14ac:dyDescent="0.3">
      <c r="A1004" t="s">
        <v>58</v>
      </c>
      <c r="B1004">
        <v>2043</v>
      </c>
      <c r="J1004">
        <v>2.1052597119151999</v>
      </c>
      <c r="R1004">
        <v>16.448240747783</v>
      </c>
      <c r="U1004">
        <v>0</v>
      </c>
      <c r="V1004">
        <v>-3.1929939985274998E-2</v>
      </c>
      <c r="AC1004">
        <v>0.10575229999999999</v>
      </c>
    </row>
    <row r="1005" spans="1:29" hidden="1" x14ac:dyDescent="0.3">
      <c r="A1005" t="s">
        <v>58</v>
      </c>
      <c r="B1005">
        <v>2044</v>
      </c>
      <c r="J1005">
        <v>1.9854734649582999</v>
      </c>
      <c r="R1005">
        <v>16.584663376902</v>
      </c>
      <c r="U1005">
        <v>0</v>
      </c>
      <c r="V1005">
        <v>-3.3610463142394999E-2</v>
      </c>
      <c r="AC1005">
        <v>0</v>
      </c>
    </row>
    <row r="1006" spans="1:29" hidden="1" x14ac:dyDescent="0.3">
      <c r="A1006" t="s">
        <v>58</v>
      </c>
      <c r="B1006">
        <v>2045</v>
      </c>
      <c r="J1006">
        <v>1.8738193847296001</v>
      </c>
      <c r="R1006">
        <v>16.734059380272999</v>
      </c>
      <c r="U1006">
        <v>0</v>
      </c>
      <c r="V1006">
        <v>-3.5290986299514999E-2</v>
      </c>
      <c r="AC1006">
        <v>0.1537</v>
      </c>
    </row>
    <row r="1007" spans="1:29" hidden="1" x14ac:dyDescent="0.3">
      <c r="A1007" t="s">
        <v>58</v>
      </c>
      <c r="B1007">
        <v>2046</v>
      </c>
      <c r="J1007">
        <v>1.7492680742897999</v>
      </c>
      <c r="R1007">
        <v>16.901526703026001</v>
      </c>
      <c r="U1007">
        <v>0</v>
      </c>
      <c r="V1007">
        <v>-3.6971509456635E-2</v>
      </c>
      <c r="AC1007">
        <v>0.14580000000000001</v>
      </c>
    </row>
    <row r="1008" spans="1:29" hidden="1" x14ac:dyDescent="0.3">
      <c r="A1008" t="s">
        <v>58</v>
      </c>
      <c r="B1008">
        <v>2047</v>
      </c>
      <c r="J1008">
        <v>1.6313897702755</v>
      </c>
      <c r="R1008">
        <v>17.090764954297001</v>
      </c>
      <c r="U1008">
        <v>0</v>
      </c>
      <c r="V1008">
        <v>-3.8652032613754002E-2</v>
      </c>
      <c r="AC1008">
        <v>0.02</v>
      </c>
    </row>
    <row r="1009" spans="1:29" hidden="1" x14ac:dyDescent="0.3">
      <c r="A1009" t="s">
        <v>58</v>
      </c>
      <c r="B1009">
        <v>2048</v>
      </c>
      <c r="J1009">
        <v>1.514367800562</v>
      </c>
      <c r="R1009">
        <v>17.29864739189</v>
      </c>
      <c r="U1009">
        <v>0</v>
      </c>
      <c r="V1009">
        <v>-4.0332555770874003E-2</v>
      </c>
      <c r="AC1009">
        <v>0</v>
      </c>
    </row>
    <row r="1010" spans="1:29" hidden="1" x14ac:dyDescent="0.3">
      <c r="A1010" t="s">
        <v>58</v>
      </c>
      <c r="B1010">
        <v>2049</v>
      </c>
      <c r="J1010">
        <v>1.4110875807409</v>
      </c>
      <c r="R1010">
        <v>17.525374998823001</v>
      </c>
      <c r="U1010">
        <v>0</v>
      </c>
      <c r="V1010">
        <v>-4.2013078927994003E-2</v>
      </c>
      <c r="AC1010">
        <v>0</v>
      </c>
    </row>
    <row r="1011" spans="1:29" hidden="1" x14ac:dyDescent="0.3">
      <c r="A1011" t="s">
        <v>58</v>
      </c>
      <c r="B1011">
        <v>2050</v>
      </c>
      <c r="J1011">
        <v>1.3027735388196</v>
      </c>
      <c r="R1011">
        <v>17.778247612005</v>
      </c>
      <c r="U1011">
        <v>0</v>
      </c>
      <c r="V1011">
        <v>-4.3693602085113997E-2</v>
      </c>
      <c r="AC1011">
        <v>0</v>
      </c>
    </row>
    <row r="1012" spans="1:29" hidden="1" x14ac:dyDescent="0.3">
      <c r="A1012" t="s">
        <v>58</v>
      </c>
      <c r="B1012">
        <v>2051</v>
      </c>
      <c r="J1012">
        <v>1.1975483951282</v>
      </c>
      <c r="R1012">
        <v>18.056401293654002</v>
      </c>
      <c r="U1012">
        <v>0</v>
      </c>
      <c r="V1012">
        <v>-4.5374125242232999E-2</v>
      </c>
      <c r="AC1012">
        <v>0.25626470000000001</v>
      </c>
    </row>
    <row r="1013" spans="1:29" hidden="1" x14ac:dyDescent="0.3">
      <c r="A1013" t="s">
        <v>58</v>
      </c>
      <c r="B1013">
        <v>2052</v>
      </c>
      <c r="J1013">
        <v>1.0953932992519999</v>
      </c>
      <c r="R1013">
        <v>18.359116100324002</v>
      </c>
      <c r="U1013">
        <v>0</v>
      </c>
      <c r="V1013">
        <v>-4.7054648399353E-2</v>
      </c>
      <c r="AC1013">
        <v>6.9000000000000006E-2</v>
      </c>
    </row>
    <row r="1014" spans="1:29" hidden="1" x14ac:dyDescent="0.3">
      <c r="A1014" t="s">
        <v>58</v>
      </c>
      <c r="B1014">
        <v>2053</v>
      </c>
      <c r="J1014">
        <v>0.99924535852371998</v>
      </c>
      <c r="R1014">
        <v>18.698227792068</v>
      </c>
      <c r="U1014">
        <v>0</v>
      </c>
      <c r="V1014">
        <v>-4.8735171556473E-2</v>
      </c>
      <c r="AC1014">
        <v>0</v>
      </c>
    </row>
    <row r="1015" spans="1:29" hidden="1" x14ac:dyDescent="0.3">
      <c r="A1015" t="s">
        <v>58</v>
      </c>
      <c r="B1015">
        <v>2054</v>
      </c>
      <c r="J1015">
        <v>0.92510926774225999</v>
      </c>
      <c r="R1015">
        <v>19.063354327231998</v>
      </c>
      <c r="U1015">
        <v>0</v>
      </c>
      <c r="V1015">
        <v>-5.0415694713593001E-2</v>
      </c>
      <c r="AC1015">
        <v>0</v>
      </c>
    </row>
    <row r="1016" spans="1:29" hidden="1" x14ac:dyDescent="0.3">
      <c r="A1016" t="s">
        <v>58</v>
      </c>
      <c r="B1016">
        <v>2055</v>
      </c>
      <c r="J1016">
        <v>0.86263012120213001</v>
      </c>
      <c r="R1016">
        <v>19.447561983109001</v>
      </c>
      <c r="U1016">
        <v>0</v>
      </c>
      <c r="V1016">
        <v>-5.2096217870712003E-2</v>
      </c>
      <c r="AC1016">
        <v>0</v>
      </c>
    </row>
    <row r="1017" spans="1:29" hidden="1" x14ac:dyDescent="0.3">
      <c r="A1017" t="s">
        <v>58</v>
      </c>
      <c r="B1017">
        <v>2056</v>
      </c>
      <c r="J1017">
        <v>0.80547624878511004</v>
      </c>
      <c r="R1017">
        <v>19.857574282493999</v>
      </c>
      <c r="U1017">
        <v>0</v>
      </c>
      <c r="V1017">
        <v>-5.3776741027831997E-2</v>
      </c>
      <c r="AC1017">
        <v>0</v>
      </c>
    </row>
    <row r="1018" spans="1:29" hidden="1" x14ac:dyDescent="0.3">
      <c r="A1018" t="s">
        <v>58</v>
      </c>
      <c r="B1018">
        <v>2057</v>
      </c>
      <c r="J1018">
        <v>0.76693734435534999</v>
      </c>
      <c r="R1018">
        <v>20.28565689909</v>
      </c>
      <c r="U1018">
        <v>0</v>
      </c>
      <c r="V1018">
        <v>-5.5457264184951997E-2</v>
      </c>
      <c r="AC1018">
        <v>0</v>
      </c>
    </row>
    <row r="1019" spans="1:29" hidden="1" x14ac:dyDescent="0.3">
      <c r="A1019" t="s">
        <v>58</v>
      </c>
      <c r="B1019">
        <v>2058</v>
      </c>
      <c r="J1019">
        <v>0.74021252176622998</v>
      </c>
      <c r="R1019">
        <v>20.718096120596002</v>
      </c>
      <c r="U1019">
        <v>0</v>
      </c>
      <c r="V1019">
        <v>-5.7137787342071998E-2</v>
      </c>
      <c r="AC1019">
        <v>0</v>
      </c>
    </row>
    <row r="1020" spans="1:29" hidden="1" x14ac:dyDescent="0.3">
      <c r="A1020" t="s">
        <v>58</v>
      </c>
      <c r="B1020">
        <v>2059</v>
      </c>
      <c r="J1020">
        <v>0.72770948154176995</v>
      </c>
      <c r="R1020">
        <v>21.157713552927</v>
      </c>
      <c r="U1020">
        <v>0</v>
      </c>
      <c r="V1020">
        <v>-5.8818310499191E-2</v>
      </c>
      <c r="AC1020">
        <v>0</v>
      </c>
    </row>
    <row r="1021" spans="1:29" hidden="1" x14ac:dyDescent="0.3">
      <c r="A1021" t="s">
        <v>58</v>
      </c>
      <c r="B1021">
        <v>2060</v>
      </c>
      <c r="J1021">
        <v>0.71993831839918998</v>
      </c>
      <c r="R1021">
        <v>21.598449673112</v>
      </c>
      <c r="U1021">
        <v>0</v>
      </c>
      <c r="V1021">
        <v>-6.0498833656311E-2</v>
      </c>
      <c r="AC1021">
        <v>0</v>
      </c>
    </row>
    <row r="1022" spans="1:29" hidden="1" x14ac:dyDescent="0.3">
      <c r="A1022" t="s">
        <v>58</v>
      </c>
      <c r="B1022">
        <v>2061</v>
      </c>
      <c r="J1022">
        <v>0.72465084085325004</v>
      </c>
      <c r="R1022">
        <v>22.036172243698001</v>
      </c>
      <c r="U1022">
        <v>0</v>
      </c>
      <c r="V1022">
        <v>-6.2179356813431001E-2</v>
      </c>
      <c r="AC1022">
        <v>0</v>
      </c>
    </row>
    <row r="1023" spans="1:29" hidden="1" x14ac:dyDescent="0.3">
      <c r="A1023" t="s">
        <v>58</v>
      </c>
      <c r="B1023">
        <v>2062</v>
      </c>
      <c r="J1023">
        <v>0.73350481073120999</v>
      </c>
      <c r="R1023">
        <v>22.47120239297</v>
      </c>
      <c r="U1023">
        <v>0</v>
      </c>
      <c r="V1023">
        <v>-6.3859879970550995E-2</v>
      </c>
      <c r="AC1023">
        <v>0</v>
      </c>
    </row>
    <row r="1024" spans="1:29" hidden="1" x14ac:dyDescent="0.3">
      <c r="A1024" t="s">
        <v>58</v>
      </c>
      <c r="B1024">
        <v>2063</v>
      </c>
      <c r="J1024">
        <v>0.75151933452108</v>
      </c>
      <c r="R1024">
        <v>22.895974234684999</v>
      </c>
      <c r="U1024">
        <v>0</v>
      </c>
      <c r="V1024">
        <v>-6.5540403127669997E-2</v>
      </c>
      <c r="AC1024">
        <v>0</v>
      </c>
    </row>
    <row r="1025" spans="1:38" hidden="1" x14ac:dyDescent="0.3">
      <c r="A1025" t="s">
        <v>58</v>
      </c>
      <c r="B1025">
        <v>2064</v>
      </c>
      <c r="J1025">
        <v>0.76175110247236999</v>
      </c>
      <c r="R1025">
        <v>23.311682262910999</v>
      </c>
      <c r="U1025">
        <v>0</v>
      </c>
      <c r="V1025">
        <v>-6.7220926284789997E-2</v>
      </c>
      <c r="AC1025">
        <v>0</v>
      </c>
    </row>
    <row r="1026" spans="1:38" hidden="1" x14ac:dyDescent="0.3">
      <c r="A1026" t="s">
        <v>58</v>
      </c>
      <c r="B1026">
        <v>2065</v>
      </c>
      <c r="J1026">
        <v>0.77663752599144997</v>
      </c>
      <c r="R1026">
        <v>23.714405934117998</v>
      </c>
      <c r="U1026">
        <v>0</v>
      </c>
      <c r="V1026">
        <v>-6.8901449441909998E-2</v>
      </c>
      <c r="AC1026">
        <v>0</v>
      </c>
    </row>
    <row r="1027" spans="1:38" hidden="1" x14ac:dyDescent="0.3">
      <c r="A1027" t="s">
        <v>58</v>
      </c>
      <c r="B1027">
        <v>2066</v>
      </c>
      <c r="J1027">
        <v>0.78972719623353005</v>
      </c>
      <c r="R1027">
        <v>24.108811990385</v>
      </c>
      <c r="U1027">
        <v>0</v>
      </c>
      <c r="V1027">
        <v>-7.0581972599029999E-2</v>
      </c>
      <c r="AC1027">
        <v>0</v>
      </c>
    </row>
    <row r="1028" spans="1:38" hidden="1" x14ac:dyDescent="0.3">
      <c r="A1028" t="s">
        <v>58</v>
      </c>
      <c r="B1028">
        <v>2067</v>
      </c>
      <c r="J1028">
        <v>0.80074832564295995</v>
      </c>
      <c r="R1028">
        <v>24.487022922133001</v>
      </c>
      <c r="U1028">
        <v>0</v>
      </c>
      <c r="V1028">
        <v>-7.2262495756149001E-2</v>
      </c>
      <c r="AC1028">
        <v>0</v>
      </c>
    </row>
    <row r="1029" spans="1:38" hidden="1" x14ac:dyDescent="0.3">
      <c r="A1029" t="s">
        <v>58</v>
      </c>
      <c r="B1029">
        <v>2068</v>
      </c>
      <c r="J1029">
        <v>0.80878263551303997</v>
      </c>
      <c r="R1029">
        <v>24.859630262837999</v>
      </c>
      <c r="U1029">
        <v>0</v>
      </c>
      <c r="V1029">
        <v>-7.3943018913269001E-2</v>
      </c>
      <c r="AC1029">
        <v>0</v>
      </c>
    </row>
    <row r="1030" spans="1:38" hidden="1" x14ac:dyDescent="0.3">
      <c r="A1030" t="s">
        <v>58</v>
      </c>
      <c r="B1030">
        <v>2069</v>
      </c>
      <c r="J1030">
        <v>0.81220871881572998</v>
      </c>
      <c r="R1030">
        <v>25.220057217552998</v>
      </c>
      <c r="U1030">
        <v>0</v>
      </c>
      <c r="V1030">
        <v>-7.5623542070389002E-2</v>
      </c>
      <c r="AC1030">
        <v>0</v>
      </c>
    </row>
    <row r="1031" spans="1:38" hidden="1" x14ac:dyDescent="0.3">
      <c r="A1031" t="s">
        <v>58</v>
      </c>
      <c r="B1031">
        <v>2070</v>
      </c>
      <c r="J1031">
        <v>0.81157497013171997</v>
      </c>
      <c r="R1031">
        <v>25.568226648244998</v>
      </c>
      <c r="U1031">
        <v>0</v>
      </c>
      <c r="V1031">
        <v>-7.7304065227509003E-2</v>
      </c>
      <c r="AC1031">
        <v>0</v>
      </c>
    </row>
    <row r="1032" spans="1:38" hidden="1" x14ac:dyDescent="0.3">
      <c r="A1032" t="s">
        <v>58</v>
      </c>
      <c r="B1032">
        <v>2071</v>
      </c>
      <c r="V1032">
        <v>-7.8984588384628004E-2</v>
      </c>
    </row>
    <row r="1033" spans="1:38" x14ac:dyDescent="0.3">
      <c r="A1033" t="s">
        <v>59</v>
      </c>
      <c r="B1033">
        <v>0</v>
      </c>
      <c r="AD1033">
        <v>7.0698757247287997E-2</v>
      </c>
      <c r="AE1033">
        <v>5.2710461324025001E-2</v>
      </c>
      <c r="AF1033">
        <v>5.2710461324025001E-2</v>
      </c>
      <c r="AG1033">
        <v>0</v>
      </c>
      <c r="AH1033">
        <v>0.98442994926403005</v>
      </c>
      <c r="AI1033">
        <v>3.0116663157894998</v>
      </c>
      <c r="AJ1033">
        <v>3.4981736842104998</v>
      </c>
      <c r="AK1033">
        <v>2.1578473684211001</v>
      </c>
      <c r="AL1033">
        <v>0.60499999999999998</v>
      </c>
    </row>
    <row r="1034" spans="1:38" x14ac:dyDescent="0.3">
      <c r="A1034" t="s">
        <v>59</v>
      </c>
      <c r="B1034">
        <v>2024</v>
      </c>
      <c r="C1034">
        <v>491.6</v>
      </c>
      <c r="D1034">
        <v>43.345300000000002</v>
      </c>
      <c r="E1034">
        <v>1134.115</v>
      </c>
      <c r="F1034">
        <v>6.2304292154639001</v>
      </c>
      <c r="G1034">
        <v>920.77174984886005</v>
      </c>
      <c r="H1034">
        <v>0.97967484139788996</v>
      </c>
      <c r="I1034">
        <v>927.33784207627002</v>
      </c>
      <c r="J1034">
        <v>1.8927541103576999</v>
      </c>
      <c r="K1034">
        <v>5.1998131190138004</v>
      </c>
      <c r="L1034">
        <v>2.9323319626384001</v>
      </c>
      <c r="M1034">
        <v>-0.19248489999999999</v>
      </c>
      <c r="N1034">
        <v>0.2535</v>
      </c>
      <c r="O1034">
        <v>-0.88915149999999998</v>
      </c>
      <c r="P1034">
        <v>-0.73</v>
      </c>
      <c r="Q1034">
        <v>43.163083100000001</v>
      </c>
      <c r="R1034">
        <v>20.994495483036999</v>
      </c>
      <c r="S1034">
        <v>1.0790881579958</v>
      </c>
      <c r="U1034">
        <v>0</v>
      </c>
      <c r="V1034">
        <v>0</v>
      </c>
      <c r="W1034">
        <v>1.6384365999999999</v>
      </c>
      <c r="X1034">
        <v>3.4689999999999999</v>
      </c>
      <c r="Y1034">
        <v>2.6204999999999998</v>
      </c>
      <c r="Z1034">
        <v>1</v>
      </c>
      <c r="AA1034">
        <v>1.0823804690000001</v>
      </c>
    </row>
    <row r="1035" spans="1:38" x14ac:dyDescent="0.3">
      <c r="A1035" t="s">
        <v>59</v>
      </c>
      <c r="B1035">
        <v>2025</v>
      </c>
      <c r="C1035">
        <v>535.70000000000005</v>
      </c>
      <c r="D1035">
        <v>44.959299999999999</v>
      </c>
      <c r="E1035">
        <v>1191.5650000000001</v>
      </c>
      <c r="F1035">
        <v>5.0656238564871998</v>
      </c>
      <c r="G1035">
        <v>932.58065311995995</v>
      </c>
      <c r="H1035">
        <v>1.2825006059355999</v>
      </c>
      <c r="I1035">
        <v>942.09656705558996</v>
      </c>
      <c r="J1035">
        <v>1.5915154444985</v>
      </c>
      <c r="K1035">
        <v>3.7352362858108998</v>
      </c>
      <c r="L1035">
        <v>2.4767093808285998</v>
      </c>
      <c r="M1035">
        <v>-1.3730878</v>
      </c>
      <c r="N1035">
        <v>-0.78720000000000001</v>
      </c>
      <c r="O1035">
        <v>-2.1239360999999999</v>
      </c>
      <c r="P1035">
        <v>18.829999999999998</v>
      </c>
      <c r="Q1035">
        <v>43.522072700000002</v>
      </c>
      <c r="R1035">
        <v>20.993217720131</v>
      </c>
      <c r="S1035">
        <v>1.0840263990412999</v>
      </c>
      <c r="U1035">
        <v>0</v>
      </c>
      <c r="V1035">
        <v>-2.2126235067843999E-2</v>
      </c>
      <c r="W1035">
        <v>1.82</v>
      </c>
      <c r="X1035">
        <v>3.1160000000000001</v>
      </c>
      <c r="Y1035">
        <v>2.7612000000000001</v>
      </c>
      <c r="Z1035">
        <v>1</v>
      </c>
      <c r="AA1035">
        <v>1.113519535</v>
      </c>
      <c r="AC1035">
        <v>22.045135334000001</v>
      </c>
    </row>
    <row r="1036" spans="1:38" x14ac:dyDescent="0.3">
      <c r="A1036" t="s">
        <v>59</v>
      </c>
      <c r="B1036">
        <v>2026</v>
      </c>
      <c r="C1036">
        <v>591.5</v>
      </c>
      <c r="D1036">
        <v>47.766500000000001</v>
      </c>
      <c r="E1036">
        <v>1238.241</v>
      </c>
      <c r="F1036">
        <v>3.9172013276656998</v>
      </c>
      <c r="G1036">
        <v>944.18918037485003</v>
      </c>
      <c r="H1036">
        <v>1.2447746171933001</v>
      </c>
      <c r="I1036">
        <v>955.76006244352004</v>
      </c>
      <c r="J1036">
        <v>1.4503285401653001</v>
      </c>
      <c r="K1036">
        <v>2.6395569991676</v>
      </c>
      <c r="L1036">
        <v>2.0119566334671002</v>
      </c>
      <c r="M1036">
        <v>-1.9508946</v>
      </c>
      <c r="N1036">
        <v>-0.53200000000000003</v>
      </c>
      <c r="O1036">
        <v>-2.7418925000000001</v>
      </c>
      <c r="P1036">
        <v>21.79</v>
      </c>
      <c r="Q1036">
        <v>44.392934500000003</v>
      </c>
      <c r="R1036">
        <v>21.073098388327999</v>
      </c>
      <c r="S1036">
        <v>1.0941875454715</v>
      </c>
      <c r="U1036">
        <v>0</v>
      </c>
      <c r="V1036">
        <v>-4.0804341435431997E-2</v>
      </c>
      <c r="W1036">
        <v>1.8282805</v>
      </c>
      <c r="Z1036">
        <v>1</v>
      </c>
      <c r="AA1036">
        <v>1.1346799999999999</v>
      </c>
      <c r="AC1036">
        <v>32.925780631999999</v>
      </c>
    </row>
    <row r="1037" spans="1:38" x14ac:dyDescent="0.3">
      <c r="A1037" t="s">
        <v>59</v>
      </c>
      <c r="B1037">
        <v>2027</v>
      </c>
      <c r="G1037">
        <v>960.95880513095995</v>
      </c>
      <c r="H1037">
        <v>1.7760873673063</v>
      </c>
      <c r="I1037">
        <v>968.77779236191998</v>
      </c>
      <c r="J1037">
        <v>1.3620290729792</v>
      </c>
      <c r="R1037">
        <v>21.282357500067999</v>
      </c>
      <c r="S1037">
        <v>1.1041362847002001</v>
      </c>
      <c r="U1037">
        <v>0</v>
      </c>
      <c r="V1037">
        <v>-6.1727494001389001E-2</v>
      </c>
      <c r="AC1037">
        <v>35.721289486000003</v>
      </c>
    </row>
    <row r="1038" spans="1:38" x14ac:dyDescent="0.3">
      <c r="A1038" t="s">
        <v>59</v>
      </c>
      <c r="B1038">
        <v>2028</v>
      </c>
      <c r="G1038">
        <v>975.96941095474006</v>
      </c>
      <c r="H1038">
        <v>1.5620446728446</v>
      </c>
      <c r="I1038">
        <v>979.92388451966997</v>
      </c>
      <c r="J1038">
        <v>1.1505313443006999</v>
      </c>
      <c r="R1038">
        <v>21.352504584350999</v>
      </c>
      <c r="S1038">
        <v>1.111825866023</v>
      </c>
      <c r="U1038">
        <v>0</v>
      </c>
      <c r="V1038">
        <v>-8.7028607726096996E-2</v>
      </c>
      <c r="AC1038">
        <v>35.451678923000003</v>
      </c>
    </row>
    <row r="1039" spans="1:38" x14ac:dyDescent="0.3">
      <c r="A1039" t="s">
        <v>59</v>
      </c>
      <c r="B1039">
        <v>2029</v>
      </c>
      <c r="G1039">
        <v>991.12879170111</v>
      </c>
      <c r="H1039">
        <v>1.5532639216163999</v>
      </c>
      <c r="I1039">
        <v>991.12879170111</v>
      </c>
      <c r="J1039">
        <v>1.1434466858548999</v>
      </c>
      <c r="L1039" s="3">
        <f>(G1034-I1034)/I1034*100</f>
        <v>-0.70805826414985562</v>
      </c>
      <c r="M1039" s="3">
        <v>0.60499999999999998</v>
      </c>
      <c r="N1039" s="3">
        <f>M1034-L1039*$M$1039</f>
        <v>0.23589034981066268</v>
      </c>
      <c r="O1039" s="3">
        <f>(N1034-M1034)/L1039</f>
        <v>-0.6298703405933419</v>
      </c>
      <c r="R1039">
        <v>21.495799379478001</v>
      </c>
      <c r="S1039">
        <v>1.1223393232709999</v>
      </c>
      <c r="U1039">
        <v>0</v>
      </c>
      <c r="V1039">
        <v>-0.11137884110212</v>
      </c>
      <c r="AC1039">
        <v>34.386189295000001</v>
      </c>
    </row>
    <row r="1040" spans="1:38" x14ac:dyDescent="0.3">
      <c r="A1040" t="s">
        <v>59</v>
      </c>
      <c r="B1040">
        <v>2030</v>
      </c>
      <c r="J1040">
        <v>1.1329625649471999</v>
      </c>
      <c r="L1040" s="3">
        <f t="shared" ref="L1040:L1041" si="1">(G1035-I1035)/I1035*100</f>
        <v>-1.0100784004946395</v>
      </c>
      <c r="M1040" s="3"/>
      <c r="N1040" s="3">
        <f t="shared" ref="N1040:N1041" si="2">M1035-L1040*$M$1039</f>
        <v>-0.76199036770074313</v>
      </c>
      <c r="O1040" s="3">
        <f t="shared" ref="O1040:O1041" si="3">(N1035-M1035)/L1040</f>
        <v>-0.58004190537396738</v>
      </c>
      <c r="R1040">
        <v>21.663382289695001</v>
      </c>
      <c r="S1040">
        <v>1.1357460839547999</v>
      </c>
      <c r="U1040">
        <v>0</v>
      </c>
      <c r="V1040">
        <v>-0.13186389952898001</v>
      </c>
      <c r="AC1040">
        <v>30.526024083999999</v>
      </c>
    </row>
    <row r="1041" spans="1:29" x14ac:dyDescent="0.3">
      <c r="A1041" t="s">
        <v>59</v>
      </c>
      <c r="B1041">
        <v>2031</v>
      </c>
      <c r="J1041">
        <v>1.1224784440394999</v>
      </c>
      <c r="L1041" s="3">
        <f t="shared" si="1"/>
        <v>-1.2106471617037031</v>
      </c>
      <c r="M1041" s="3"/>
      <c r="N1041" s="3">
        <f t="shared" si="2"/>
        <v>-1.2184530671692597</v>
      </c>
      <c r="O1041" s="3">
        <f t="shared" si="3"/>
        <v>-1.1720133205476955</v>
      </c>
      <c r="R1041">
        <v>21.858406346525999</v>
      </c>
      <c r="S1041">
        <v>1.1499386859459</v>
      </c>
      <c r="U1041">
        <v>0</v>
      </c>
      <c r="V1041">
        <v>-0.14978111535311001</v>
      </c>
      <c r="AC1041">
        <v>16.382313247999999</v>
      </c>
    </row>
    <row r="1042" spans="1:29" x14ac:dyDescent="0.3">
      <c r="A1042" t="s">
        <v>59</v>
      </c>
      <c r="B1042">
        <v>2032</v>
      </c>
      <c r="J1042">
        <v>1.1119943231317</v>
      </c>
      <c r="R1042">
        <v>22.040228833057999</v>
      </c>
      <c r="S1042">
        <v>1.1570692536856</v>
      </c>
      <c r="U1042">
        <v>0</v>
      </c>
      <c r="V1042">
        <v>-0.17896528542042001</v>
      </c>
      <c r="AC1042">
        <v>15.215814999999999</v>
      </c>
    </row>
    <row r="1043" spans="1:29" x14ac:dyDescent="0.3">
      <c r="A1043" t="s">
        <v>59</v>
      </c>
      <c r="B1043">
        <v>2033</v>
      </c>
      <c r="J1043">
        <v>1.101510202224</v>
      </c>
      <c r="R1043">
        <v>22.214068767228</v>
      </c>
      <c r="S1043">
        <v>1.1634958556707999</v>
      </c>
      <c r="U1043">
        <v>0</v>
      </c>
      <c r="V1043">
        <v>-0.17754153907299</v>
      </c>
      <c r="AC1043">
        <v>29.917892999999999</v>
      </c>
    </row>
    <row r="1044" spans="1:29" x14ac:dyDescent="0.3">
      <c r="A1044" t="s">
        <v>59</v>
      </c>
      <c r="B1044">
        <v>2034</v>
      </c>
      <c r="J1044">
        <v>1.0910260813163</v>
      </c>
      <c r="R1044">
        <v>22.375486101505999</v>
      </c>
      <c r="S1044">
        <v>1.1693279590140999</v>
      </c>
      <c r="U1044">
        <v>0</v>
      </c>
      <c r="V1044">
        <v>-0.18110054731368999</v>
      </c>
      <c r="AC1044">
        <v>15.798545949999999</v>
      </c>
    </row>
    <row r="1045" spans="1:29" x14ac:dyDescent="0.3">
      <c r="A1045" t="s">
        <v>59</v>
      </c>
      <c r="B1045">
        <v>2035</v>
      </c>
      <c r="J1045">
        <v>1.0805419604086</v>
      </c>
      <c r="R1045">
        <v>22.474693649227</v>
      </c>
      <c r="S1045">
        <v>1.1737423687671</v>
      </c>
      <c r="U1045">
        <v>0</v>
      </c>
      <c r="V1045">
        <v>-0.20076045021415001</v>
      </c>
      <c r="AC1045">
        <v>6.9995070000000004</v>
      </c>
    </row>
    <row r="1046" spans="1:29" x14ac:dyDescent="0.3">
      <c r="A1046" t="s">
        <v>59</v>
      </c>
      <c r="B1046">
        <v>2036</v>
      </c>
      <c r="J1046">
        <v>1.0700578395008</v>
      </c>
      <c r="R1046">
        <v>22.632256082565</v>
      </c>
      <c r="S1046">
        <v>1.1783182724218</v>
      </c>
      <c r="U1046">
        <v>0</v>
      </c>
      <c r="V1046">
        <v>-0.22042035311460001</v>
      </c>
      <c r="AC1046">
        <v>1.4</v>
      </c>
    </row>
    <row r="1047" spans="1:29" x14ac:dyDescent="0.3">
      <c r="A1047" t="s">
        <v>59</v>
      </c>
      <c r="B1047">
        <v>2037</v>
      </c>
      <c r="J1047">
        <v>1.1798298805217</v>
      </c>
      <c r="R1047">
        <v>22.797597260962998</v>
      </c>
      <c r="S1047">
        <v>1.1822355811892</v>
      </c>
      <c r="U1047">
        <v>0</v>
      </c>
      <c r="V1047">
        <v>-0.24008025601506</v>
      </c>
      <c r="AC1047">
        <v>17.977426999999999</v>
      </c>
    </row>
    <row r="1048" spans="1:29" x14ac:dyDescent="0.3">
      <c r="A1048" t="s">
        <v>59</v>
      </c>
      <c r="B1048">
        <v>2038</v>
      </c>
      <c r="J1048">
        <v>1.2857678253844</v>
      </c>
      <c r="R1048">
        <v>22.893716294678999</v>
      </c>
      <c r="S1048">
        <v>1.1845437164285999</v>
      </c>
      <c r="U1048">
        <v>0</v>
      </c>
      <c r="V1048">
        <v>-0.25974015891551999</v>
      </c>
      <c r="AC1048">
        <v>14.239918747999999</v>
      </c>
    </row>
    <row r="1049" spans="1:29" x14ac:dyDescent="0.3">
      <c r="A1049" t="s">
        <v>59</v>
      </c>
      <c r="B1049">
        <v>2039</v>
      </c>
      <c r="J1049">
        <v>1.4476526375006999</v>
      </c>
      <c r="R1049">
        <v>23.020406186382001</v>
      </c>
      <c r="S1049">
        <v>1.1869224035293</v>
      </c>
      <c r="U1049">
        <v>0</v>
      </c>
      <c r="V1049">
        <v>-0.27940006181597998</v>
      </c>
      <c r="AC1049">
        <v>0.75</v>
      </c>
    </row>
    <row r="1050" spans="1:29" x14ac:dyDescent="0.3">
      <c r="A1050" t="s">
        <v>59</v>
      </c>
      <c r="B1050">
        <v>2040</v>
      </c>
      <c r="J1050">
        <v>1.6124211714711001</v>
      </c>
      <c r="R1050">
        <v>23.124420753462999</v>
      </c>
      <c r="S1050">
        <v>1.188304881813</v>
      </c>
      <c r="U1050">
        <v>0</v>
      </c>
      <c r="V1050">
        <v>-0.29905996471642998</v>
      </c>
      <c r="AC1050">
        <v>16.440370000000001</v>
      </c>
    </row>
    <row r="1051" spans="1:29" x14ac:dyDescent="0.3">
      <c r="A1051" t="s">
        <v>59</v>
      </c>
      <c r="B1051">
        <v>2041</v>
      </c>
      <c r="J1051">
        <v>1.6644220342613001</v>
      </c>
      <c r="R1051">
        <v>23.155802605973001</v>
      </c>
      <c r="S1051">
        <v>1.1880786466519999</v>
      </c>
      <c r="U1051">
        <v>0</v>
      </c>
      <c r="V1051">
        <v>-0.31871986761688997</v>
      </c>
      <c r="AC1051">
        <v>0.65</v>
      </c>
    </row>
    <row r="1052" spans="1:29" x14ac:dyDescent="0.3">
      <c r="A1052" t="s">
        <v>59</v>
      </c>
      <c r="B1052">
        <v>2042</v>
      </c>
      <c r="J1052">
        <v>1.7085066388201</v>
      </c>
      <c r="R1052">
        <v>23.216556569853999</v>
      </c>
      <c r="S1052">
        <v>1.1882456149284999</v>
      </c>
      <c r="U1052">
        <v>0</v>
      </c>
      <c r="V1052">
        <v>-0.33837977051735002</v>
      </c>
      <c r="AC1052">
        <v>20.539909999999999</v>
      </c>
    </row>
    <row r="1053" spans="1:29" x14ac:dyDescent="0.3">
      <c r="A1053" t="s">
        <v>59</v>
      </c>
      <c r="B1053">
        <v>2043</v>
      </c>
      <c r="J1053">
        <v>1.7137061466828001</v>
      </c>
      <c r="R1053">
        <v>23.271296117401999</v>
      </c>
      <c r="S1053">
        <v>1.188392194383</v>
      </c>
      <c r="U1053">
        <v>0</v>
      </c>
      <c r="V1053">
        <v>-0.35803967341781001</v>
      </c>
      <c r="AC1053">
        <v>0</v>
      </c>
    </row>
    <row r="1054" spans="1:29" x14ac:dyDescent="0.3">
      <c r="A1054" t="s">
        <v>59</v>
      </c>
      <c r="B1054">
        <v>2044</v>
      </c>
      <c r="J1054">
        <v>1.7081002273278001</v>
      </c>
      <c r="R1054">
        <v>23.315964485975002</v>
      </c>
      <c r="S1054">
        <v>1.1875754132187999</v>
      </c>
      <c r="U1054">
        <v>0</v>
      </c>
      <c r="V1054">
        <v>-0.37769957631826001</v>
      </c>
      <c r="AC1054">
        <v>9.7529529999999998</v>
      </c>
    </row>
    <row r="1055" spans="1:29" x14ac:dyDescent="0.3">
      <c r="A1055" t="s">
        <v>59</v>
      </c>
      <c r="B1055">
        <v>2045</v>
      </c>
      <c r="J1055">
        <v>1.70231418153</v>
      </c>
      <c r="R1055">
        <v>23.321981222066</v>
      </c>
      <c r="S1055">
        <v>1.1891121397597</v>
      </c>
      <c r="U1055">
        <v>0</v>
      </c>
      <c r="V1055">
        <v>-0.39735947921872</v>
      </c>
      <c r="AC1055">
        <v>0</v>
      </c>
    </row>
    <row r="1056" spans="1:29" x14ac:dyDescent="0.3">
      <c r="A1056" t="s">
        <v>59</v>
      </c>
      <c r="B1056">
        <v>2046</v>
      </c>
      <c r="J1056">
        <v>1.6897417868219</v>
      </c>
      <c r="R1056">
        <v>23.366189243389002</v>
      </c>
      <c r="S1056">
        <v>1.1904747369837001</v>
      </c>
      <c r="U1056">
        <v>0</v>
      </c>
      <c r="V1056">
        <v>-0.41701938211917999</v>
      </c>
      <c r="AC1056">
        <v>0</v>
      </c>
    </row>
    <row r="1057" spans="1:29" x14ac:dyDescent="0.3">
      <c r="A1057" t="s">
        <v>59</v>
      </c>
      <c r="B1057">
        <v>2047</v>
      </c>
      <c r="J1057">
        <v>1.6633434999926</v>
      </c>
      <c r="R1057">
        <v>23.409357529076999</v>
      </c>
      <c r="S1057">
        <v>1.1919088981223001</v>
      </c>
      <c r="U1057">
        <v>0</v>
      </c>
      <c r="V1057">
        <v>-0.43667928501963998</v>
      </c>
      <c r="AC1057">
        <v>22.505186999999999</v>
      </c>
    </row>
    <row r="1058" spans="1:29" x14ac:dyDescent="0.3">
      <c r="A1058" t="s">
        <v>59</v>
      </c>
      <c r="B1058">
        <v>2048</v>
      </c>
      <c r="J1058">
        <v>1.6319306901307</v>
      </c>
      <c r="R1058">
        <v>23.451149824971001</v>
      </c>
      <c r="S1058">
        <v>1.1934800971205</v>
      </c>
      <c r="U1058">
        <v>0</v>
      </c>
      <c r="V1058">
        <v>-0.45633918792008998</v>
      </c>
      <c r="AC1058">
        <v>0</v>
      </c>
    </row>
    <row r="1059" spans="1:29" x14ac:dyDescent="0.3">
      <c r="A1059" t="s">
        <v>59</v>
      </c>
      <c r="B1059">
        <v>2049</v>
      </c>
      <c r="J1059">
        <v>1.6081344101432</v>
      </c>
      <c r="R1059">
        <v>23.449579588504999</v>
      </c>
      <c r="S1059">
        <v>1.1946688629464</v>
      </c>
      <c r="U1059">
        <v>0</v>
      </c>
      <c r="V1059">
        <v>-0.47599909082054997</v>
      </c>
      <c r="AC1059">
        <v>0</v>
      </c>
    </row>
    <row r="1060" spans="1:29" x14ac:dyDescent="0.3">
      <c r="A1060" t="s">
        <v>59</v>
      </c>
      <c r="B1060">
        <v>2050</v>
      </c>
      <c r="J1060">
        <v>1.5821379717198001</v>
      </c>
      <c r="R1060">
        <v>23.488613712827998</v>
      </c>
      <c r="S1060">
        <v>1.1966611770011</v>
      </c>
      <c r="U1060">
        <v>0</v>
      </c>
      <c r="V1060">
        <v>-0.49565899372101002</v>
      </c>
      <c r="AC1060">
        <v>0</v>
      </c>
    </row>
    <row r="1061" spans="1:29" x14ac:dyDescent="0.3">
      <c r="A1061" t="s">
        <v>59</v>
      </c>
      <c r="B1061">
        <v>2051</v>
      </c>
      <c r="J1061">
        <v>1.5510778050575</v>
      </c>
      <c r="R1061">
        <v>23.520855273641001</v>
      </c>
      <c r="S1061">
        <v>1.1987665264363001</v>
      </c>
      <c r="U1061">
        <v>0</v>
      </c>
      <c r="V1061">
        <v>-0.51531889662147001</v>
      </c>
      <c r="AC1061">
        <v>0</v>
      </c>
    </row>
    <row r="1062" spans="1:29" x14ac:dyDescent="0.3">
      <c r="A1062" t="s">
        <v>59</v>
      </c>
      <c r="B1062">
        <v>2052</v>
      </c>
      <c r="J1062">
        <v>1.5178217431751</v>
      </c>
      <c r="R1062">
        <v>23.548372329580999</v>
      </c>
      <c r="S1062">
        <v>1.2011874605406001</v>
      </c>
      <c r="U1062">
        <v>0</v>
      </c>
      <c r="V1062">
        <v>-0.53497879952191996</v>
      </c>
      <c r="AC1062">
        <v>20.101724000000001</v>
      </c>
    </row>
    <row r="1063" spans="1:29" x14ac:dyDescent="0.3">
      <c r="A1063" t="s">
        <v>59</v>
      </c>
      <c r="B1063">
        <v>2053</v>
      </c>
      <c r="J1063">
        <v>1.4776765885114</v>
      </c>
      <c r="R1063">
        <v>23.529979942402001</v>
      </c>
      <c r="S1063">
        <v>1.2032568590482</v>
      </c>
      <c r="U1063">
        <v>0</v>
      </c>
      <c r="V1063">
        <v>-0.55463870242238</v>
      </c>
      <c r="AC1063">
        <v>0</v>
      </c>
    </row>
    <row r="1064" spans="1:29" x14ac:dyDescent="0.3">
      <c r="A1064" t="s">
        <v>59</v>
      </c>
      <c r="B1064">
        <v>2054</v>
      </c>
      <c r="J1064">
        <v>1.4396056461816999</v>
      </c>
      <c r="R1064">
        <v>23.563811842579</v>
      </c>
      <c r="S1064">
        <v>1.2063564851252</v>
      </c>
      <c r="U1064">
        <v>0</v>
      </c>
      <c r="V1064">
        <v>-0.57429860532284005</v>
      </c>
      <c r="AC1064">
        <v>15.878613</v>
      </c>
    </row>
    <row r="1065" spans="1:29" x14ac:dyDescent="0.3">
      <c r="A1065" t="s">
        <v>59</v>
      </c>
      <c r="B1065">
        <v>2055</v>
      </c>
      <c r="J1065">
        <v>1.4057056142824</v>
      </c>
      <c r="R1065">
        <v>23.601846107634</v>
      </c>
      <c r="S1065">
        <v>1.2097694438636999</v>
      </c>
      <c r="U1065">
        <v>0</v>
      </c>
      <c r="V1065">
        <v>-0.59395850822329999</v>
      </c>
      <c r="AC1065">
        <v>0</v>
      </c>
    </row>
    <row r="1066" spans="1:29" x14ac:dyDescent="0.3">
      <c r="A1066" t="s">
        <v>59</v>
      </c>
      <c r="B1066">
        <v>2056</v>
      </c>
      <c r="J1066">
        <v>1.3704139618660001</v>
      </c>
      <c r="R1066">
        <v>23.585378593000002</v>
      </c>
      <c r="S1066">
        <v>1.2125774700177001</v>
      </c>
      <c r="U1066">
        <v>0</v>
      </c>
      <c r="V1066">
        <v>-0.61361841112375004</v>
      </c>
      <c r="AC1066">
        <v>0</v>
      </c>
    </row>
    <row r="1067" spans="1:29" x14ac:dyDescent="0.3">
      <c r="A1067" t="s">
        <v>59</v>
      </c>
      <c r="B1067">
        <v>2057</v>
      </c>
      <c r="J1067">
        <v>1.3270589185466</v>
      </c>
      <c r="R1067">
        <v>23.616796399070001</v>
      </c>
      <c r="S1067">
        <v>1.2164954010141</v>
      </c>
      <c r="U1067">
        <v>0</v>
      </c>
      <c r="V1067">
        <v>-0.63327831402420998</v>
      </c>
      <c r="AC1067">
        <v>0</v>
      </c>
    </row>
    <row r="1068" spans="1:29" x14ac:dyDescent="0.3">
      <c r="A1068" t="s">
        <v>59</v>
      </c>
      <c r="B1068">
        <v>2058</v>
      </c>
      <c r="J1068">
        <v>1.2862620774194</v>
      </c>
      <c r="R1068">
        <v>23.652759259081002</v>
      </c>
      <c r="S1068">
        <v>1.2208601531858001</v>
      </c>
      <c r="U1068">
        <v>0</v>
      </c>
      <c r="V1068">
        <v>-0.65293821692467002</v>
      </c>
      <c r="AC1068">
        <v>0</v>
      </c>
    </row>
    <row r="1069" spans="1:29" x14ac:dyDescent="0.3">
      <c r="A1069" t="s">
        <v>59</v>
      </c>
      <c r="B1069">
        <v>2059</v>
      </c>
      <c r="J1069">
        <v>1.2451530166336</v>
      </c>
      <c r="R1069">
        <v>23.696772744411</v>
      </c>
      <c r="S1069">
        <v>1.2255062809993</v>
      </c>
      <c r="U1069">
        <v>0</v>
      </c>
      <c r="V1069">
        <v>-0.67259811982511997</v>
      </c>
      <c r="AC1069">
        <v>0</v>
      </c>
    </row>
    <row r="1070" spans="1:29" x14ac:dyDescent="0.3">
      <c r="A1070" t="s">
        <v>59</v>
      </c>
      <c r="B1070">
        <v>2060</v>
      </c>
      <c r="J1070">
        <v>1.2078739147602999</v>
      </c>
      <c r="R1070">
        <v>23.706603429230999</v>
      </c>
      <c r="S1070">
        <v>1.2330442920516</v>
      </c>
      <c r="U1070">
        <v>0</v>
      </c>
      <c r="V1070">
        <v>-0.69225802272558001</v>
      </c>
      <c r="AC1070">
        <v>0</v>
      </c>
    </row>
    <row r="1071" spans="1:29" x14ac:dyDescent="0.3">
      <c r="A1071" t="s">
        <v>59</v>
      </c>
      <c r="B1071">
        <v>2061</v>
      </c>
      <c r="J1071">
        <v>1.175058825072</v>
      </c>
      <c r="R1071">
        <v>23.761754363400001</v>
      </c>
      <c r="S1071">
        <v>1.2374530028813999</v>
      </c>
      <c r="U1071">
        <v>0</v>
      </c>
      <c r="V1071">
        <v>-0.71191792562603995</v>
      </c>
      <c r="AC1071">
        <v>0</v>
      </c>
    </row>
    <row r="1072" spans="1:29" x14ac:dyDescent="0.3">
      <c r="A1072" t="s">
        <v>59</v>
      </c>
      <c r="B1072">
        <v>2062</v>
      </c>
      <c r="J1072">
        <v>1.1445333093225001</v>
      </c>
      <c r="R1072">
        <v>23.817145943646999</v>
      </c>
      <c r="S1072">
        <v>1.2421181683631</v>
      </c>
      <c r="U1072">
        <v>0</v>
      </c>
      <c r="V1072">
        <v>-0.7315778285265</v>
      </c>
      <c r="AC1072">
        <v>0</v>
      </c>
    </row>
    <row r="1073" spans="1:37" x14ac:dyDescent="0.3">
      <c r="A1073" t="s">
        <v>59</v>
      </c>
      <c r="B1073">
        <v>2063</v>
      </c>
      <c r="J1073">
        <v>1.1210099397297</v>
      </c>
      <c r="R1073">
        <v>23.879753923507</v>
      </c>
      <c r="S1073">
        <v>1.2472108072210999</v>
      </c>
      <c r="U1073">
        <v>0</v>
      </c>
      <c r="V1073">
        <v>-0.75123773142695005</v>
      </c>
      <c r="AC1073">
        <v>0</v>
      </c>
    </row>
    <row r="1074" spans="1:37" x14ac:dyDescent="0.3">
      <c r="A1074" t="s">
        <v>59</v>
      </c>
      <c r="B1074">
        <v>2064</v>
      </c>
      <c r="J1074">
        <v>1.0982023788663999</v>
      </c>
      <c r="R1074">
        <v>23.892436067306999</v>
      </c>
      <c r="S1074">
        <v>1.2519229327293</v>
      </c>
      <c r="U1074">
        <v>0</v>
      </c>
      <c r="V1074">
        <v>-0.77089763432740999</v>
      </c>
      <c r="AC1074">
        <v>0</v>
      </c>
    </row>
    <row r="1075" spans="1:37" x14ac:dyDescent="0.3">
      <c r="A1075" t="s">
        <v>59</v>
      </c>
      <c r="B1075">
        <v>2065</v>
      </c>
      <c r="J1075">
        <v>1.0787662551110999</v>
      </c>
      <c r="R1075">
        <v>23.968962625402</v>
      </c>
      <c r="S1075">
        <v>1.2574514644535999</v>
      </c>
      <c r="U1075">
        <v>0</v>
      </c>
      <c r="V1075">
        <v>-0.79055753722787003</v>
      </c>
      <c r="AC1075">
        <v>1.0227683E-2</v>
      </c>
    </row>
    <row r="1076" spans="1:37" x14ac:dyDescent="0.3">
      <c r="A1076" t="s">
        <v>59</v>
      </c>
      <c r="B1076">
        <v>2066</v>
      </c>
      <c r="J1076">
        <v>1.0594522543010001</v>
      </c>
      <c r="R1076">
        <v>24.056531466284</v>
      </c>
      <c r="S1076">
        <v>1.2631877230366</v>
      </c>
      <c r="U1076">
        <v>0</v>
      </c>
      <c r="V1076">
        <v>-0.81021744012832997</v>
      </c>
      <c r="AC1076">
        <v>0</v>
      </c>
    </row>
    <row r="1077" spans="1:37" x14ac:dyDescent="0.3">
      <c r="A1077" t="s">
        <v>59</v>
      </c>
      <c r="B1077">
        <v>2067</v>
      </c>
      <c r="J1077">
        <v>1.0407634172641</v>
      </c>
      <c r="R1077">
        <v>24.161148277441999</v>
      </c>
      <c r="S1077">
        <v>1.2688581127915</v>
      </c>
      <c r="U1077">
        <v>0</v>
      </c>
      <c r="V1077">
        <v>-0.82987734302878002</v>
      </c>
      <c r="AC1077">
        <v>0</v>
      </c>
    </row>
    <row r="1078" spans="1:37" x14ac:dyDescent="0.3">
      <c r="A1078" t="s">
        <v>59</v>
      </c>
      <c r="B1078">
        <v>2068</v>
      </c>
      <c r="J1078">
        <v>1.0243355370067999</v>
      </c>
      <c r="R1078">
        <v>24.223198079410999</v>
      </c>
      <c r="S1078">
        <v>1.2741385352312</v>
      </c>
      <c r="U1078">
        <v>0</v>
      </c>
      <c r="V1078">
        <v>-0.84953724592923996</v>
      </c>
      <c r="AC1078">
        <v>0</v>
      </c>
    </row>
    <row r="1079" spans="1:37" x14ac:dyDescent="0.3">
      <c r="A1079" t="s">
        <v>59</v>
      </c>
      <c r="B1079">
        <v>2069</v>
      </c>
      <c r="J1079">
        <v>1.0132019641832</v>
      </c>
      <c r="R1079">
        <v>24.360952707529002</v>
      </c>
      <c r="S1079">
        <v>1.2801998677501001</v>
      </c>
      <c r="U1079">
        <v>0</v>
      </c>
      <c r="V1079">
        <v>-0.86919714882970001</v>
      </c>
      <c r="AC1079">
        <v>0</v>
      </c>
    </row>
    <row r="1080" spans="1:37" x14ac:dyDescent="0.3">
      <c r="A1080" t="s">
        <v>59</v>
      </c>
      <c r="B1080">
        <v>2070</v>
      </c>
      <c r="J1080">
        <v>1.0048858969071</v>
      </c>
      <c r="R1080">
        <v>24.522991599141999</v>
      </c>
      <c r="S1080">
        <v>1.2878043996295001</v>
      </c>
      <c r="U1080">
        <v>0</v>
      </c>
      <c r="V1080">
        <v>-0.88885705173016005</v>
      </c>
      <c r="AC1080">
        <v>0</v>
      </c>
    </row>
    <row r="1081" spans="1:37" x14ac:dyDescent="0.3">
      <c r="A1081" t="s">
        <v>59</v>
      </c>
      <c r="B1081">
        <v>2071</v>
      </c>
      <c r="V1081">
        <v>-0.90851695463061</v>
      </c>
    </row>
    <row r="1082" spans="1:37" hidden="1" x14ac:dyDescent="0.3">
      <c r="A1082" t="s">
        <v>60</v>
      </c>
      <c r="B1082">
        <v>0</v>
      </c>
      <c r="AI1082">
        <v>4.0437510526315998</v>
      </c>
      <c r="AJ1082">
        <v>4.0283442105263001</v>
      </c>
      <c r="AK1082">
        <v>2.1578473684211001</v>
      </c>
    </row>
    <row r="1083" spans="1:37" hidden="1" x14ac:dyDescent="0.3">
      <c r="A1083" t="s">
        <v>60</v>
      </c>
      <c r="B1083">
        <v>2024</v>
      </c>
      <c r="E1083">
        <v>5198.0540000000001</v>
      </c>
      <c r="F1083">
        <v>1.8914806238641999</v>
      </c>
      <c r="K1083">
        <v>-0.20467356129281</v>
      </c>
      <c r="L1083">
        <v>2.9323319626384001</v>
      </c>
      <c r="M1083">
        <v>14.585669899999999</v>
      </c>
      <c r="N1083">
        <v>-11.107820619346001</v>
      </c>
      <c r="O1083">
        <v>13.228027300000001</v>
      </c>
      <c r="Q1083">
        <v>47.944307600000002</v>
      </c>
      <c r="R1083">
        <v>30.444183892207</v>
      </c>
      <c r="S1083">
        <v>2.6181196356488998</v>
      </c>
      <c r="U1083">
        <v>0</v>
      </c>
      <c r="W1083">
        <v>3.1072093000000001</v>
      </c>
      <c r="X1083">
        <v>4.3760146772977002</v>
      </c>
      <c r="Y1083">
        <v>3.5593812035990999</v>
      </c>
      <c r="Z1083">
        <v>8.5991708749956E-2</v>
      </c>
      <c r="AA1083">
        <v>9.3075746046887994E-2</v>
      </c>
    </row>
    <row r="1084" spans="1:37" hidden="1" x14ac:dyDescent="0.3">
      <c r="A1084" t="s">
        <v>60</v>
      </c>
      <c r="B1084">
        <v>2025</v>
      </c>
      <c r="C1084">
        <v>2697</v>
      </c>
      <c r="D1084">
        <v>49.7483</v>
      </c>
      <c r="E1084">
        <v>5421.2640000000001</v>
      </c>
      <c r="F1084">
        <v>4.2941069869608999</v>
      </c>
      <c r="K1084">
        <v>2.7208420218214</v>
      </c>
      <c r="L1084">
        <v>2.4767093808285998</v>
      </c>
      <c r="M1084">
        <v>13.690315200000001</v>
      </c>
      <c r="N1084">
        <v>-12.018107007711</v>
      </c>
      <c r="O1084">
        <v>12.0497683</v>
      </c>
      <c r="Q1084">
        <v>47.603487299999998</v>
      </c>
      <c r="R1084">
        <v>30.705901501559001</v>
      </c>
      <c r="S1084">
        <v>2.6678038537652</v>
      </c>
      <c r="U1084">
        <v>0</v>
      </c>
      <c r="X1084">
        <v>4.2142591569833998</v>
      </c>
      <c r="Y1084">
        <v>3.9298851264525001</v>
      </c>
      <c r="Z1084">
        <v>8.4216293873108E-2</v>
      </c>
      <c r="AA1084">
        <v>9.3776488393005994E-2</v>
      </c>
    </row>
    <row r="1085" spans="1:37" hidden="1" x14ac:dyDescent="0.3">
      <c r="A1085" t="s">
        <v>60</v>
      </c>
      <c r="B1085">
        <v>2026</v>
      </c>
      <c r="C1085">
        <v>2490.9</v>
      </c>
      <c r="D1085">
        <v>43.930599999999998</v>
      </c>
      <c r="E1085">
        <v>5670.0609999999997</v>
      </c>
      <c r="F1085">
        <v>4.5892802859259003</v>
      </c>
      <c r="K1085">
        <v>3.1300981211618</v>
      </c>
      <c r="L1085">
        <v>2.0119566334671002</v>
      </c>
      <c r="M1085">
        <v>13.1127772</v>
      </c>
      <c r="N1085">
        <v>-11.821761593547</v>
      </c>
      <c r="O1085">
        <v>11.634820599999999</v>
      </c>
      <c r="P1085">
        <v>453.6</v>
      </c>
      <c r="Q1085">
        <v>47.389223999999999</v>
      </c>
      <c r="R1085">
        <v>30.915958685511999</v>
      </c>
      <c r="S1085">
        <v>2.7051545414564</v>
      </c>
      <c r="U1085">
        <v>0</v>
      </c>
      <c r="W1085">
        <v>3.1072093000000001</v>
      </c>
      <c r="Z1085">
        <v>8.3638194552476994E-2</v>
      </c>
      <c r="AA1085">
        <v>9.4902586594804994E-2</v>
      </c>
    </row>
    <row r="1086" spans="1:37" hidden="1" x14ac:dyDescent="0.3">
      <c r="A1086" t="s">
        <v>60</v>
      </c>
      <c r="B1086">
        <v>2027</v>
      </c>
      <c r="R1086">
        <v>31.190720812639</v>
      </c>
      <c r="S1086">
        <v>2.7333869569684</v>
      </c>
      <c r="U1086">
        <v>0</v>
      </c>
    </row>
    <row r="1087" spans="1:37" hidden="1" x14ac:dyDescent="0.3">
      <c r="A1087" t="s">
        <v>60</v>
      </c>
      <c r="B1087">
        <v>2028</v>
      </c>
      <c r="R1087">
        <v>31.411193852408999</v>
      </c>
      <c r="S1087">
        <v>2.7620372829834001</v>
      </c>
      <c r="U1087">
        <v>0</v>
      </c>
    </row>
    <row r="1088" spans="1:37" hidden="1" x14ac:dyDescent="0.3">
      <c r="A1088" t="s">
        <v>60</v>
      </c>
      <c r="B1088">
        <v>2029</v>
      </c>
      <c r="R1088">
        <v>31.580458238489001</v>
      </c>
      <c r="S1088">
        <v>2.7873062771513002</v>
      </c>
      <c r="U1088">
        <v>0</v>
      </c>
    </row>
    <row r="1089" spans="1:21" hidden="1" x14ac:dyDescent="0.3">
      <c r="A1089" t="s">
        <v>60</v>
      </c>
      <c r="B1089">
        <v>2030</v>
      </c>
      <c r="R1089">
        <v>31.689057235273001</v>
      </c>
      <c r="S1089">
        <v>2.8006491071273998</v>
      </c>
      <c r="U1089">
        <v>0</v>
      </c>
    </row>
    <row r="1090" spans="1:21" hidden="1" x14ac:dyDescent="0.3">
      <c r="A1090" t="s">
        <v>60</v>
      </c>
      <c r="B1090">
        <v>2031</v>
      </c>
      <c r="R1090">
        <v>31.789370214870999</v>
      </c>
      <c r="S1090">
        <v>2.8152454103132998</v>
      </c>
      <c r="U1090">
        <v>0</v>
      </c>
    </row>
    <row r="1091" spans="1:21" hidden="1" x14ac:dyDescent="0.3">
      <c r="A1091" t="s">
        <v>60</v>
      </c>
      <c r="B1091">
        <v>2032</v>
      </c>
      <c r="R1091">
        <v>31.870925156597</v>
      </c>
      <c r="S1091">
        <v>2.8233104188941001</v>
      </c>
      <c r="U1091">
        <v>0</v>
      </c>
    </row>
    <row r="1092" spans="1:21" hidden="1" x14ac:dyDescent="0.3">
      <c r="A1092" t="s">
        <v>60</v>
      </c>
      <c r="B1092">
        <v>2033</v>
      </c>
      <c r="R1092">
        <v>31.952529142915999</v>
      </c>
      <c r="S1092">
        <v>2.8296054609077999</v>
      </c>
      <c r="U1092">
        <v>0</v>
      </c>
    </row>
    <row r="1093" spans="1:21" hidden="1" x14ac:dyDescent="0.3">
      <c r="A1093" t="s">
        <v>60</v>
      </c>
      <c r="B1093">
        <v>2034</v>
      </c>
      <c r="R1093">
        <v>32.026376159030001</v>
      </c>
      <c r="S1093">
        <v>2.8341691080314</v>
      </c>
      <c r="U1093">
        <v>0</v>
      </c>
    </row>
    <row r="1094" spans="1:21" hidden="1" x14ac:dyDescent="0.3">
      <c r="A1094" t="s">
        <v>60</v>
      </c>
      <c r="B1094">
        <v>2035</v>
      </c>
      <c r="R1094">
        <v>32.095580351278002</v>
      </c>
      <c r="S1094">
        <v>2.8362048811333</v>
      </c>
      <c r="U1094">
        <v>0</v>
      </c>
    </row>
    <row r="1095" spans="1:21" hidden="1" x14ac:dyDescent="0.3">
      <c r="A1095" t="s">
        <v>60</v>
      </c>
      <c r="B1095">
        <v>2036</v>
      </c>
      <c r="J1095">
        <v>1.4056132478590999</v>
      </c>
      <c r="R1095">
        <v>32.169944627954003</v>
      </c>
      <c r="S1095">
        <v>2.8367289950285</v>
      </c>
      <c r="U1095">
        <v>0</v>
      </c>
    </row>
    <row r="1096" spans="1:21" hidden="1" x14ac:dyDescent="0.3">
      <c r="A1096" t="s">
        <v>60</v>
      </c>
      <c r="B1096">
        <v>2037</v>
      </c>
      <c r="J1096">
        <v>1.4571982612365999</v>
      </c>
      <c r="R1096">
        <v>32.241895226606999</v>
      </c>
      <c r="S1096">
        <v>2.8352703720362</v>
      </c>
      <c r="U1096">
        <v>0</v>
      </c>
    </row>
    <row r="1097" spans="1:21" hidden="1" x14ac:dyDescent="0.3">
      <c r="A1097" t="s">
        <v>60</v>
      </c>
      <c r="B1097">
        <v>2038</v>
      </c>
      <c r="J1097">
        <v>1.5506744306900999</v>
      </c>
      <c r="R1097">
        <v>32.296468202085997</v>
      </c>
      <c r="S1097">
        <v>2.8307999180059</v>
      </c>
      <c r="U1097">
        <v>0</v>
      </c>
    </row>
    <row r="1098" spans="1:21" hidden="1" x14ac:dyDescent="0.3">
      <c r="A1098" t="s">
        <v>60</v>
      </c>
      <c r="B1098">
        <v>2039</v>
      </c>
      <c r="J1098">
        <v>1.6749550614758999</v>
      </c>
      <c r="R1098">
        <v>32.334407432550002</v>
      </c>
      <c r="S1098">
        <v>2.823131381924</v>
      </c>
      <c r="U1098">
        <v>0</v>
      </c>
    </row>
    <row r="1099" spans="1:21" hidden="1" x14ac:dyDescent="0.3">
      <c r="A1099" t="s">
        <v>60</v>
      </c>
      <c r="B1099">
        <v>2040</v>
      </c>
      <c r="J1099">
        <v>1.7908748947638999</v>
      </c>
      <c r="R1099">
        <v>32.361351376808997</v>
      </c>
      <c r="S1099">
        <v>2.8147617040376001</v>
      </c>
      <c r="U1099">
        <v>0</v>
      </c>
    </row>
    <row r="1100" spans="1:21" hidden="1" x14ac:dyDescent="0.3">
      <c r="A1100" t="s">
        <v>60</v>
      </c>
      <c r="B1100">
        <v>2041</v>
      </c>
      <c r="J1100">
        <v>1.7773688054157</v>
      </c>
      <c r="R1100">
        <v>32.398696375676998</v>
      </c>
      <c r="S1100">
        <v>2.8073111783489999</v>
      </c>
      <c r="U1100">
        <v>0</v>
      </c>
    </row>
    <row r="1101" spans="1:21" hidden="1" x14ac:dyDescent="0.3">
      <c r="A1101" t="s">
        <v>60</v>
      </c>
      <c r="B1101">
        <v>2042</v>
      </c>
      <c r="J1101">
        <v>1.7838964718882</v>
      </c>
      <c r="R1101">
        <v>32.435355386242001</v>
      </c>
      <c r="S1101">
        <v>2.8005664947899001</v>
      </c>
      <c r="U1101">
        <v>0</v>
      </c>
    </row>
    <row r="1102" spans="1:21" hidden="1" x14ac:dyDescent="0.3">
      <c r="A1102" t="s">
        <v>60</v>
      </c>
      <c r="B1102">
        <v>2043</v>
      </c>
      <c r="J1102">
        <v>1.7633044936907001</v>
      </c>
      <c r="R1102">
        <v>32.486597107035998</v>
      </c>
      <c r="S1102">
        <v>2.7949836199822999</v>
      </c>
      <c r="U1102">
        <v>0</v>
      </c>
    </row>
    <row r="1103" spans="1:21" hidden="1" x14ac:dyDescent="0.3">
      <c r="A1103" t="s">
        <v>60</v>
      </c>
      <c r="B1103">
        <v>2044</v>
      </c>
      <c r="J1103">
        <v>1.7393061255447999</v>
      </c>
      <c r="R1103">
        <v>32.545793601413997</v>
      </c>
      <c r="S1103">
        <v>2.7907589041140999</v>
      </c>
      <c r="U1103">
        <v>0</v>
      </c>
    </row>
    <row r="1104" spans="1:21" hidden="1" x14ac:dyDescent="0.3">
      <c r="A1104" t="s">
        <v>60</v>
      </c>
      <c r="B1104">
        <v>2045</v>
      </c>
      <c r="J1104">
        <v>1.7094613629546</v>
      </c>
      <c r="R1104">
        <v>32.612122240459001</v>
      </c>
      <c r="S1104">
        <v>2.7869869649056001</v>
      </c>
      <c r="U1104">
        <v>0</v>
      </c>
    </row>
    <row r="1105" spans="1:21" hidden="1" x14ac:dyDescent="0.3">
      <c r="A1105" t="s">
        <v>60</v>
      </c>
      <c r="B1105">
        <v>2046</v>
      </c>
      <c r="J1105">
        <v>1.6747648970625</v>
      </c>
      <c r="R1105">
        <v>32.683536301015003</v>
      </c>
      <c r="S1105">
        <v>2.7841015745574</v>
      </c>
      <c r="U1105">
        <v>0</v>
      </c>
    </row>
    <row r="1106" spans="1:21" hidden="1" x14ac:dyDescent="0.3">
      <c r="A1106" t="s">
        <v>60</v>
      </c>
      <c r="B1106">
        <v>2047</v>
      </c>
      <c r="J1106">
        <v>1.6491852581313</v>
      </c>
      <c r="R1106">
        <v>32.761521225806</v>
      </c>
      <c r="S1106">
        <v>2.7822718146884999</v>
      </c>
      <c r="U1106">
        <v>0</v>
      </c>
    </row>
    <row r="1107" spans="1:21" hidden="1" x14ac:dyDescent="0.3">
      <c r="A1107" t="s">
        <v>60</v>
      </c>
      <c r="B1107">
        <v>2048</v>
      </c>
      <c r="J1107">
        <v>1.6154884883064999</v>
      </c>
      <c r="R1107">
        <v>32.851166088911</v>
      </c>
      <c r="S1107">
        <v>2.7819392518428998</v>
      </c>
      <c r="U1107">
        <v>0</v>
      </c>
    </row>
    <row r="1108" spans="1:21" hidden="1" x14ac:dyDescent="0.3">
      <c r="A1108" t="s">
        <v>60</v>
      </c>
      <c r="B1108">
        <v>2049</v>
      </c>
      <c r="J1108">
        <v>1.5902293553466</v>
      </c>
      <c r="R1108">
        <v>32.944773259931999</v>
      </c>
      <c r="S1108">
        <v>2.7823162931526002</v>
      </c>
      <c r="U1108">
        <v>0</v>
      </c>
    </row>
    <row r="1109" spans="1:21" hidden="1" x14ac:dyDescent="0.3">
      <c r="A1109" t="s">
        <v>60</v>
      </c>
      <c r="B1109">
        <v>2050</v>
      </c>
      <c r="J1109">
        <v>1.5773747115172001</v>
      </c>
      <c r="R1109">
        <v>33.046894969057</v>
      </c>
      <c r="S1109">
        <v>2.7848192634114</v>
      </c>
      <c r="U1109">
        <v>0</v>
      </c>
    </row>
    <row r="1110" spans="1:21" hidden="1" x14ac:dyDescent="0.3">
      <c r="A1110" t="s">
        <v>60</v>
      </c>
      <c r="B1110">
        <v>2051</v>
      </c>
      <c r="J1110">
        <v>1.5614689095041001</v>
      </c>
      <c r="R1110">
        <v>33.155286153751</v>
      </c>
      <c r="S1110">
        <v>2.7885072585452</v>
      </c>
      <c r="U1110">
        <v>0</v>
      </c>
    </row>
    <row r="1111" spans="1:21" hidden="1" x14ac:dyDescent="0.3">
      <c r="A1111" t="s">
        <v>60</v>
      </c>
      <c r="B1111">
        <v>2052</v>
      </c>
      <c r="J1111">
        <v>1.5336849379274</v>
      </c>
      <c r="R1111">
        <v>33.266950204036</v>
      </c>
      <c r="S1111">
        <v>2.7929671954255002</v>
      </c>
      <c r="U1111">
        <v>0</v>
      </c>
    </row>
    <row r="1112" spans="1:21" hidden="1" x14ac:dyDescent="0.3">
      <c r="A1112" t="s">
        <v>60</v>
      </c>
      <c r="B1112">
        <v>2053</v>
      </c>
      <c r="J1112">
        <v>1.5006536573880001</v>
      </c>
      <c r="R1112">
        <v>33.383304728534</v>
      </c>
      <c r="S1112">
        <v>2.7976798685661</v>
      </c>
      <c r="U1112">
        <v>0</v>
      </c>
    </row>
    <row r="1113" spans="1:21" hidden="1" x14ac:dyDescent="0.3">
      <c r="A1113" t="s">
        <v>60</v>
      </c>
      <c r="B1113">
        <v>2054</v>
      </c>
      <c r="J1113">
        <v>1.4774029361268</v>
      </c>
      <c r="R1113">
        <v>33.499158159451</v>
      </c>
      <c r="S1113">
        <v>2.8018764267510998</v>
      </c>
      <c r="U1113">
        <v>0</v>
      </c>
    </row>
    <row r="1114" spans="1:21" hidden="1" x14ac:dyDescent="0.3">
      <c r="A1114" t="s">
        <v>60</v>
      </c>
      <c r="B1114">
        <v>2055</v>
      </c>
      <c r="J1114">
        <v>1.4550144035832999</v>
      </c>
      <c r="R1114">
        <v>33.612292834084002</v>
      </c>
      <c r="S1114">
        <v>2.8054825781293</v>
      </c>
      <c r="U1114">
        <v>0</v>
      </c>
    </row>
    <row r="1115" spans="1:21" hidden="1" x14ac:dyDescent="0.3">
      <c r="A1115" t="s">
        <v>60</v>
      </c>
      <c r="B1115">
        <v>2056</v>
      </c>
      <c r="J1115">
        <v>1.4330875410735999</v>
      </c>
      <c r="R1115">
        <v>33.719130128087997</v>
      </c>
      <c r="S1115">
        <v>2.8087194715148001</v>
      </c>
      <c r="U1115">
        <v>0</v>
      </c>
    </row>
    <row r="1116" spans="1:21" hidden="1" x14ac:dyDescent="0.3">
      <c r="A1116" t="s">
        <v>60</v>
      </c>
      <c r="B1116">
        <v>2057</v>
      </c>
      <c r="J1116">
        <v>1.4132602726750001</v>
      </c>
      <c r="R1116">
        <v>33.821308935902998</v>
      </c>
      <c r="S1116">
        <v>2.8119671782431999</v>
      </c>
      <c r="U1116">
        <v>0</v>
      </c>
    </row>
    <row r="1117" spans="1:21" hidden="1" x14ac:dyDescent="0.3">
      <c r="A1117" t="s">
        <v>60</v>
      </c>
      <c r="B1117">
        <v>2058</v>
      </c>
      <c r="J1117">
        <v>1.3916740551633</v>
      </c>
      <c r="R1117">
        <v>33.922566755848003</v>
      </c>
      <c r="S1117">
        <v>2.8153541518764</v>
      </c>
      <c r="U1117">
        <v>0</v>
      </c>
    </row>
    <row r="1118" spans="1:21" hidden="1" x14ac:dyDescent="0.3">
      <c r="A1118" t="s">
        <v>60</v>
      </c>
      <c r="B1118">
        <v>2059</v>
      </c>
      <c r="J1118">
        <v>1.3728581135779001</v>
      </c>
      <c r="R1118">
        <v>34.017812462933001</v>
      </c>
      <c r="S1118">
        <v>2.8190018695762999</v>
      </c>
      <c r="U1118">
        <v>0</v>
      </c>
    </row>
    <row r="1119" spans="1:21" hidden="1" x14ac:dyDescent="0.3">
      <c r="A1119" t="s">
        <v>60</v>
      </c>
      <c r="B1119">
        <v>2060</v>
      </c>
      <c r="J1119">
        <v>1.3511103251784999</v>
      </c>
      <c r="R1119">
        <v>34.112898665713999</v>
      </c>
      <c r="S1119">
        <v>2.8230051324660002</v>
      </c>
      <c r="U1119">
        <v>0</v>
      </c>
    </row>
    <row r="1120" spans="1:21" hidden="1" x14ac:dyDescent="0.3">
      <c r="A1120" t="s">
        <v>60</v>
      </c>
      <c r="B1120">
        <v>2061</v>
      </c>
      <c r="J1120">
        <v>1.3317879456151001</v>
      </c>
      <c r="R1120">
        <v>34.204371108800999</v>
      </c>
      <c r="S1120">
        <v>2.8280728692002</v>
      </c>
      <c r="U1120">
        <v>0</v>
      </c>
    </row>
    <row r="1121" spans="1:38" hidden="1" x14ac:dyDescent="0.3">
      <c r="A1121" t="s">
        <v>60</v>
      </c>
      <c r="B1121">
        <v>2062</v>
      </c>
      <c r="J1121">
        <v>1.3082177884862001</v>
      </c>
      <c r="R1121">
        <v>34.288484730847998</v>
      </c>
      <c r="S1121">
        <v>2.8337616317566998</v>
      </c>
      <c r="U1121">
        <v>0</v>
      </c>
    </row>
    <row r="1122" spans="1:38" hidden="1" x14ac:dyDescent="0.3">
      <c r="A1122" t="s">
        <v>60</v>
      </c>
      <c r="B1122">
        <v>2063</v>
      </c>
      <c r="J1122">
        <v>1.2854650546669</v>
      </c>
      <c r="R1122">
        <v>34.371851717181002</v>
      </c>
      <c r="S1122">
        <v>2.8390767495943998</v>
      </c>
      <c r="U1122">
        <v>0</v>
      </c>
    </row>
    <row r="1123" spans="1:38" hidden="1" x14ac:dyDescent="0.3">
      <c r="A1123" t="s">
        <v>60</v>
      </c>
      <c r="B1123">
        <v>2064</v>
      </c>
      <c r="J1123">
        <v>1.2687289629317</v>
      </c>
      <c r="R1123">
        <v>34.457709417880999</v>
      </c>
      <c r="S1123">
        <v>2.8445722633754</v>
      </c>
      <c r="U1123">
        <v>0</v>
      </c>
    </row>
    <row r="1124" spans="1:38" hidden="1" x14ac:dyDescent="0.3">
      <c r="A1124" t="s">
        <v>60</v>
      </c>
      <c r="B1124">
        <v>2065</v>
      </c>
      <c r="J1124">
        <v>1.253950077734</v>
      </c>
      <c r="R1124">
        <v>34.546357817108003</v>
      </c>
      <c r="S1124">
        <v>2.8510217444853998</v>
      </c>
      <c r="U1124">
        <v>0</v>
      </c>
    </row>
    <row r="1125" spans="1:38" hidden="1" x14ac:dyDescent="0.3">
      <c r="A1125" t="s">
        <v>60</v>
      </c>
      <c r="B1125">
        <v>2066</v>
      </c>
      <c r="J1125">
        <v>1.2329404616449999</v>
      </c>
      <c r="R1125">
        <v>34.637098778155</v>
      </c>
      <c r="S1125">
        <v>2.8584413468499998</v>
      </c>
      <c r="U1125">
        <v>0</v>
      </c>
    </row>
    <row r="1126" spans="1:38" hidden="1" x14ac:dyDescent="0.3">
      <c r="A1126" t="s">
        <v>60</v>
      </c>
      <c r="B1126">
        <v>2067</v>
      </c>
      <c r="J1126">
        <v>1.2096679407971</v>
      </c>
      <c r="R1126">
        <v>34.734793891452</v>
      </c>
      <c r="S1126">
        <v>2.8667673846814998</v>
      </c>
      <c r="U1126">
        <v>0</v>
      </c>
    </row>
    <row r="1127" spans="1:38" hidden="1" x14ac:dyDescent="0.3">
      <c r="A1127" t="s">
        <v>60</v>
      </c>
      <c r="B1127">
        <v>2068</v>
      </c>
      <c r="J1127">
        <v>1.1951054245881001</v>
      </c>
      <c r="R1127">
        <v>34.845818214940003</v>
      </c>
      <c r="S1127">
        <v>2.8765914188853001</v>
      </c>
      <c r="U1127">
        <v>0</v>
      </c>
    </row>
    <row r="1128" spans="1:38" hidden="1" x14ac:dyDescent="0.3">
      <c r="A1128" t="s">
        <v>60</v>
      </c>
      <c r="B1128">
        <v>2069</v>
      </c>
      <c r="J1128">
        <v>1.1799117526673</v>
      </c>
      <c r="R1128">
        <v>34.971779408918998</v>
      </c>
      <c r="S1128">
        <v>2.8867877856341999</v>
      </c>
      <c r="U1128">
        <v>0</v>
      </c>
    </row>
    <row r="1129" spans="1:38" hidden="1" x14ac:dyDescent="0.3">
      <c r="A1129" t="s">
        <v>60</v>
      </c>
      <c r="B1129">
        <v>2070</v>
      </c>
      <c r="J1129">
        <v>1.1578862855679</v>
      </c>
      <c r="R1129">
        <v>35.111180681006999</v>
      </c>
      <c r="S1129">
        <v>2.8978249893011001</v>
      </c>
      <c r="U1129">
        <v>0</v>
      </c>
    </row>
    <row r="1130" spans="1:38" hidden="1" x14ac:dyDescent="0.3">
      <c r="A1130" t="s">
        <v>61</v>
      </c>
      <c r="B1130">
        <v>0</v>
      </c>
      <c r="AD1130">
        <v>1.7736884875527999E-2</v>
      </c>
      <c r="AE1130">
        <v>0.10464379185151</v>
      </c>
      <c r="AF1130">
        <v>9.1660020968918995E-2</v>
      </c>
      <c r="AG1130">
        <v>0.72899932400191003</v>
      </c>
      <c r="AH1130">
        <v>0.23743389136313001</v>
      </c>
      <c r="AI1130">
        <v>5.9176310526315996</v>
      </c>
      <c r="AJ1130">
        <v>6.4137126315788997</v>
      </c>
      <c r="AK1130">
        <v>2.1578473684211001</v>
      </c>
      <c r="AL1130">
        <v>0.499</v>
      </c>
    </row>
    <row r="1131" spans="1:38" hidden="1" x14ac:dyDescent="0.3">
      <c r="A1131" t="s">
        <v>61</v>
      </c>
      <c r="B1131">
        <v>2024</v>
      </c>
      <c r="C1131">
        <v>2011.8</v>
      </c>
      <c r="D1131">
        <v>55.252000000000002</v>
      </c>
      <c r="E1131">
        <v>3641.2080000000001</v>
      </c>
      <c r="F1131">
        <v>6.6153989401729003</v>
      </c>
      <c r="G1131">
        <v>2743.9519926423</v>
      </c>
      <c r="H1131">
        <v>2.9233902058752999</v>
      </c>
      <c r="I1131">
        <v>2766.4427565653</v>
      </c>
      <c r="J1131">
        <v>2.6034546967211001</v>
      </c>
      <c r="K1131">
        <v>3.5871425486494002</v>
      </c>
      <c r="L1131">
        <v>2.9323319626384001</v>
      </c>
      <c r="M1131">
        <v>-4.3839572000000002</v>
      </c>
      <c r="N1131">
        <v>-3.9123999999999999</v>
      </c>
      <c r="O1131">
        <v>-6.5859737000000003</v>
      </c>
      <c r="P1131">
        <v>80.8</v>
      </c>
      <c r="Q1131">
        <v>47.2096898</v>
      </c>
      <c r="R1131">
        <v>19.84282893236</v>
      </c>
      <c r="S1131">
        <v>1.3830867988243001</v>
      </c>
      <c r="U1131">
        <v>0</v>
      </c>
      <c r="V1131">
        <v>0</v>
      </c>
      <c r="W1131">
        <v>4.7408918</v>
      </c>
      <c r="Y1131">
        <v>5.5250000000000004</v>
      </c>
      <c r="Z1131">
        <v>0.23224511077088</v>
      </c>
      <c r="AA1131">
        <v>0.25137757191914001</v>
      </c>
    </row>
    <row r="1132" spans="1:38" hidden="1" x14ac:dyDescent="0.3">
      <c r="A1132" t="s">
        <v>61</v>
      </c>
      <c r="B1132">
        <v>2025</v>
      </c>
      <c r="C1132">
        <v>2273.3000000000002</v>
      </c>
      <c r="D1132">
        <v>58.006100000000004</v>
      </c>
      <c r="E1132">
        <v>3919.076</v>
      </c>
      <c r="F1132">
        <v>7.6312037104170001</v>
      </c>
      <c r="G1132">
        <v>2833.1601894025998</v>
      </c>
      <c r="H1132">
        <v>3.2510844577268001</v>
      </c>
      <c r="I1132">
        <v>2841.7993301949</v>
      </c>
      <c r="J1132">
        <v>2.7239520301222999</v>
      </c>
      <c r="K1132">
        <v>4.2421936625064003</v>
      </c>
      <c r="L1132">
        <v>2.4767093808285998</v>
      </c>
      <c r="M1132">
        <v>-3.8244281999999998</v>
      </c>
      <c r="N1132">
        <v>-3.5783</v>
      </c>
      <c r="O1132">
        <v>-6.3715619999999999</v>
      </c>
      <c r="P1132">
        <v>11.8</v>
      </c>
      <c r="Q1132">
        <v>47.647263500000001</v>
      </c>
      <c r="R1132">
        <v>20.060230839113999</v>
      </c>
      <c r="S1132">
        <v>1.4013064674379001</v>
      </c>
      <c r="U1132">
        <v>0</v>
      </c>
      <c r="V1132">
        <v>4.5422948896884996E-3</v>
      </c>
      <c r="W1132">
        <v>4.9618310000000001</v>
      </c>
      <c r="X1132">
        <v>5.0709999999999997</v>
      </c>
      <c r="Y1132">
        <v>5.6680000000000001</v>
      </c>
      <c r="Z1132">
        <v>0.2347471108683</v>
      </c>
      <c r="AA1132">
        <v>0.26139549373666998</v>
      </c>
      <c r="AC1132">
        <v>161.40131789200001</v>
      </c>
    </row>
    <row r="1133" spans="1:38" hidden="1" x14ac:dyDescent="0.3">
      <c r="A1133" t="s">
        <v>61</v>
      </c>
      <c r="B1133">
        <v>2026</v>
      </c>
      <c r="C1133">
        <v>2717.2</v>
      </c>
      <c r="D1133">
        <v>65.299899999999994</v>
      </c>
      <c r="E1133">
        <v>4161.0510000000004</v>
      </c>
      <c r="F1133">
        <v>6.1742870003031003</v>
      </c>
      <c r="G1133">
        <v>2917.0043175001001</v>
      </c>
      <c r="H1133">
        <v>2.9593853680116</v>
      </c>
      <c r="I1133">
        <v>2917.1409530170999</v>
      </c>
      <c r="J1133">
        <v>2.6511943338719002</v>
      </c>
      <c r="K1133">
        <v>3.1224943571392001</v>
      </c>
      <c r="L1133">
        <v>2.0119566334671002</v>
      </c>
      <c r="M1133">
        <v>-3.4469118000000001</v>
      </c>
      <c r="N1133">
        <v>-3.4445999999999999</v>
      </c>
      <c r="O1133">
        <v>-6.1170119999999999</v>
      </c>
      <c r="P1133">
        <v>189.3</v>
      </c>
      <c r="Q1133">
        <v>47.895391799999999</v>
      </c>
      <c r="R1133">
        <v>20.246239085231998</v>
      </c>
      <c r="S1133">
        <v>1.4146287095023</v>
      </c>
      <c r="U1133">
        <v>0</v>
      </c>
      <c r="V1133">
        <v>4.1885338723660001E-3</v>
      </c>
      <c r="W1133">
        <v>4.8873464999999996</v>
      </c>
      <c r="Z1133">
        <v>0.23363285064785999</v>
      </c>
      <c r="AA1133">
        <v>0.26509852297311998</v>
      </c>
      <c r="AC1133">
        <v>180.767511439</v>
      </c>
    </row>
    <row r="1134" spans="1:38" hidden="1" x14ac:dyDescent="0.3">
      <c r="A1134" t="s">
        <v>61</v>
      </c>
      <c r="B1134">
        <v>2027</v>
      </c>
      <c r="G1134">
        <v>2980.8329800997999</v>
      </c>
      <c r="H1134">
        <v>2.1881579748365998</v>
      </c>
      <c r="I1134">
        <v>2980.9260621917001</v>
      </c>
      <c r="J1134">
        <v>2.1865624665376</v>
      </c>
      <c r="R1134">
        <v>20.437005639020001</v>
      </c>
      <c r="S1134">
        <v>1.4286953148549999</v>
      </c>
      <c r="U1134">
        <v>0</v>
      </c>
      <c r="V1134">
        <v>4.5779347419739004E-3</v>
      </c>
      <c r="AC1134">
        <v>213.15350068500001</v>
      </c>
    </row>
    <row r="1135" spans="1:38" hidden="1" x14ac:dyDescent="0.3">
      <c r="A1135" t="s">
        <v>61</v>
      </c>
      <c r="B1135">
        <v>2028</v>
      </c>
      <c r="G1135">
        <v>3042.6884558954998</v>
      </c>
      <c r="H1135">
        <v>2.0751070659989002</v>
      </c>
      <c r="I1135">
        <v>3042.7359619762001</v>
      </c>
      <c r="J1135">
        <v>2.0735133476965002</v>
      </c>
      <c r="R1135">
        <v>20.519912519199</v>
      </c>
      <c r="S1135">
        <v>1.4315801138977</v>
      </c>
      <c r="U1135">
        <v>0</v>
      </c>
      <c r="V1135">
        <v>-6.2137506902218004E-3</v>
      </c>
      <c r="AC1135">
        <v>213.41991695199999</v>
      </c>
    </row>
    <row r="1136" spans="1:38" hidden="1" x14ac:dyDescent="0.3">
      <c r="A1136" t="s">
        <v>61</v>
      </c>
      <c r="B1136">
        <v>2029</v>
      </c>
      <c r="G1136">
        <v>3104.3988332664999</v>
      </c>
      <c r="H1136">
        <v>2.0281530056574</v>
      </c>
      <c r="I1136">
        <v>3104.3988332664999</v>
      </c>
      <c r="J1136">
        <v>2.026560045329</v>
      </c>
      <c r="R1136">
        <v>20.532258325101001</v>
      </c>
      <c r="S1136">
        <v>1.4282144046187999</v>
      </c>
      <c r="U1136">
        <v>0</v>
      </c>
      <c r="V1136">
        <v>-2.3256439715624001E-2</v>
      </c>
      <c r="AC1136">
        <v>242.81940817</v>
      </c>
    </row>
    <row r="1137" spans="1:29" hidden="1" x14ac:dyDescent="0.3">
      <c r="A1137" t="s">
        <v>61</v>
      </c>
      <c r="B1137">
        <v>2030</v>
      </c>
      <c r="J1137">
        <v>2.0210576650964001</v>
      </c>
      <c r="R1137">
        <v>20.520756795442999</v>
      </c>
      <c r="S1137">
        <v>1.4229789980315</v>
      </c>
      <c r="U1137">
        <v>0</v>
      </c>
      <c r="V1137">
        <v>-4.2168106883764003E-2</v>
      </c>
      <c r="AC1137">
        <v>203.86791708000001</v>
      </c>
    </row>
    <row r="1138" spans="1:29" hidden="1" x14ac:dyDescent="0.3">
      <c r="A1138" t="s">
        <v>61</v>
      </c>
      <c r="B1138">
        <v>2031</v>
      </c>
      <c r="J1138">
        <v>2.0155552848638001</v>
      </c>
      <c r="R1138">
        <v>20.471606819234001</v>
      </c>
      <c r="S1138">
        <v>1.4123639057980999</v>
      </c>
      <c r="U1138">
        <v>0</v>
      </c>
      <c r="V1138">
        <v>-6.6459778696299002E-2</v>
      </c>
      <c r="AC1138">
        <v>73.620516072000001</v>
      </c>
    </row>
    <row r="1139" spans="1:29" hidden="1" x14ac:dyDescent="0.3">
      <c r="A1139" t="s">
        <v>61</v>
      </c>
      <c r="B1139">
        <v>2032</v>
      </c>
      <c r="J1139">
        <v>2.0100529046313</v>
      </c>
      <c r="R1139">
        <v>20.416212121868</v>
      </c>
      <c r="S1139">
        <v>1.4012456116736001</v>
      </c>
      <c r="U1139">
        <v>0</v>
      </c>
      <c r="V1139">
        <v>-9.1254457831383001E-2</v>
      </c>
      <c r="AC1139">
        <v>89.723378487999994</v>
      </c>
    </row>
    <row r="1140" spans="1:29" hidden="1" x14ac:dyDescent="0.3">
      <c r="A1140" t="s">
        <v>61</v>
      </c>
      <c r="B1140">
        <v>2033</v>
      </c>
      <c r="J1140">
        <v>2.0045505243987001</v>
      </c>
      <c r="R1140">
        <v>20.370981614828999</v>
      </c>
      <c r="S1140">
        <v>1.3917857140143</v>
      </c>
      <c r="U1140">
        <v>0</v>
      </c>
      <c r="V1140">
        <v>-0.11439116299152</v>
      </c>
      <c r="AC1140">
        <v>107.872865807</v>
      </c>
    </row>
    <row r="1141" spans="1:29" hidden="1" x14ac:dyDescent="0.3">
      <c r="A1141" t="s">
        <v>61</v>
      </c>
      <c r="B1141">
        <v>2034</v>
      </c>
      <c r="J1141">
        <v>1.9990481441661001</v>
      </c>
      <c r="R1141">
        <v>20.327228781397</v>
      </c>
      <c r="S1141">
        <v>1.3826868802739001</v>
      </c>
      <c r="U1141">
        <v>0</v>
      </c>
      <c r="V1141">
        <v>-0.13716679438949</v>
      </c>
      <c r="AC1141">
        <v>78.518222893000001</v>
      </c>
    </row>
    <row r="1142" spans="1:29" hidden="1" x14ac:dyDescent="0.3">
      <c r="A1142" t="s">
        <v>61</v>
      </c>
      <c r="B1142">
        <v>2035</v>
      </c>
      <c r="J1142">
        <v>1.9935457639334999</v>
      </c>
      <c r="R1142">
        <v>20.285372898498</v>
      </c>
      <c r="S1142">
        <v>1.3743553404990001</v>
      </c>
      <c r="U1142">
        <v>0</v>
      </c>
      <c r="V1142">
        <v>-0.15194794494996999</v>
      </c>
      <c r="AC1142">
        <v>28.681058784000001</v>
      </c>
    </row>
    <row r="1143" spans="1:29" hidden="1" x14ac:dyDescent="0.3">
      <c r="A1143" t="s">
        <v>61</v>
      </c>
      <c r="B1143">
        <v>2036</v>
      </c>
      <c r="J1143">
        <v>1.9880433837010001</v>
      </c>
      <c r="R1143">
        <v>20.229049946465</v>
      </c>
      <c r="S1143">
        <v>1.3641319887483001</v>
      </c>
      <c r="U1143">
        <v>0</v>
      </c>
      <c r="V1143">
        <v>-0.16672909551046</v>
      </c>
      <c r="AC1143">
        <v>31.323732305</v>
      </c>
    </row>
    <row r="1144" spans="1:29" hidden="1" x14ac:dyDescent="0.3">
      <c r="A1144" t="s">
        <v>61</v>
      </c>
      <c r="B1144">
        <v>2037</v>
      </c>
      <c r="J1144">
        <v>1.9160177919568</v>
      </c>
      <c r="R1144">
        <v>20.177644713608</v>
      </c>
      <c r="S1144">
        <v>1.3544525467955</v>
      </c>
      <c r="U1144">
        <v>0</v>
      </c>
      <c r="V1144">
        <v>-0.18151024607095001</v>
      </c>
      <c r="AC1144">
        <v>7.5965484610000003</v>
      </c>
    </row>
    <row r="1145" spans="1:29" hidden="1" x14ac:dyDescent="0.3">
      <c r="A1145" t="s">
        <v>61</v>
      </c>
      <c r="B1145">
        <v>2038</v>
      </c>
      <c r="J1145">
        <v>1.7783956991112999</v>
      </c>
      <c r="R1145">
        <v>20.137792692809001</v>
      </c>
      <c r="S1145">
        <v>1.3465180152595</v>
      </c>
      <c r="U1145">
        <v>0</v>
      </c>
      <c r="V1145">
        <v>-0.19629139663143999</v>
      </c>
      <c r="AC1145">
        <v>1.33906207</v>
      </c>
    </row>
    <row r="1146" spans="1:29" hidden="1" x14ac:dyDescent="0.3">
      <c r="A1146" t="s">
        <v>61</v>
      </c>
      <c r="B1146">
        <v>2039</v>
      </c>
      <c r="J1146">
        <v>1.6143572786509</v>
      </c>
      <c r="R1146">
        <v>20.117112772414</v>
      </c>
      <c r="S1146">
        <v>1.3406132955587999</v>
      </c>
      <c r="U1146">
        <v>0</v>
      </c>
      <c r="V1146">
        <v>-0.21107254719192001</v>
      </c>
      <c r="AC1146">
        <v>10.257533188</v>
      </c>
    </row>
    <row r="1147" spans="1:29" hidden="1" x14ac:dyDescent="0.3">
      <c r="A1147" t="s">
        <v>61</v>
      </c>
      <c r="B1147">
        <v>2040</v>
      </c>
      <c r="J1147">
        <v>1.4341486123811999</v>
      </c>
      <c r="R1147">
        <v>20.114395333792</v>
      </c>
      <c r="S1147">
        <v>1.336980016631</v>
      </c>
      <c r="U1147">
        <v>0</v>
      </c>
      <c r="V1147">
        <v>-0.22585369775240999</v>
      </c>
      <c r="AC1147">
        <v>6.9679438239999998</v>
      </c>
    </row>
    <row r="1148" spans="1:29" hidden="1" x14ac:dyDescent="0.3">
      <c r="A1148" t="s">
        <v>61</v>
      </c>
      <c r="B1148">
        <v>2041</v>
      </c>
      <c r="J1148">
        <v>1.3184249980685001</v>
      </c>
      <c r="R1148">
        <v>20.123140779463</v>
      </c>
      <c r="S1148">
        <v>1.3345982213915999</v>
      </c>
      <c r="U1148">
        <v>0</v>
      </c>
      <c r="V1148">
        <v>-0.2406348483129</v>
      </c>
      <c r="AC1148">
        <v>0</v>
      </c>
    </row>
    <row r="1149" spans="1:29" hidden="1" x14ac:dyDescent="0.3">
      <c r="A1149" t="s">
        <v>61</v>
      </c>
      <c r="B1149">
        <v>2042</v>
      </c>
      <c r="J1149">
        <v>1.1877738580507</v>
      </c>
      <c r="R1149">
        <v>20.147656544292001</v>
      </c>
      <c r="S1149">
        <v>1.3337218317471999</v>
      </c>
      <c r="U1149">
        <v>0</v>
      </c>
      <c r="V1149">
        <v>-0.25541599887339</v>
      </c>
      <c r="AC1149">
        <v>4.2519280000000004</v>
      </c>
    </row>
    <row r="1150" spans="1:29" hidden="1" x14ac:dyDescent="0.3">
      <c r="A1150" t="s">
        <v>61</v>
      </c>
      <c r="B1150">
        <v>2043</v>
      </c>
      <c r="J1150">
        <v>1.1137982176489001</v>
      </c>
      <c r="R1150">
        <v>20.193270821854</v>
      </c>
      <c r="S1150">
        <v>1.3342382926656999</v>
      </c>
      <c r="U1150">
        <v>0</v>
      </c>
      <c r="V1150">
        <v>-0.27019714943387002</v>
      </c>
      <c r="AC1150">
        <v>5.4590258159999996</v>
      </c>
    </row>
    <row r="1151" spans="1:29" hidden="1" x14ac:dyDescent="0.3">
      <c r="A1151" t="s">
        <v>61</v>
      </c>
      <c r="B1151">
        <v>2044</v>
      </c>
      <c r="J1151">
        <v>1.0658572978204</v>
      </c>
      <c r="R1151">
        <v>20.252897080086001</v>
      </c>
      <c r="S1151">
        <v>1.3359477315599</v>
      </c>
      <c r="U1151">
        <v>0</v>
      </c>
      <c r="V1151">
        <v>-0.28497829999435997</v>
      </c>
      <c r="AC1151">
        <v>8.6198309519999992</v>
      </c>
    </row>
    <row r="1152" spans="1:29" hidden="1" x14ac:dyDescent="0.3">
      <c r="A1152" t="s">
        <v>61</v>
      </c>
      <c r="B1152">
        <v>2045</v>
      </c>
      <c r="J1152">
        <v>1.0180313781021</v>
      </c>
      <c r="R1152">
        <v>20.325495572706</v>
      </c>
      <c r="S1152">
        <v>1.3383369046558</v>
      </c>
      <c r="U1152">
        <v>0</v>
      </c>
      <c r="V1152">
        <v>-0.29975945055484998</v>
      </c>
      <c r="AC1152">
        <v>1</v>
      </c>
    </row>
    <row r="1153" spans="1:29" hidden="1" x14ac:dyDescent="0.3">
      <c r="A1153" t="s">
        <v>61</v>
      </c>
      <c r="B1153">
        <v>2046</v>
      </c>
      <c r="J1153">
        <v>0.97884292448412002</v>
      </c>
      <c r="R1153">
        <v>20.406963906289</v>
      </c>
      <c r="S1153">
        <v>1.3408474962974</v>
      </c>
      <c r="U1153">
        <v>0</v>
      </c>
      <c r="V1153">
        <v>-0.31454060111533999</v>
      </c>
      <c r="AC1153">
        <v>2.09337412</v>
      </c>
    </row>
    <row r="1154" spans="1:29" hidden="1" x14ac:dyDescent="0.3">
      <c r="A1154" t="s">
        <v>61</v>
      </c>
      <c r="B1154">
        <v>2047</v>
      </c>
      <c r="J1154">
        <v>0.96292477541097998</v>
      </c>
      <c r="R1154">
        <v>20.494544719884001</v>
      </c>
      <c r="S1154">
        <v>1.3433431181725</v>
      </c>
      <c r="U1154">
        <v>0</v>
      </c>
      <c r="V1154">
        <v>-0.32932175167582001</v>
      </c>
      <c r="AC1154">
        <v>6.2140019999999998</v>
      </c>
    </row>
    <row r="1155" spans="1:29" hidden="1" x14ac:dyDescent="0.3">
      <c r="A1155" t="s">
        <v>61</v>
      </c>
      <c r="B1155">
        <v>2048</v>
      </c>
      <c r="J1155">
        <v>0.95334918069215002</v>
      </c>
      <c r="R1155">
        <v>20.589111258321001</v>
      </c>
      <c r="S1155">
        <v>1.3463415101081</v>
      </c>
      <c r="U1155">
        <v>0</v>
      </c>
      <c r="V1155">
        <v>-0.34410290223631002</v>
      </c>
      <c r="AC1155">
        <v>0</v>
      </c>
    </row>
    <row r="1156" spans="1:29" hidden="1" x14ac:dyDescent="0.3">
      <c r="A1156" t="s">
        <v>61</v>
      </c>
      <c r="B1156">
        <v>2049</v>
      </c>
      <c r="J1156">
        <v>0.90830738550307</v>
      </c>
      <c r="R1156">
        <v>20.692602314523999</v>
      </c>
      <c r="S1156">
        <v>1.3500774737612</v>
      </c>
      <c r="U1156">
        <v>0</v>
      </c>
      <c r="V1156">
        <v>-0.35888405279680002</v>
      </c>
      <c r="AC1156">
        <v>2.09337412</v>
      </c>
    </row>
    <row r="1157" spans="1:29" hidden="1" x14ac:dyDescent="0.3">
      <c r="A1157" t="s">
        <v>61</v>
      </c>
      <c r="B1157">
        <v>2050</v>
      </c>
      <c r="J1157">
        <v>0.87705715755496005</v>
      </c>
      <c r="R1157">
        <v>20.796294580114001</v>
      </c>
      <c r="S1157">
        <v>1.3533295707779001</v>
      </c>
      <c r="U1157">
        <v>0</v>
      </c>
      <c r="V1157">
        <v>-0.37366520335727998</v>
      </c>
      <c r="AC1157">
        <v>0</v>
      </c>
    </row>
    <row r="1158" spans="1:29" hidden="1" x14ac:dyDescent="0.3">
      <c r="A1158" t="s">
        <v>61</v>
      </c>
      <c r="B1158">
        <v>2051</v>
      </c>
      <c r="J1158">
        <v>0.85780698343196005</v>
      </c>
      <c r="R1158">
        <v>20.897287791219998</v>
      </c>
      <c r="S1158">
        <v>1.3557312739033001</v>
      </c>
      <c r="U1158">
        <v>0</v>
      </c>
      <c r="V1158">
        <v>-0.38844635391776999</v>
      </c>
      <c r="AC1158">
        <v>0</v>
      </c>
    </row>
    <row r="1159" spans="1:29" hidden="1" x14ac:dyDescent="0.3">
      <c r="A1159" t="s">
        <v>61</v>
      </c>
      <c r="B1159">
        <v>2052</v>
      </c>
      <c r="J1159">
        <v>0.84580919051307002</v>
      </c>
      <c r="R1159">
        <v>20.994540149997</v>
      </c>
      <c r="S1159">
        <v>1.3574922025309999</v>
      </c>
      <c r="U1159">
        <v>0</v>
      </c>
      <c r="V1159">
        <v>-0.40322750447826</v>
      </c>
      <c r="AC1159">
        <v>0</v>
      </c>
    </row>
    <row r="1160" spans="1:29" hidden="1" x14ac:dyDescent="0.3">
      <c r="A1160" t="s">
        <v>61</v>
      </c>
      <c r="B1160">
        <v>2053</v>
      </c>
      <c r="J1160">
        <v>0.85278291460488997</v>
      </c>
      <c r="R1160">
        <v>21.086997877641</v>
      </c>
      <c r="S1160">
        <v>1.3587065467049</v>
      </c>
      <c r="U1160">
        <v>0</v>
      </c>
      <c r="V1160">
        <v>-0.41800865503875001</v>
      </c>
      <c r="AC1160">
        <v>9.6790000000000003</v>
      </c>
    </row>
    <row r="1161" spans="1:29" hidden="1" x14ac:dyDescent="0.3">
      <c r="A1161" t="s">
        <v>61</v>
      </c>
      <c r="B1161">
        <v>2054</v>
      </c>
      <c r="J1161">
        <v>0.86798897713115997</v>
      </c>
      <c r="R1161">
        <v>21.173133424252999</v>
      </c>
      <c r="S1161">
        <v>1.3592896704996</v>
      </c>
      <c r="U1161">
        <v>0</v>
      </c>
      <c r="V1161">
        <v>-0.43278980559923003</v>
      </c>
      <c r="AC1161">
        <v>29.324223841999999</v>
      </c>
    </row>
    <row r="1162" spans="1:29" hidden="1" x14ac:dyDescent="0.3">
      <c r="A1162" t="s">
        <v>61</v>
      </c>
      <c r="B1162">
        <v>2055</v>
      </c>
      <c r="J1162">
        <v>0.89086789417677004</v>
      </c>
      <c r="R1162">
        <v>21.251799411355002</v>
      </c>
      <c r="S1162">
        <v>1.3591068431902</v>
      </c>
      <c r="U1162">
        <v>0</v>
      </c>
      <c r="V1162">
        <v>-0.44757095615971998</v>
      </c>
      <c r="AC1162">
        <v>2.09337412</v>
      </c>
    </row>
    <row r="1163" spans="1:29" hidden="1" x14ac:dyDescent="0.3">
      <c r="A1163" t="s">
        <v>61</v>
      </c>
      <c r="B1163">
        <v>2056</v>
      </c>
      <c r="J1163">
        <v>0.91810101700254998</v>
      </c>
      <c r="R1163">
        <v>21.319670399799001</v>
      </c>
      <c r="S1163">
        <v>1.3580771883052001</v>
      </c>
      <c r="U1163">
        <v>0</v>
      </c>
      <c r="V1163">
        <v>-0.46235210672020999</v>
      </c>
      <c r="AC1163">
        <v>0</v>
      </c>
    </row>
    <row r="1164" spans="1:29" hidden="1" x14ac:dyDescent="0.3">
      <c r="A1164" t="s">
        <v>61</v>
      </c>
      <c r="B1164">
        <v>2057</v>
      </c>
      <c r="J1164">
        <v>0.94476785043667</v>
      </c>
      <c r="R1164">
        <v>21.374280201331999</v>
      </c>
      <c r="S1164">
        <v>1.3559285456539001</v>
      </c>
      <c r="U1164">
        <v>0</v>
      </c>
      <c r="V1164">
        <v>-0.4771332572807</v>
      </c>
      <c r="AC1164">
        <v>0</v>
      </c>
    </row>
    <row r="1165" spans="1:29" hidden="1" x14ac:dyDescent="0.3">
      <c r="A1165" t="s">
        <v>61</v>
      </c>
      <c r="B1165">
        <v>2058</v>
      </c>
      <c r="J1165">
        <v>0.97820818992241998</v>
      </c>
      <c r="R1165">
        <v>21.412297986016</v>
      </c>
      <c r="S1165">
        <v>1.3524137133092</v>
      </c>
      <c r="U1165">
        <v>0</v>
      </c>
      <c r="V1165">
        <v>-0.49191440784118001</v>
      </c>
      <c r="AC1165">
        <v>0</v>
      </c>
    </row>
    <row r="1166" spans="1:29" hidden="1" x14ac:dyDescent="0.3">
      <c r="A1166" t="s">
        <v>61</v>
      </c>
      <c r="B1166">
        <v>2059</v>
      </c>
      <c r="J1166">
        <v>1.0164451931112</v>
      </c>
      <c r="R1166">
        <v>21.430463650391001</v>
      </c>
      <c r="S1166">
        <v>1.3475220750296</v>
      </c>
      <c r="U1166">
        <v>0</v>
      </c>
      <c r="V1166">
        <v>-0.50669555840167002</v>
      </c>
      <c r="AC1166">
        <v>0</v>
      </c>
    </row>
    <row r="1167" spans="1:29" hidden="1" x14ac:dyDescent="0.3">
      <c r="A1167" t="s">
        <v>61</v>
      </c>
      <c r="B1167">
        <v>2060</v>
      </c>
      <c r="J1167">
        <v>1.0485695380622999</v>
      </c>
      <c r="R1167">
        <v>21.432879600275001</v>
      </c>
      <c r="S1167">
        <v>1.3413433926717</v>
      </c>
      <c r="U1167">
        <v>0</v>
      </c>
      <c r="V1167">
        <v>-0.52147670896216003</v>
      </c>
      <c r="AC1167">
        <v>0</v>
      </c>
    </row>
    <row r="1168" spans="1:29" hidden="1" x14ac:dyDescent="0.3">
      <c r="A1168" t="s">
        <v>61</v>
      </c>
      <c r="B1168">
        <v>2061</v>
      </c>
      <c r="J1168">
        <v>1.0736898843745</v>
      </c>
      <c r="R1168">
        <v>21.416464631366999</v>
      </c>
      <c r="S1168">
        <v>1.3341296037182</v>
      </c>
      <c r="U1168">
        <v>0</v>
      </c>
      <c r="V1168">
        <v>-0.53625785952265004</v>
      </c>
      <c r="AC1168">
        <v>0</v>
      </c>
    </row>
    <row r="1169" spans="1:38" hidden="1" x14ac:dyDescent="0.3">
      <c r="A1169" t="s">
        <v>61</v>
      </c>
      <c r="B1169">
        <v>2062</v>
      </c>
      <c r="J1169">
        <v>1.0910493430729</v>
      </c>
      <c r="R1169">
        <v>21.388052038234001</v>
      </c>
      <c r="S1169">
        <v>1.3260711741219999</v>
      </c>
      <c r="U1169">
        <v>0</v>
      </c>
      <c r="V1169">
        <v>-0.55103901008313005</v>
      </c>
      <c r="AC1169">
        <v>0</v>
      </c>
    </row>
    <row r="1170" spans="1:38" hidden="1" x14ac:dyDescent="0.3">
      <c r="A1170" t="s">
        <v>61</v>
      </c>
      <c r="B1170">
        <v>2063</v>
      </c>
      <c r="J1170">
        <v>1.099863769717</v>
      </c>
      <c r="R1170">
        <v>21.342934729229999</v>
      </c>
      <c r="S1170">
        <v>1.317271864696</v>
      </c>
      <c r="U1170">
        <v>0</v>
      </c>
      <c r="V1170">
        <v>-0.56582016064361995</v>
      </c>
      <c r="AC1170">
        <v>0</v>
      </c>
    </row>
    <row r="1171" spans="1:38" hidden="1" x14ac:dyDescent="0.3">
      <c r="A1171" t="s">
        <v>61</v>
      </c>
      <c r="B1171">
        <v>2064</v>
      </c>
      <c r="J1171">
        <v>1.0971683617751999</v>
      </c>
      <c r="R1171">
        <v>21.288940018992999</v>
      </c>
      <c r="S1171">
        <v>1.3080742911979999</v>
      </c>
      <c r="U1171">
        <v>0</v>
      </c>
      <c r="V1171">
        <v>-0.58060131120410996</v>
      </c>
      <c r="AC1171">
        <v>0</v>
      </c>
    </row>
    <row r="1172" spans="1:38" hidden="1" x14ac:dyDescent="0.3">
      <c r="A1172" t="s">
        <v>61</v>
      </c>
      <c r="B1172">
        <v>2065</v>
      </c>
      <c r="J1172">
        <v>1.0749161770132001</v>
      </c>
      <c r="R1172">
        <v>21.227988029464999</v>
      </c>
      <c r="S1172">
        <v>1.2991962073776999</v>
      </c>
      <c r="U1172">
        <v>0</v>
      </c>
      <c r="V1172">
        <v>-0.59538246176459997</v>
      </c>
      <c r="AC1172">
        <v>0</v>
      </c>
    </row>
    <row r="1173" spans="1:38" hidden="1" x14ac:dyDescent="0.3">
      <c r="A1173" t="s">
        <v>61</v>
      </c>
      <c r="B1173">
        <v>2066</v>
      </c>
      <c r="J1173">
        <v>1.0380255008838</v>
      </c>
      <c r="R1173">
        <v>21.168413535382999</v>
      </c>
      <c r="S1173">
        <v>1.2909809306082001</v>
      </c>
      <c r="U1173">
        <v>0</v>
      </c>
      <c r="V1173">
        <v>-0.61016361232507998</v>
      </c>
      <c r="AC1173">
        <v>0</v>
      </c>
    </row>
    <row r="1174" spans="1:38" hidden="1" x14ac:dyDescent="0.3">
      <c r="A1174" t="s">
        <v>61</v>
      </c>
      <c r="B1174">
        <v>2067</v>
      </c>
      <c r="J1174">
        <v>0.99042360825270004</v>
      </c>
      <c r="R1174">
        <v>21.109889856883001</v>
      </c>
      <c r="S1174">
        <v>1.283598718957</v>
      </c>
      <c r="U1174">
        <v>0</v>
      </c>
      <c r="V1174">
        <v>-0.62494476288556999</v>
      </c>
      <c r="AC1174">
        <v>0</v>
      </c>
    </row>
    <row r="1175" spans="1:38" hidden="1" x14ac:dyDescent="0.3">
      <c r="A1175" t="s">
        <v>61</v>
      </c>
      <c r="B1175">
        <v>2068</v>
      </c>
      <c r="J1175">
        <v>0.93191528991781003</v>
      </c>
      <c r="R1175">
        <v>21.05754207407</v>
      </c>
      <c r="S1175">
        <v>1.2773527035481</v>
      </c>
      <c r="U1175">
        <v>0</v>
      </c>
      <c r="V1175">
        <v>-0.63972591344606</v>
      </c>
      <c r="AC1175">
        <v>0</v>
      </c>
    </row>
    <row r="1176" spans="1:38" hidden="1" x14ac:dyDescent="0.3">
      <c r="A1176" t="s">
        <v>61</v>
      </c>
      <c r="B1176">
        <v>2069</v>
      </c>
      <c r="J1176">
        <v>0.86893161866813995</v>
      </c>
      <c r="R1176">
        <v>21.012699531915001</v>
      </c>
      <c r="S1176">
        <v>1.2725197978641001</v>
      </c>
      <c r="U1176">
        <v>0</v>
      </c>
      <c r="V1176">
        <v>-0.65450706400654002</v>
      </c>
      <c r="AC1176">
        <v>0</v>
      </c>
    </row>
    <row r="1177" spans="1:38" hidden="1" x14ac:dyDescent="0.3">
      <c r="A1177" t="s">
        <v>61</v>
      </c>
      <c r="B1177">
        <v>2070</v>
      </c>
      <c r="J1177">
        <v>0.81345626432313001</v>
      </c>
      <c r="R1177">
        <v>20.975939520964999</v>
      </c>
      <c r="S1177">
        <v>1.2690260316213999</v>
      </c>
      <c r="U1177">
        <v>0</v>
      </c>
      <c r="V1177">
        <v>-0.66928821456703003</v>
      </c>
      <c r="AC1177">
        <v>0</v>
      </c>
    </row>
    <row r="1178" spans="1:38" hidden="1" x14ac:dyDescent="0.3">
      <c r="A1178" t="s">
        <v>61</v>
      </c>
      <c r="B1178">
        <v>2071</v>
      </c>
      <c r="V1178">
        <v>-0.68406936512752003</v>
      </c>
    </row>
    <row r="1179" spans="1:38" hidden="1" x14ac:dyDescent="0.3">
      <c r="A1179" t="s">
        <v>62</v>
      </c>
      <c r="B1179">
        <v>0</v>
      </c>
      <c r="AD1179">
        <v>0.18865442191393</v>
      </c>
      <c r="AE1179">
        <v>6.5910273284458004E-2</v>
      </c>
      <c r="AF1179">
        <v>6.0225862055566001E-2</v>
      </c>
      <c r="AG1179">
        <v>1</v>
      </c>
      <c r="AH1179">
        <v>0</v>
      </c>
      <c r="AI1179">
        <v>3.3078926315789001</v>
      </c>
      <c r="AJ1179">
        <v>4.6964899999999998</v>
      </c>
      <c r="AK1179">
        <v>2.1578473684211001</v>
      </c>
      <c r="AL1179">
        <v>0.53800000000000003</v>
      </c>
    </row>
    <row r="1180" spans="1:38" hidden="1" x14ac:dyDescent="0.3">
      <c r="A1180" t="s">
        <v>62</v>
      </c>
      <c r="B1180">
        <v>2024</v>
      </c>
      <c r="C1180">
        <v>270.7</v>
      </c>
      <c r="D1180">
        <v>94.927400000000006</v>
      </c>
      <c r="E1180">
        <v>285.1893</v>
      </c>
      <c r="F1180">
        <v>6.4444213864271997</v>
      </c>
      <c r="G1180">
        <v>237.45735328526999</v>
      </c>
      <c r="H1180">
        <v>1.928444550062</v>
      </c>
      <c r="I1180">
        <v>235.82825153585</v>
      </c>
      <c r="J1180">
        <v>2.3653810619805</v>
      </c>
      <c r="K1180">
        <v>4.4305288740252999</v>
      </c>
      <c r="L1180">
        <v>2.9323319626384001</v>
      </c>
      <c r="M1180">
        <v>2.75922</v>
      </c>
      <c r="N1180">
        <v>2.3875999999999999</v>
      </c>
      <c r="O1180">
        <v>0.69925490000000001</v>
      </c>
      <c r="P1180">
        <v>10.87</v>
      </c>
      <c r="Q1180">
        <v>40.7071738</v>
      </c>
      <c r="R1180">
        <v>23.296585520669002</v>
      </c>
      <c r="S1180">
        <v>1.0446999524773</v>
      </c>
      <c r="U1180">
        <v>0</v>
      </c>
      <c r="V1180">
        <v>0</v>
      </c>
      <c r="W1180">
        <v>2.2435847999999998</v>
      </c>
      <c r="X1180">
        <v>3.2410000000000001</v>
      </c>
      <c r="Y1180">
        <v>2.9572500000000002</v>
      </c>
      <c r="Z1180">
        <v>1</v>
      </c>
      <c r="AA1180">
        <v>1.0823804690000001</v>
      </c>
    </row>
    <row r="1181" spans="1:38" hidden="1" x14ac:dyDescent="0.3">
      <c r="A1181" t="s">
        <v>62</v>
      </c>
      <c r="B1181">
        <v>2025</v>
      </c>
      <c r="C1181">
        <v>274.5</v>
      </c>
      <c r="D1181">
        <v>91.748599999999996</v>
      </c>
      <c r="E1181">
        <v>299.22390000000001</v>
      </c>
      <c r="F1181">
        <v>4.9211523714248999</v>
      </c>
      <c r="G1181">
        <v>241.61429969672</v>
      </c>
      <c r="H1181">
        <v>1.7506075739203999</v>
      </c>
      <c r="I1181">
        <v>241.02307751804</v>
      </c>
      <c r="J1181">
        <v>2.2028005331695999</v>
      </c>
      <c r="K1181">
        <v>3.1160046770231</v>
      </c>
      <c r="L1181">
        <v>2.4767093808285998</v>
      </c>
      <c r="M1181">
        <v>2.2755763999999998</v>
      </c>
      <c r="N1181">
        <v>2.1436000000000002</v>
      </c>
      <c r="O1181">
        <v>0.1263311</v>
      </c>
      <c r="P1181">
        <v>4.1900000000000004</v>
      </c>
      <c r="Q1181">
        <v>41.882851500000001</v>
      </c>
      <c r="R1181">
        <v>23.494672388304998</v>
      </c>
      <c r="S1181">
        <v>1.0556839686004</v>
      </c>
      <c r="U1181">
        <v>0</v>
      </c>
      <c r="V1181">
        <v>9.2963352799416005E-3</v>
      </c>
      <c r="W1181">
        <v>2.3755145999999998</v>
      </c>
      <c r="X1181">
        <v>2.2909999999999999</v>
      </c>
      <c r="Y1181">
        <v>3.0790000000000002</v>
      </c>
      <c r="Z1181">
        <v>1</v>
      </c>
      <c r="AA1181">
        <v>1.113519535</v>
      </c>
      <c r="AB1181">
        <v>1.5253083567500001</v>
      </c>
      <c r="AC1181">
        <v>17.460920820999998</v>
      </c>
    </row>
    <row r="1182" spans="1:38" hidden="1" x14ac:dyDescent="0.3">
      <c r="A1182" t="s">
        <v>62</v>
      </c>
      <c r="B1182">
        <v>2026</v>
      </c>
      <c r="C1182">
        <v>280.5</v>
      </c>
      <c r="D1182">
        <v>89.6755</v>
      </c>
      <c r="E1182">
        <v>312.81459999999998</v>
      </c>
      <c r="F1182">
        <v>4.5419834445041998</v>
      </c>
      <c r="G1182">
        <v>247.03989648619</v>
      </c>
      <c r="H1182">
        <v>2.2455611262601001</v>
      </c>
      <c r="I1182">
        <v>245.95238013509999</v>
      </c>
      <c r="J1182">
        <v>2.045157944134</v>
      </c>
      <c r="K1182">
        <v>2.2459703744370998</v>
      </c>
      <c r="L1182">
        <v>2.0119566334671002</v>
      </c>
      <c r="M1182">
        <v>1.6633403</v>
      </c>
      <c r="N1182">
        <v>1.4255</v>
      </c>
      <c r="O1182">
        <v>-0.57389780000000001</v>
      </c>
      <c r="P1182">
        <v>4.1900000000000004</v>
      </c>
      <c r="Q1182">
        <v>42.774717299999999</v>
      </c>
      <c r="R1182">
        <v>23.629416505782</v>
      </c>
      <c r="S1182">
        <v>1.0658163363676001</v>
      </c>
      <c r="U1182">
        <v>0</v>
      </c>
      <c r="V1182">
        <v>1.7815668135881001E-2</v>
      </c>
      <c r="W1182">
        <v>2.5491971000000002</v>
      </c>
      <c r="Z1182">
        <v>1</v>
      </c>
      <c r="AA1182">
        <v>1.1346799999999999</v>
      </c>
      <c r="AB1182">
        <v>0.8</v>
      </c>
      <c r="AC1182">
        <v>18.640942675000002</v>
      </c>
    </row>
    <row r="1183" spans="1:38" hidden="1" x14ac:dyDescent="0.3">
      <c r="A1183" t="s">
        <v>62</v>
      </c>
      <c r="B1183">
        <v>2027</v>
      </c>
      <c r="G1183">
        <v>250.14452505487</v>
      </c>
      <c r="H1183">
        <v>1.2567316505685999</v>
      </c>
      <c r="I1183">
        <v>249.40932388114001</v>
      </c>
      <c r="J1183">
        <v>1.4055337639495</v>
      </c>
      <c r="R1183">
        <v>23.762907759495</v>
      </c>
      <c r="S1183">
        <v>1.0784368772132999</v>
      </c>
      <c r="U1183">
        <v>0</v>
      </c>
      <c r="V1183">
        <v>2.8884030878543999E-2</v>
      </c>
      <c r="AB1183">
        <v>1.02</v>
      </c>
      <c r="AC1183">
        <v>17.263398001999999</v>
      </c>
    </row>
    <row r="1184" spans="1:38" hidden="1" x14ac:dyDescent="0.3">
      <c r="A1184" t="s">
        <v>62</v>
      </c>
      <c r="B1184">
        <v>2028</v>
      </c>
      <c r="G1184">
        <v>252.64483933355001</v>
      </c>
      <c r="H1184">
        <v>0.99954787262899003</v>
      </c>
      <c r="I1184">
        <v>252.27301799175001</v>
      </c>
      <c r="J1184">
        <v>1.1481904790274</v>
      </c>
      <c r="R1184">
        <v>23.937045225652</v>
      </c>
      <c r="S1184">
        <v>1.0884502685359001</v>
      </c>
      <c r="U1184">
        <v>0</v>
      </c>
      <c r="V1184">
        <v>3.7354376167059E-2</v>
      </c>
      <c r="AB1184">
        <v>0.8</v>
      </c>
      <c r="AC1184">
        <v>18.602387</v>
      </c>
    </row>
    <row r="1185" spans="1:29" hidden="1" x14ac:dyDescent="0.3">
      <c r="A1185" t="s">
        <v>62</v>
      </c>
      <c r="B1185">
        <v>2029</v>
      </c>
      <c r="G1185">
        <v>254.88101046704</v>
      </c>
      <c r="H1185">
        <v>0.88510461539276997</v>
      </c>
      <c r="I1185">
        <v>254.88101046704</v>
      </c>
      <c r="J1185">
        <v>1.0337976276887</v>
      </c>
      <c r="R1185">
        <v>24.144287593015999</v>
      </c>
      <c r="S1185">
        <v>1.1003662238894001</v>
      </c>
      <c r="U1185">
        <v>0</v>
      </c>
      <c r="V1185">
        <v>4.7811698168515999E-2</v>
      </c>
      <c r="AC1185">
        <v>13.838995000000001</v>
      </c>
    </row>
    <row r="1186" spans="1:29" hidden="1" x14ac:dyDescent="0.3">
      <c r="A1186" t="s">
        <v>62</v>
      </c>
      <c r="B1186">
        <v>2030</v>
      </c>
      <c r="J1186">
        <v>0.99571829172628001</v>
      </c>
      <c r="R1186">
        <v>24.384316609784999</v>
      </c>
      <c r="S1186">
        <v>1.114409143571</v>
      </c>
      <c r="U1186">
        <v>0</v>
      </c>
      <c r="V1186">
        <v>6.0472063720226003E-2</v>
      </c>
      <c r="AC1186">
        <v>21.170724348</v>
      </c>
    </row>
    <row r="1187" spans="1:29" hidden="1" x14ac:dyDescent="0.3">
      <c r="A1187" t="s">
        <v>62</v>
      </c>
      <c r="B1187">
        <v>2031</v>
      </c>
      <c r="J1187">
        <v>0.95763895576385005</v>
      </c>
      <c r="R1187">
        <v>24.648540090032999</v>
      </c>
      <c r="S1187">
        <v>1.1299520740150999</v>
      </c>
      <c r="U1187">
        <v>0</v>
      </c>
      <c r="V1187">
        <v>7.4708417057991E-2</v>
      </c>
      <c r="AC1187">
        <v>9.472349049</v>
      </c>
    </row>
    <row r="1188" spans="1:29" hidden="1" x14ac:dyDescent="0.3">
      <c r="A1188" t="s">
        <v>62</v>
      </c>
      <c r="B1188">
        <v>2032</v>
      </c>
      <c r="J1188">
        <v>0.91955961980140999</v>
      </c>
      <c r="R1188">
        <v>24.929930078898</v>
      </c>
      <c r="S1188">
        <v>1.1465987857247999</v>
      </c>
      <c r="U1188">
        <v>0</v>
      </c>
      <c r="V1188">
        <v>9.0114787220955006E-2</v>
      </c>
      <c r="AB1188">
        <v>4.2</v>
      </c>
      <c r="AC1188">
        <v>7.1382310120000003</v>
      </c>
    </row>
    <row r="1189" spans="1:29" hidden="1" x14ac:dyDescent="0.3">
      <c r="A1189" t="s">
        <v>62</v>
      </c>
      <c r="B1189">
        <v>2033</v>
      </c>
      <c r="J1189">
        <v>0.88148028383898003</v>
      </c>
      <c r="R1189">
        <v>25.172770366828001</v>
      </c>
      <c r="S1189">
        <v>1.1599071633163001</v>
      </c>
      <c r="U1189">
        <v>0</v>
      </c>
      <c r="V1189">
        <v>0.10219018161297</v>
      </c>
      <c r="AB1189">
        <v>4.05</v>
      </c>
      <c r="AC1189">
        <v>5.4519946E-2</v>
      </c>
    </row>
    <row r="1190" spans="1:29" hidden="1" x14ac:dyDescent="0.3">
      <c r="A1190" t="s">
        <v>62</v>
      </c>
      <c r="B1190">
        <v>2034</v>
      </c>
      <c r="J1190">
        <v>0.84340094787654996</v>
      </c>
      <c r="R1190">
        <v>25.383699731713001</v>
      </c>
      <c r="S1190">
        <v>1.1702080426618</v>
      </c>
      <c r="U1190">
        <v>0</v>
      </c>
      <c r="V1190">
        <v>0.11125452816486001</v>
      </c>
      <c r="AB1190">
        <v>1.05</v>
      </c>
      <c r="AC1190">
        <v>15.973663702</v>
      </c>
    </row>
    <row r="1191" spans="1:29" hidden="1" x14ac:dyDescent="0.3">
      <c r="A1191" t="s">
        <v>62</v>
      </c>
      <c r="B1191">
        <v>2035</v>
      </c>
      <c r="J1191">
        <v>0.80532161191411</v>
      </c>
      <c r="R1191">
        <v>25.565154991749999</v>
      </c>
      <c r="S1191">
        <v>1.1783294398305999</v>
      </c>
      <c r="U1191">
        <v>0</v>
      </c>
      <c r="V1191">
        <v>0.12270463583144001</v>
      </c>
      <c r="AB1191">
        <v>3.43</v>
      </c>
      <c r="AC1191">
        <v>11.945622845999999</v>
      </c>
    </row>
    <row r="1192" spans="1:29" hidden="1" x14ac:dyDescent="0.3">
      <c r="A1192" t="s">
        <v>62</v>
      </c>
      <c r="B1192">
        <v>2036</v>
      </c>
      <c r="J1192">
        <v>0.76724227595168004</v>
      </c>
      <c r="R1192">
        <v>25.740631708969001</v>
      </c>
      <c r="S1192">
        <v>1.1853803212778999</v>
      </c>
      <c r="U1192">
        <v>0</v>
      </c>
      <c r="V1192">
        <v>0.13415474349802001</v>
      </c>
      <c r="AB1192">
        <v>4.6023608231999997</v>
      </c>
      <c r="AC1192">
        <v>0.102900061</v>
      </c>
    </row>
    <row r="1193" spans="1:29" hidden="1" x14ac:dyDescent="0.3">
      <c r="A1193" t="s">
        <v>62</v>
      </c>
      <c r="B1193">
        <v>2037</v>
      </c>
      <c r="J1193">
        <v>0.89101423790834</v>
      </c>
      <c r="R1193">
        <v>25.897417793728</v>
      </c>
      <c r="S1193">
        <v>1.1910056057013001</v>
      </c>
      <c r="U1193">
        <v>0</v>
      </c>
      <c r="V1193">
        <v>0.14560485116460001</v>
      </c>
      <c r="AC1193">
        <v>10.465138789999999</v>
      </c>
    </row>
    <row r="1194" spans="1:29" hidden="1" x14ac:dyDescent="0.3">
      <c r="A1194" t="s">
        <v>62</v>
      </c>
      <c r="B1194">
        <v>2038</v>
      </c>
      <c r="J1194">
        <v>0.96575894946857999</v>
      </c>
      <c r="R1194">
        <v>26.055713284582001</v>
      </c>
      <c r="S1194">
        <v>1.1965172342724</v>
      </c>
      <c r="U1194">
        <v>0</v>
      </c>
      <c r="V1194">
        <v>0.15705495883118001</v>
      </c>
      <c r="AB1194">
        <v>2.7506228999600002</v>
      </c>
      <c r="AC1194">
        <v>5.5960657319999996</v>
      </c>
    </row>
    <row r="1195" spans="1:29" hidden="1" x14ac:dyDescent="0.3">
      <c r="A1195" t="s">
        <v>62</v>
      </c>
      <c r="B1195">
        <v>2039</v>
      </c>
      <c r="J1195">
        <v>1.0675693107741999</v>
      </c>
      <c r="R1195">
        <v>26.221260484078002</v>
      </c>
      <c r="S1195">
        <v>1.2026601233797001</v>
      </c>
      <c r="U1195">
        <v>0</v>
      </c>
      <c r="V1195">
        <v>0.16850506649776001</v>
      </c>
      <c r="AC1195">
        <v>0</v>
      </c>
    </row>
    <row r="1196" spans="1:29" hidden="1" x14ac:dyDescent="0.3">
      <c r="A1196" t="s">
        <v>62</v>
      </c>
      <c r="B1196">
        <v>2040</v>
      </c>
      <c r="J1196">
        <v>1.1902251510613999</v>
      </c>
      <c r="R1196">
        <v>26.398104206383</v>
      </c>
      <c r="S1196">
        <v>1.2098839594402</v>
      </c>
      <c r="U1196">
        <v>0</v>
      </c>
      <c r="V1196">
        <v>0.17995517416434001</v>
      </c>
      <c r="AB1196">
        <v>1.1000000000000001</v>
      </c>
      <c r="AC1196">
        <v>1.9310810000000001E-3</v>
      </c>
    </row>
    <row r="1197" spans="1:29" hidden="1" x14ac:dyDescent="0.3">
      <c r="A1197" t="s">
        <v>62</v>
      </c>
      <c r="B1197">
        <v>2041</v>
      </c>
      <c r="J1197">
        <v>1.2229181465158001</v>
      </c>
      <c r="R1197">
        <v>26.594238469543999</v>
      </c>
      <c r="S1197">
        <v>1.2190312039543001</v>
      </c>
      <c r="U1197">
        <v>0</v>
      </c>
      <c r="V1197">
        <v>0.19140528183092001</v>
      </c>
      <c r="AC1197">
        <v>8.3898800000000004E-4</v>
      </c>
    </row>
    <row r="1198" spans="1:29" hidden="1" x14ac:dyDescent="0.3">
      <c r="A1198" t="s">
        <v>62</v>
      </c>
      <c r="B1198">
        <v>2042</v>
      </c>
      <c r="J1198">
        <v>1.2457340683105</v>
      </c>
      <c r="R1198">
        <v>26.790216069203002</v>
      </c>
      <c r="S1198">
        <v>1.2278593396354001</v>
      </c>
      <c r="U1198">
        <v>0</v>
      </c>
      <c r="V1198">
        <v>0.20285538949750001</v>
      </c>
      <c r="AC1198">
        <v>5.7918421970000002</v>
      </c>
    </row>
    <row r="1199" spans="1:29" hidden="1" x14ac:dyDescent="0.3">
      <c r="A1199" t="s">
        <v>62</v>
      </c>
      <c r="B1199">
        <v>2043</v>
      </c>
      <c r="J1199">
        <v>1.2481613514973</v>
      </c>
      <c r="R1199">
        <v>26.962170224474999</v>
      </c>
      <c r="S1199">
        <v>1.23527240634</v>
      </c>
      <c r="U1199">
        <v>0</v>
      </c>
      <c r="V1199">
        <v>0.21430549716408001</v>
      </c>
      <c r="AC1199">
        <v>1.123378E-3</v>
      </c>
    </row>
    <row r="1200" spans="1:29" hidden="1" x14ac:dyDescent="0.3">
      <c r="A1200" t="s">
        <v>62</v>
      </c>
      <c r="B1200">
        <v>2044</v>
      </c>
      <c r="J1200">
        <v>1.2596674147400999</v>
      </c>
      <c r="R1200">
        <v>27.137231894879001</v>
      </c>
      <c r="S1200">
        <v>1.2431384981853999</v>
      </c>
      <c r="U1200">
        <v>0</v>
      </c>
      <c r="V1200">
        <v>0.22575560483066001</v>
      </c>
      <c r="AC1200">
        <v>0</v>
      </c>
    </row>
    <row r="1201" spans="1:29" hidden="1" x14ac:dyDescent="0.3">
      <c r="A1201" t="s">
        <v>62</v>
      </c>
      <c r="B1201">
        <v>2045</v>
      </c>
      <c r="J1201">
        <v>1.2934936369548</v>
      </c>
      <c r="R1201">
        <v>27.273273114769999</v>
      </c>
      <c r="S1201">
        <v>1.2481493888120001</v>
      </c>
      <c r="U1201">
        <v>0</v>
      </c>
      <c r="V1201">
        <v>0.23720571249722999</v>
      </c>
      <c r="AC1201">
        <v>6.995891887</v>
      </c>
    </row>
    <row r="1202" spans="1:29" hidden="1" x14ac:dyDescent="0.3">
      <c r="A1202" t="s">
        <v>62</v>
      </c>
      <c r="B1202">
        <v>2046</v>
      </c>
      <c r="J1202">
        <v>1.3359394210361</v>
      </c>
      <c r="R1202">
        <v>27.360049421452</v>
      </c>
      <c r="S1202">
        <v>1.2494064080539</v>
      </c>
      <c r="U1202">
        <v>0</v>
      </c>
      <c r="V1202">
        <v>0.24865582016380999</v>
      </c>
      <c r="AC1202">
        <v>0</v>
      </c>
    </row>
    <row r="1203" spans="1:29" hidden="1" x14ac:dyDescent="0.3">
      <c r="A1203" t="s">
        <v>62</v>
      </c>
      <c r="B1203">
        <v>2047</v>
      </c>
      <c r="J1203">
        <v>1.3839248502382999</v>
      </c>
      <c r="R1203">
        <v>27.370783363988998</v>
      </c>
      <c r="S1203">
        <v>1.2450533597172</v>
      </c>
      <c r="U1203">
        <v>0</v>
      </c>
      <c r="V1203">
        <v>0.26010592783038999</v>
      </c>
      <c r="AC1203">
        <v>0</v>
      </c>
    </row>
    <row r="1204" spans="1:29" hidden="1" x14ac:dyDescent="0.3">
      <c r="A1204" t="s">
        <v>62</v>
      </c>
      <c r="B1204">
        <v>2048</v>
      </c>
      <c r="J1204">
        <v>1.4261588512337999</v>
      </c>
      <c r="R1204">
        <v>27.311015481251999</v>
      </c>
      <c r="S1204">
        <v>1.2353310841148</v>
      </c>
      <c r="U1204">
        <v>0</v>
      </c>
      <c r="V1204">
        <v>0.27155603549696999</v>
      </c>
      <c r="AC1204">
        <v>0</v>
      </c>
    </row>
    <row r="1205" spans="1:29" hidden="1" x14ac:dyDescent="0.3">
      <c r="A1205" t="s">
        <v>62</v>
      </c>
      <c r="B1205">
        <v>2049</v>
      </c>
      <c r="J1205">
        <v>1.4386809317647</v>
      </c>
      <c r="R1205">
        <v>27.190591034840999</v>
      </c>
      <c r="S1205">
        <v>1.2209067053635001</v>
      </c>
      <c r="U1205">
        <v>0</v>
      </c>
      <c r="V1205">
        <v>0.28300614316354999</v>
      </c>
      <c r="AC1205">
        <v>0</v>
      </c>
    </row>
    <row r="1206" spans="1:29" hidden="1" x14ac:dyDescent="0.3">
      <c r="A1206" t="s">
        <v>62</v>
      </c>
      <c r="B1206">
        <v>2050</v>
      </c>
      <c r="J1206">
        <v>1.4473998133563</v>
      </c>
      <c r="R1206">
        <v>27.006296117211999</v>
      </c>
      <c r="S1206">
        <v>1.2021298024528</v>
      </c>
      <c r="U1206">
        <v>0</v>
      </c>
      <c r="V1206">
        <v>0.29445625083013</v>
      </c>
      <c r="AC1206">
        <v>0</v>
      </c>
    </row>
    <row r="1207" spans="1:29" hidden="1" x14ac:dyDescent="0.3">
      <c r="A1207" t="s">
        <v>62</v>
      </c>
      <c r="B1207">
        <v>2051</v>
      </c>
      <c r="J1207">
        <v>1.4596979165324</v>
      </c>
      <c r="R1207">
        <v>26.779926484945001</v>
      </c>
      <c r="S1207">
        <v>1.1803703123669</v>
      </c>
      <c r="U1207">
        <v>0</v>
      </c>
      <c r="V1207">
        <v>0.30590635849671</v>
      </c>
      <c r="AC1207">
        <v>0</v>
      </c>
    </row>
    <row r="1208" spans="1:29" hidden="1" x14ac:dyDescent="0.3">
      <c r="A1208" t="s">
        <v>62</v>
      </c>
      <c r="B1208">
        <v>2052</v>
      </c>
      <c r="J1208">
        <v>1.4763633319434</v>
      </c>
      <c r="R1208">
        <v>26.528048629189001</v>
      </c>
      <c r="S1208">
        <v>1.1567724975452001</v>
      </c>
      <c r="U1208">
        <v>0</v>
      </c>
      <c r="V1208">
        <v>0.31735646616329</v>
      </c>
      <c r="AC1208">
        <v>7.2212169810000004</v>
      </c>
    </row>
    <row r="1209" spans="1:29" hidden="1" x14ac:dyDescent="0.3">
      <c r="A1209" t="s">
        <v>62</v>
      </c>
      <c r="B1209">
        <v>2053</v>
      </c>
      <c r="J1209">
        <v>1.4924020247762999</v>
      </c>
      <c r="R1209">
        <v>26.257536363459</v>
      </c>
      <c r="S1209">
        <v>1.1325062201402001</v>
      </c>
      <c r="U1209">
        <v>0</v>
      </c>
      <c r="V1209">
        <v>0.32880657382987</v>
      </c>
      <c r="AC1209">
        <v>0</v>
      </c>
    </row>
    <row r="1210" spans="1:29" hidden="1" x14ac:dyDescent="0.3">
      <c r="A1210" t="s">
        <v>62</v>
      </c>
      <c r="B1210">
        <v>2054</v>
      </c>
      <c r="J1210">
        <v>1.5012822017625</v>
      </c>
      <c r="R1210">
        <v>25.966585438458001</v>
      </c>
      <c r="S1210">
        <v>1.1067951252478001</v>
      </c>
      <c r="U1210">
        <v>0</v>
      </c>
      <c r="V1210">
        <v>0.34025668149645</v>
      </c>
      <c r="AC1210">
        <v>3</v>
      </c>
    </row>
    <row r="1211" spans="1:29" hidden="1" x14ac:dyDescent="0.3">
      <c r="A1211" t="s">
        <v>62</v>
      </c>
      <c r="B1211">
        <v>2055</v>
      </c>
      <c r="J1211">
        <v>1.5001410368963</v>
      </c>
      <c r="R1211">
        <v>25.670220165800998</v>
      </c>
      <c r="S1211">
        <v>1.0815124473883999</v>
      </c>
      <c r="U1211">
        <v>0</v>
      </c>
      <c r="V1211">
        <v>0.35170678916303</v>
      </c>
      <c r="AC1211">
        <v>0</v>
      </c>
    </row>
    <row r="1212" spans="1:29" hidden="1" x14ac:dyDescent="0.3">
      <c r="A1212" t="s">
        <v>62</v>
      </c>
      <c r="B1212">
        <v>2056</v>
      </c>
      <c r="J1212">
        <v>1.4910633098141</v>
      </c>
      <c r="R1212">
        <v>25.384361113661999</v>
      </c>
      <c r="S1212">
        <v>1.0569725944779</v>
      </c>
      <c r="U1212">
        <v>0</v>
      </c>
      <c r="V1212">
        <v>0.36315689682961</v>
      </c>
      <c r="AC1212">
        <v>0</v>
      </c>
    </row>
    <row r="1213" spans="1:29" hidden="1" x14ac:dyDescent="0.3">
      <c r="A1213" t="s">
        <v>62</v>
      </c>
      <c r="B1213">
        <v>2057</v>
      </c>
      <c r="J1213">
        <v>1.4758939606834001</v>
      </c>
      <c r="R1213">
        <v>25.100529822462001</v>
      </c>
      <c r="S1213">
        <v>1.0332034222032001</v>
      </c>
      <c r="U1213">
        <v>0</v>
      </c>
      <c r="V1213">
        <v>0.37460700449618001</v>
      </c>
      <c r="AC1213">
        <v>0</v>
      </c>
    </row>
    <row r="1214" spans="1:29" hidden="1" x14ac:dyDescent="0.3">
      <c r="A1214" t="s">
        <v>62</v>
      </c>
      <c r="B1214">
        <v>2058</v>
      </c>
      <c r="J1214">
        <v>1.455038513406</v>
      </c>
      <c r="R1214">
        <v>24.828056057516001</v>
      </c>
      <c r="S1214">
        <v>1.0103246872845</v>
      </c>
      <c r="U1214">
        <v>0</v>
      </c>
      <c r="V1214">
        <v>0.38605711216276001</v>
      </c>
      <c r="AC1214">
        <v>0</v>
      </c>
    </row>
    <row r="1215" spans="1:29" hidden="1" x14ac:dyDescent="0.3">
      <c r="A1215" t="s">
        <v>62</v>
      </c>
      <c r="B1215">
        <v>2059</v>
      </c>
      <c r="J1215">
        <v>1.4267766974717999</v>
      </c>
      <c r="R1215">
        <v>24.568673283824001</v>
      </c>
      <c r="S1215">
        <v>0.98914389007809</v>
      </c>
      <c r="U1215">
        <v>0</v>
      </c>
      <c r="V1215">
        <v>0.39750721982934001</v>
      </c>
      <c r="AC1215">
        <v>0</v>
      </c>
    </row>
    <row r="1216" spans="1:29" hidden="1" x14ac:dyDescent="0.3">
      <c r="A1216" t="s">
        <v>62</v>
      </c>
      <c r="B1216">
        <v>2060</v>
      </c>
      <c r="J1216">
        <v>1.392190392914</v>
      </c>
      <c r="R1216">
        <v>24.329456838807001</v>
      </c>
      <c r="S1216">
        <v>0.96972244691969001</v>
      </c>
      <c r="U1216">
        <v>0</v>
      </c>
      <c r="V1216">
        <v>0.40895732749592001</v>
      </c>
      <c r="AC1216">
        <v>0</v>
      </c>
    </row>
    <row r="1217" spans="1:38" hidden="1" x14ac:dyDescent="0.3">
      <c r="A1217" t="s">
        <v>62</v>
      </c>
      <c r="B1217">
        <v>2061</v>
      </c>
      <c r="J1217">
        <v>1.3611512368973999</v>
      </c>
      <c r="R1217">
        <v>24.105240278298002</v>
      </c>
      <c r="S1217">
        <v>0.95169508291678995</v>
      </c>
      <c r="U1217">
        <v>0</v>
      </c>
      <c r="V1217">
        <v>0.42040743516250001</v>
      </c>
      <c r="AC1217">
        <v>0</v>
      </c>
    </row>
    <row r="1218" spans="1:38" hidden="1" x14ac:dyDescent="0.3">
      <c r="A1218" t="s">
        <v>62</v>
      </c>
      <c r="B1218">
        <v>2062</v>
      </c>
      <c r="J1218">
        <v>1.3303098277651</v>
      </c>
      <c r="R1218">
        <v>23.900249584392</v>
      </c>
      <c r="S1218">
        <v>0.93509373390912998</v>
      </c>
      <c r="U1218">
        <v>0</v>
      </c>
      <c r="V1218">
        <v>0.43185754282908001</v>
      </c>
      <c r="AC1218">
        <v>0</v>
      </c>
    </row>
    <row r="1219" spans="1:38" hidden="1" x14ac:dyDescent="0.3">
      <c r="A1219" t="s">
        <v>62</v>
      </c>
      <c r="B1219">
        <v>2063</v>
      </c>
      <c r="J1219">
        <v>1.2975973403209999</v>
      </c>
      <c r="R1219">
        <v>23.704670090272</v>
      </c>
      <c r="S1219">
        <v>0.92004027213617001</v>
      </c>
      <c r="U1219">
        <v>0</v>
      </c>
      <c r="V1219">
        <v>0.44330765049566001</v>
      </c>
      <c r="AC1219">
        <v>0</v>
      </c>
    </row>
    <row r="1220" spans="1:38" hidden="1" x14ac:dyDescent="0.3">
      <c r="A1220" t="s">
        <v>62</v>
      </c>
      <c r="B1220">
        <v>2064</v>
      </c>
      <c r="J1220">
        <v>1.2639318155026</v>
      </c>
      <c r="R1220">
        <v>23.534396861253999</v>
      </c>
      <c r="S1220">
        <v>0.90679702642541005</v>
      </c>
      <c r="U1220">
        <v>0</v>
      </c>
      <c r="V1220">
        <v>0.45475775816224001</v>
      </c>
      <c r="AC1220">
        <v>0</v>
      </c>
    </row>
    <row r="1221" spans="1:38" hidden="1" x14ac:dyDescent="0.3">
      <c r="A1221" t="s">
        <v>62</v>
      </c>
      <c r="B1221">
        <v>2065</v>
      </c>
      <c r="J1221">
        <v>1.2300048133871</v>
      </c>
      <c r="R1221">
        <v>23.385212668588998</v>
      </c>
      <c r="S1221">
        <v>0.89565360358040003</v>
      </c>
      <c r="U1221">
        <v>0</v>
      </c>
      <c r="V1221">
        <v>0.46620786582882001</v>
      </c>
      <c r="AC1221">
        <v>0</v>
      </c>
    </row>
    <row r="1222" spans="1:38" hidden="1" x14ac:dyDescent="0.3">
      <c r="A1222" t="s">
        <v>62</v>
      </c>
      <c r="B1222">
        <v>2066</v>
      </c>
      <c r="J1222">
        <v>1.1831459351175</v>
      </c>
      <c r="R1222">
        <v>23.258137901367999</v>
      </c>
      <c r="S1222">
        <v>0.88646076690995002</v>
      </c>
      <c r="U1222">
        <v>0</v>
      </c>
      <c r="V1222">
        <v>0.47765797349540001</v>
      </c>
      <c r="AC1222">
        <v>0</v>
      </c>
    </row>
    <row r="1223" spans="1:38" hidden="1" x14ac:dyDescent="0.3">
      <c r="A1223" t="s">
        <v>62</v>
      </c>
      <c r="B1223">
        <v>2067</v>
      </c>
      <c r="J1223">
        <v>1.1417945992348</v>
      </c>
      <c r="R1223">
        <v>23.147201314160998</v>
      </c>
      <c r="S1223">
        <v>0.87880234082563002</v>
      </c>
      <c r="U1223">
        <v>0</v>
      </c>
      <c r="V1223">
        <v>0.48910808116198001</v>
      </c>
      <c r="AC1223">
        <v>0</v>
      </c>
    </row>
    <row r="1224" spans="1:38" hidden="1" x14ac:dyDescent="0.3">
      <c r="A1224" t="s">
        <v>62</v>
      </c>
      <c r="B1224">
        <v>2068</v>
      </c>
      <c r="J1224">
        <v>1.1086702177126</v>
      </c>
      <c r="R1224">
        <v>23.045874547964001</v>
      </c>
      <c r="S1224">
        <v>0.87162783093148999</v>
      </c>
      <c r="U1224">
        <v>0</v>
      </c>
      <c r="V1224">
        <v>0.50055818882855996</v>
      </c>
      <c r="AC1224">
        <v>0</v>
      </c>
    </row>
    <row r="1225" spans="1:38" hidden="1" x14ac:dyDescent="0.3">
      <c r="A1225" t="s">
        <v>62</v>
      </c>
      <c r="B1225">
        <v>2069</v>
      </c>
      <c r="J1225">
        <v>1.0777525647669</v>
      </c>
      <c r="R1225">
        <v>22.940972751857</v>
      </c>
      <c r="S1225">
        <v>0.86445823632060004</v>
      </c>
      <c r="U1225">
        <v>0</v>
      </c>
      <c r="V1225">
        <v>0.51200829649513002</v>
      </c>
      <c r="AC1225">
        <v>0</v>
      </c>
    </row>
    <row r="1226" spans="1:38" hidden="1" x14ac:dyDescent="0.3">
      <c r="A1226" t="s">
        <v>62</v>
      </c>
      <c r="B1226">
        <v>2070</v>
      </c>
      <c r="J1226">
        <v>1.0549085616925</v>
      </c>
      <c r="R1226">
        <v>22.846630358774998</v>
      </c>
      <c r="S1226">
        <v>0.85813884494925996</v>
      </c>
      <c r="U1226">
        <v>0</v>
      </c>
      <c r="V1226">
        <v>0.52345840416170997</v>
      </c>
      <c r="AC1226">
        <v>0</v>
      </c>
    </row>
    <row r="1227" spans="1:38" hidden="1" x14ac:dyDescent="0.3">
      <c r="A1227" t="s">
        <v>62</v>
      </c>
      <c r="B1227">
        <v>2071</v>
      </c>
      <c r="V1227">
        <v>0.53490851182829002</v>
      </c>
    </row>
    <row r="1228" spans="1:38" hidden="1" x14ac:dyDescent="0.3">
      <c r="A1228" t="s">
        <v>63</v>
      </c>
      <c r="B1228">
        <v>0</v>
      </c>
      <c r="AD1228">
        <v>6.9876834348357994E-2</v>
      </c>
      <c r="AE1228">
        <v>6.2200736959290001E-2</v>
      </c>
      <c r="AF1228">
        <v>9.0785313870080001E-2</v>
      </c>
      <c r="AG1228">
        <v>0.48519622769908999</v>
      </c>
      <c r="AH1228">
        <v>0.41027536609004001</v>
      </c>
      <c r="AI1228">
        <v>6.3941578947368001</v>
      </c>
      <c r="AJ1228">
        <v>7.2372594736842002</v>
      </c>
      <c r="AK1228">
        <v>2.1578473684211001</v>
      </c>
      <c r="AL1228">
        <v>0.32100000000000001</v>
      </c>
    </row>
    <row r="1229" spans="1:38" hidden="1" x14ac:dyDescent="0.3">
      <c r="A1229" t="s">
        <v>63</v>
      </c>
      <c r="B1229">
        <v>2024</v>
      </c>
      <c r="C1229">
        <v>963.9</v>
      </c>
      <c r="D1229">
        <v>54.765700000000002</v>
      </c>
      <c r="E1229">
        <v>1760.1179999999999</v>
      </c>
      <c r="F1229">
        <v>9.6951551646127001</v>
      </c>
      <c r="G1229">
        <v>1211.7134955475001</v>
      </c>
      <c r="H1229">
        <v>0.81369659212877998</v>
      </c>
      <c r="I1229">
        <v>1232.1787640965999</v>
      </c>
      <c r="J1229">
        <v>1.8950764729492</v>
      </c>
      <c r="K1229">
        <v>8.8097985013389994</v>
      </c>
      <c r="L1229">
        <v>2.9323319626384001</v>
      </c>
      <c r="M1229">
        <v>-6.9689572999999996</v>
      </c>
      <c r="N1229">
        <v>-6.4358000000000004</v>
      </c>
      <c r="O1229">
        <v>-9.3033059999999992</v>
      </c>
      <c r="P1229">
        <v>15.96</v>
      </c>
      <c r="Q1229">
        <v>41.116972599999997</v>
      </c>
      <c r="R1229">
        <v>16.559778249478999</v>
      </c>
      <c r="S1229">
        <v>0.19186383192737999</v>
      </c>
      <c r="U1229">
        <v>0</v>
      </c>
      <c r="V1229">
        <v>0</v>
      </c>
      <c r="W1229">
        <v>5.2391544000000003</v>
      </c>
      <c r="X1229">
        <v>5.61</v>
      </c>
      <c r="Z1229">
        <v>0.20101978276570001</v>
      </c>
      <c r="AA1229">
        <v>0.21757988674820999</v>
      </c>
    </row>
    <row r="1230" spans="1:38" hidden="1" x14ac:dyDescent="0.3">
      <c r="A1230" t="s">
        <v>63</v>
      </c>
      <c r="B1230">
        <v>2025</v>
      </c>
      <c r="C1230">
        <v>1127.7</v>
      </c>
      <c r="D1230">
        <v>59.353200000000001</v>
      </c>
      <c r="E1230">
        <v>1900.02</v>
      </c>
      <c r="F1230">
        <v>7.9484443656617998</v>
      </c>
      <c r="G1230">
        <v>1228.4511864630999</v>
      </c>
      <c r="H1230">
        <v>1.3813241312491</v>
      </c>
      <c r="I1230">
        <v>1253.1026634252</v>
      </c>
      <c r="J1230">
        <v>1.6981220532562999</v>
      </c>
      <c r="K1230">
        <v>6.4775950475880997</v>
      </c>
      <c r="L1230">
        <v>2.4767093808285998</v>
      </c>
      <c r="M1230">
        <v>-6.0156682000000004</v>
      </c>
      <c r="N1230">
        <v>-5.3841999999999999</v>
      </c>
      <c r="O1230">
        <v>-8.5673794999999995</v>
      </c>
      <c r="P1230">
        <v>1</v>
      </c>
      <c r="Q1230">
        <v>40.600042199999997</v>
      </c>
      <c r="R1230">
        <v>17.890269885252</v>
      </c>
      <c r="S1230">
        <v>0.21379612164572001</v>
      </c>
      <c r="U1230">
        <v>0</v>
      </c>
      <c r="V1230">
        <v>2.1088974550365999E-2</v>
      </c>
      <c r="W1230">
        <v>5.0296655000000001</v>
      </c>
      <c r="X1230">
        <v>5.9660000000000002</v>
      </c>
      <c r="Z1230">
        <v>0.20091609953882</v>
      </c>
      <c r="AA1230">
        <v>0.22372400173248</v>
      </c>
      <c r="AC1230">
        <v>60.878359441000001</v>
      </c>
    </row>
    <row r="1231" spans="1:38" hidden="1" x14ac:dyDescent="0.3">
      <c r="A1231" t="s">
        <v>63</v>
      </c>
      <c r="B1231">
        <v>2026</v>
      </c>
      <c r="C1231">
        <v>1300.5</v>
      </c>
      <c r="D1231">
        <v>63.290999999999997</v>
      </c>
      <c r="E1231">
        <v>2054.7440000000001</v>
      </c>
      <c r="F1231">
        <v>8.1432827022872996</v>
      </c>
      <c r="G1231">
        <v>1256.0645739020999</v>
      </c>
      <c r="H1231">
        <v>2.2478213007765002</v>
      </c>
      <c r="I1231">
        <v>1275.0086116366999</v>
      </c>
      <c r="J1231">
        <v>1.7481367529462</v>
      </c>
      <c r="K1231">
        <v>5.7658770549572997</v>
      </c>
      <c r="L1231">
        <v>2.0119566334671002</v>
      </c>
      <c r="M1231">
        <v>-5.5741718999999996</v>
      </c>
      <c r="N1231">
        <v>-5.0972</v>
      </c>
      <c r="O1231">
        <v>-8.3584583000000006</v>
      </c>
      <c r="P1231">
        <v>1</v>
      </c>
      <c r="Q1231">
        <v>40.112973699999998</v>
      </c>
      <c r="R1231">
        <v>17.932646862721999</v>
      </c>
      <c r="S1231">
        <v>0.21200838120953</v>
      </c>
      <c r="U1231">
        <v>0</v>
      </c>
      <c r="V1231">
        <v>1.7325932160019999E-2</v>
      </c>
      <c r="W1231">
        <v>5.0730503999999996</v>
      </c>
      <c r="Z1231">
        <v>0.20090406830738</v>
      </c>
      <c r="AA1231">
        <v>0.22796182822701999</v>
      </c>
      <c r="AC1231">
        <v>118.04706141</v>
      </c>
    </row>
    <row r="1232" spans="1:38" hidden="1" x14ac:dyDescent="0.3">
      <c r="A1232" t="s">
        <v>63</v>
      </c>
      <c r="B1232">
        <v>2027</v>
      </c>
      <c r="G1232">
        <v>1277.8617303614999</v>
      </c>
      <c r="H1232">
        <v>1.7353531746948001</v>
      </c>
      <c r="I1232">
        <v>1290.6459818871999</v>
      </c>
      <c r="J1232">
        <v>1.2264521280713001</v>
      </c>
      <c r="R1232">
        <v>18.023037688325999</v>
      </c>
      <c r="S1232">
        <v>0.21124577685893001</v>
      </c>
      <c r="U1232">
        <v>0</v>
      </c>
      <c r="V1232">
        <v>1.9262887537479002E-2</v>
      </c>
      <c r="AC1232">
        <v>86.091609106999996</v>
      </c>
    </row>
    <row r="1233" spans="1:29" hidden="1" x14ac:dyDescent="0.3">
      <c r="A1233" t="s">
        <v>63</v>
      </c>
      <c r="B1233">
        <v>2028</v>
      </c>
      <c r="G1233">
        <v>1299.6096645990999</v>
      </c>
      <c r="H1233">
        <v>1.7019004263804001</v>
      </c>
      <c r="I1233">
        <v>1306.0782209356</v>
      </c>
      <c r="J1233">
        <v>1.1956988411200999</v>
      </c>
      <c r="R1233">
        <v>18.077100695929001</v>
      </c>
      <c r="S1233">
        <v>0.20938635014939</v>
      </c>
      <c r="U1233">
        <v>0</v>
      </c>
      <c r="V1233">
        <v>1.3954849913716001E-2</v>
      </c>
      <c r="AC1233">
        <v>113.01139086000001</v>
      </c>
    </row>
    <row r="1234" spans="1:29" hidden="1" x14ac:dyDescent="0.3">
      <c r="A1234" t="s">
        <v>63</v>
      </c>
      <c r="B1234">
        <v>2029</v>
      </c>
      <c r="G1234">
        <v>1322.4849236299001</v>
      </c>
      <c r="H1234">
        <v>1.7601638133285999</v>
      </c>
      <c r="I1234">
        <v>1322.4849236299001</v>
      </c>
      <c r="J1234">
        <v>1.2561807119420001</v>
      </c>
      <c r="R1234">
        <v>18.084229650731999</v>
      </c>
      <c r="S1234">
        <v>0.20598937980153001</v>
      </c>
      <c r="U1234">
        <v>0</v>
      </c>
      <c r="V1234">
        <v>7.3338113725185004E-3</v>
      </c>
      <c r="AC1234">
        <v>114.617500087</v>
      </c>
    </row>
    <row r="1235" spans="1:29" hidden="1" x14ac:dyDescent="0.3">
      <c r="A1235" t="s">
        <v>63</v>
      </c>
      <c r="B1235">
        <v>2030</v>
      </c>
      <c r="J1235">
        <v>1.3589604969694999</v>
      </c>
      <c r="R1235">
        <v>18.068086644527</v>
      </c>
      <c r="S1235">
        <v>0.20205466355557999</v>
      </c>
      <c r="U1235">
        <v>0</v>
      </c>
      <c r="V1235">
        <v>9.8397582769394008E-3</v>
      </c>
      <c r="AC1235">
        <v>93.300846613999994</v>
      </c>
    </row>
    <row r="1236" spans="1:29" hidden="1" x14ac:dyDescent="0.3">
      <c r="A1236" t="s">
        <v>63</v>
      </c>
      <c r="B1236">
        <v>2031</v>
      </c>
      <c r="J1236">
        <v>1.4617402819970999</v>
      </c>
      <c r="R1236">
        <v>18.019725999015002</v>
      </c>
      <c r="S1236">
        <v>0.19770866892623001</v>
      </c>
      <c r="U1236">
        <v>0</v>
      </c>
      <c r="V1236">
        <v>-1.1792667210102001E-3</v>
      </c>
      <c r="AC1236">
        <v>102.682132311</v>
      </c>
    </row>
    <row r="1237" spans="1:29" hidden="1" x14ac:dyDescent="0.3">
      <c r="A1237" t="s">
        <v>63</v>
      </c>
      <c r="B1237">
        <v>2032</v>
      </c>
      <c r="J1237">
        <v>1.5645200670246999</v>
      </c>
      <c r="R1237">
        <v>17.988208628155999</v>
      </c>
      <c r="S1237">
        <v>0.19367673141474001</v>
      </c>
      <c r="U1237">
        <v>0</v>
      </c>
      <c r="V1237">
        <v>-1.1283311992884E-2</v>
      </c>
      <c r="AC1237">
        <v>75.696316711999998</v>
      </c>
    </row>
    <row r="1238" spans="1:29" hidden="1" x14ac:dyDescent="0.3">
      <c r="A1238" t="s">
        <v>63</v>
      </c>
      <c r="B1238">
        <v>2033</v>
      </c>
      <c r="J1238">
        <v>1.6672998520522999</v>
      </c>
      <c r="R1238">
        <v>18.019140648648001</v>
      </c>
      <c r="S1238">
        <v>0.19081762730915999</v>
      </c>
      <c r="U1238">
        <v>0</v>
      </c>
      <c r="V1238">
        <v>-1.2190360575914E-2</v>
      </c>
      <c r="AC1238">
        <v>68.066541349999994</v>
      </c>
    </row>
    <row r="1239" spans="1:29" hidden="1" x14ac:dyDescent="0.3">
      <c r="A1239" t="s">
        <v>63</v>
      </c>
      <c r="B1239">
        <v>2034</v>
      </c>
      <c r="J1239">
        <v>1.7700796370798999</v>
      </c>
      <c r="R1239">
        <v>18.084586205303999</v>
      </c>
      <c r="S1239">
        <v>0.18860804661396999</v>
      </c>
      <c r="U1239">
        <v>0</v>
      </c>
      <c r="V1239">
        <v>-2.0598396658897001E-2</v>
      </c>
      <c r="AC1239">
        <v>84.766149334000005</v>
      </c>
    </row>
    <row r="1240" spans="1:29" hidden="1" x14ac:dyDescent="0.3">
      <c r="A1240" t="s">
        <v>63</v>
      </c>
      <c r="B1240">
        <v>2035</v>
      </c>
      <c r="J1240">
        <v>1.8728594221074</v>
      </c>
      <c r="R1240">
        <v>18.090035938098001</v>
      </c>
      <c r="S1240">
        <v>0.18564421585182</v>
      </c>
      <c r="U1240">
        <v>0</v>
      </c>
      <c r="V1240">
        <v>-2.3934182626279998E-2</v>
      </c>
      <c r="AC1240">
        <v>42.966051720000003</v>
      </c>
    </row>
    <row r="1241" spans="1:29" hidden="1" x14ac:dyDescent="0.3">
      <c r="A1241" t="s">
        <v>63</v>
      </c>
      <c r="B1241">
        <v>2036</v>
      </c>
      <c r="J1241">
        <v>1.975639207135</v>
      </c>
      <c r="R1241">
        <v>18.042818809170001</v>
      </c>
      <c r="S1241">
        <v>0.18212772342158001</v>
      </c>
      <c r="U1241">
        <v>0</v>
      </c>
      <c r="V1241">
        <v>-2.7269968593662E-2</v>
      </c>
      <c r="AC1241">
        <v>30.64791172</v>
      </c>
    </row>
    <row r="1242" spans="1:29" hidden="1" x14ac:dyDescent="0.3">
      <c r="A1242" t="s">
        <v>63</v>
      </c>
      <c r="B1242">
        <v>2037</v>
      </c>
      <c r="J1242">
        <v>1.916142574547</v>
      </c>
      <c r="R1242">
        <v>18.067233701547</v>
      </c>
      <c r="S1242">
        <v>0.17993251677479999</v>
      </c>
      <c r="U1242">
        <v>0</v>
      </c>
      <c r="V1242">
        <v>-3.0605754561045001E-2</v>
      </c>
      <c r="AC1242">
        <v>25.421245704</v>
      </c>
    </row>
    <row r="1243" spans="1:29" hidden="1" x14ac:dyDescent="0.3">
      <c r="A1243" t="s">
        <v>63</v>
      </c>
      <c r="B1243">
        <v>2038</v>
      </c>
      <c r="J1243">
        <v>1.7400653594386</v>
      </c>
      <c r="R1243">
        <v>18.099006703396</v>
      </c>
      <c r="S1243">
        <v>0.17806568287567001</v>
      </c>
      <c r="U1243">
        <v>0</v>
      </c>
      <c r="V1243">
        <v>-3.3941540528427003E-2</v>
      </c>
      <c r="AC1243">
        <v>28.78027045</v>
      </c>
    </row>
    <row r="1244" spans="1:29" hidden="1" x14ac:dyDescent="0.3">
      <c r="A1244" t="s">
        <v>63</v>
      </c>
      <c r="B1244">
        <v>2039</v>
      </c>
      <c r="J1244">
        <v>1.5741638874715</v>
      </c>
      <c r="R1244">
        <v>18.163986931753001</v>
      </c>
      <c r="S1244">
        <v>0.17697240525304</v>
      </c>
      <c r="U1244">
        <v>0</v>
      </c>
      <c r="V1244">
        <v>-3.7277326495809997E-2</v>
      </c>
      <c r="AC1244">
        <v>2.983820508</v>
      </c>
    </row>
    <row r="1245" spans="1:29" hidden="1" x14ac:dyDescent="0.3">
      <c r="A1245" t="s">
        <v>63</v>
      </c>
      <c r="B1245">
        <v>2040</v>
      </c>
      <c r="J1245">
        <v>1.3992404779081</v>
      </c>
      <c r="R1245">
        <v>18.265572442515001</v>
      </c>
      <c r="S1245">
        <v>0.17656787833241</v>
      </c>
      <c r="U1245">
        <v>0</v>
      </c>
      <c r="V1245">
        <v>-4.0613112463192998E-2</v>
      </c>
      <c r="AC1245">
        <v>14.919102540000001</v>
      </c>
    </row>
    <row r="1246" spans="1:29" hidden="1" x14ac:dyDescent="0.3">
      <c r="A1246" t="s">
        <v>63</v>
      </c>
      <c r="B1246">
        <v>2041</v>
      </c>
      <c r="J1246">
        <v>1.3444033602051999</v>
      </c>
      <c r="R1246">
        <v>18.368877151743</v>
      </c>
      <c r="S1246">
        <v>0.17622578805406</v>
      </c>
      <c r="U1246">
        <v>0</v>
      </c>
      <c r="V1246">
        <v>-4.3948898430574999E-2</v>
      </c>
      <c r="AC1246">
        <v>14.919102540000001</v>
      </c>
    </row>
    <row r="1247" spans="1:29" hidden="1" x14ac:dyDescent="0.3">
      <c r="A1247" t="s">
        <v>63</v>
      </c>
      <c r="B1247">
        <v>2042</v>
      </c>
      <c r="J1247">
        <v>1.3115292326128001</v>
      </c>
      <c r="R1247">
        <v>18.477956752741999</v>
      </c>
      <c r="S1247">
        <v>0.17601206564016</v>
      </c>
      <c r="U1247">
        <v>0</v>
      </c>
      <c r="V1247">
        <v>-4.7284684397958E-2</v>
      </c>
      <c r="AC1247">
        <v>14.919102540000001</v>
      </c>
    </row>
    <row r="1248" spans="1:29" hidden="1" x14ac:dyDescent="0.3">
      <c r="A1248" t="s">
        <v>63</v>
      </c>
      <c r="B1248">
        <v>2043</v>
      </c>
      <c r="J1248">
        <v>1.3195203937899</v>
      </c>
      <c r="R1248">
        <v>18.57688160072</v>
      </c>
      <c r="S1248">
        <v>0.17556535664699</v>
      </c>
      <c r="U1248">
        <v>0</v>
      </c>
      <c r="V1248">
        <v>-5.0620470365340002E-2</v>
      </c>
      <c r="AC1248">
        <v>0</v>
      </c>
    </row>
    <row r="1249" spans="1:29" hidden="1" x14ac:dyDescent="0.3">
      <c r="A1249" t="s">
        <v>63</v>
      </c>
      <c r="B1249">
        <v>2044</v>
      </c>
      <c r="J1249">
        <v>1.3218555951729001</v>
      </c>
      <c r="R1249">
        <v>18.654230670886999</v>
      </c>
      <c r="S1249">
        <v>0.17469904618102</v>
      </c>
      <c r="U1249">
        <v>0</v>
      </c>
      <c r="V1249">
        <v>-5.3956256332723003E-2</v>
      </c>
      <c r="AC1249">
        <v>16.65695127</v>
      </c>
    </row>
    <row r="1250" spans="1:29" hidden="1" x14ac:dyDescent="0.3">
      <c r="A1250" t="s">
        <v>63</v>
      </c>
      <c r="B1250">
        <v>2045</v>
      </c>
      <c r="J1250">
        <v>1.3185969688395001</v>
      </c>
      <c r="R1250">
        <v>18.725929706066001</v>
      </c>
      <c r="S1250">
        <v>0.17378929232362</v>
      </c>
      <c r="U1250">
        <v>0</v>
      </c>
      <c r="V1250">
        <v>-5.7292042300104998E-2</v>
      </c>
      <c r="AC1250">
        <v>0</v>
      </c>
    </row>
    <row r="1251" spans="1:29" hidden="1" x14ac:dyDescent="0.3">
      <c r="A1251" t="s">
        <v>63</v>
      </c>
      <c r="B1251">
        <v>2046</v>
      </c>
      <c r="J1251">
        <v>1.3298584352555001</v>
      </c>
      <c r="R1251">
        <v>18.772885000184999</v>
      </c>
      <c r="S1251">
        <v>0.17257984971252999</v>
      </c>
      <c r="U1251">
        <v>0</v>
      </c>
      <c r="V1251">
        <v>-6.0627828267487999E-2</v>
      </c>
      <c r="AC1251">
        <v>0</v>
      </c>
    </row>
    <row r="1252" spans="1:29" hidden="1" x14ac:dyDescent="0.3">
      <c r="A1252" t="s">
        <v>63</v>
      </c>
      <c r="B1252">
        <v>2047</v>
      </c>
      <c r="J1252">
        <v>1.3475316797882999</v>
      </c>
      <c r="R1252">
        <v>18.806998348853</v>
      </c>
      <c r="S1252">
        <v>0.17121092214413999</v>
      </c>
      <c r="U1252">
        <v>0</v>
      </c>
      <c r="V1252">
        <v>-6.396361423487E-2</v>
      </c>
      <c r="AC1252">
        <v>0</v>
      </c>
    </row>
    <row r="1253" spans="1:29" hidden="1" x14ac:dyDescent="0.3">
      <c r="A1253" t="s">
        <v>63</v>
      </c>
      <c r="B1253">
        <v>2048</v>
      </c>
      <c r="J1253">
        <v>1.3602118240519001</v>
      </c>
      <c r="R1253">
        <v>18.820151715725999</v>
      </c>
      <c r="S1253">
        <v>0.16960298019822001</v>
      </c>
      <c r="U1253">
        <v>0</v>
      </c>
      <c r="V1253">
        <v>-6.7299400202253001E-2</v>
      </c>
      <c r="AC1253">
        <v>11.03688</v>
      </c>
    </row>
    <row r="1254" spans="1:29" hidden="1" x14ac:dyDescent="0.3">
      <c r="A1254" t="s">
        <v>63</v>
      </c>
      <c r="B1254">
        <v>2049</v>
      </c>
      <c r="J1254">
        <v>1.3257729712484001</v>
      </c>
      <c r="R1254">
        <v>18.825240007003</v>
      </c>
      <c r="S1254">
        <v>0.16792729357610001</v>
      </c>
      <c r="U1254">
        <v>0</v>
      </c>
      <c r="V1254">
        <v>-7.0635186169635003E-2</v>
      </c>
      <c r="AC1254">
        <v>19.394833301999999</v>
      </c>
    </row>
    <row r="1255" spans="1:29" hidden="1" x14ac:dyDescent="0.3">
      <c r="A1255" t="s">
        <v>63</v>
      </c>
      <c r="B1255">
        <v>2050</v>
      </c>
      <c r="J1255">
        <v>1.3048495258584001</v>
      </c>
      <c r="R1255">
        <v>18.841673984739</v>
      </c>
      <c r="S1255">
        <v>0.16645907397724</v>
      </c>
      <c r="U1255">
        <v>0</v>
      </c>
      <c r="V1255">
        <v>-7.3970972137018004E-2</v>
      </c>
      <c r="AC1255">
        <v>15.913709376</v>
      </c>
    </row>
    <row r="1256" spans="1:29" hidden="1" x14ac:dyDescent="0.3">
      <c r="A1256" t="s">
        <v>63</v>
      </c>
      <c r="B1256">
        <v>2051</v>
      </c>
      <c r="J1256">
        <v>1.2965710566679001</v>
      </c>
      <c r="R1256">
        <v>18.857106140745</v>
      </c>
      <c r="S1256">
        <v>0.16510596792068999</v>
      </c>
      <c r="U1256">
        <v>0</v>
      </c>
      <c r="V1256">
        <v>-7.7306758104400006E-2</v>
      </c>
      <c r="AC1256">
        <v>18.3948</v>
      </c>
    </row>
    <row r="1257" spans="1:29" hidden="1" x14ac:dyDescent="0.3">
      <c r="A1257" t="s">
        <v>63</v>
      </c>
      <c r="B1257">
        <v>2052</v>
      </c>
      <c r="J1257">
        <v>1.2987526198463</v>
      </c>
      <c r="R1257">
        <v>18.868142800741001</v>
      </c>
      <c r="S1257">
        <v>0.16366444383647999</v>
      </c>
      <c r="U1257">
        <v>0</v>
      </c>
      <c r="V1257">
        <v>-8.0642544071783007E-2</v>
      </c>
      <c r="AC1257">
        <v>0</v>
      </c>
    </row>
    <row r="1258" spans="1:29" hidden="1" x14ac:dyDescent="0.3">
      <c r="A1258" t="s">
        <v>63</v>
      </c>
      <c r="B1258">
        <v>2053</v>
      </c>
      <c r="J1258">
        <v>1.3113892714822</v>
      </c>
      <c r="R1258">
        <v>18.880999771502001</v>
      </c>
      <c r="S1258">
        <v>0.16236555940215</v>
      </c>
      <c r="U1258">
        <v>0</v>
      </c>
      <c r="V1258">
        <v>-8.3978330039164995E-2</v>
      </c>
      <c r="AC1258">
        <v>11.49675</v>
      </c>
    </row>
    <row r="1259" spans="1:29" hidden="1" x14ac:dyDescent="0.3">
      <c r="A1259" t="s">
        <v>63</v>
      </c>
      <c r="B1259">
        <v>2054</v>
      </c>
      <c r="J1259">
        <v>1.3404800019989001</v>
      </c>
      <c r="R1259">
        <v>18.872834390721</v>
      </c>
      <c r="S1259">
        <v>0.16089507254332999</v>
      </c>
      <c r="U1259">
        <v>0</v>
      </c>
      <c r="V1259">
        <v>-8.7314116006547995E-2</v>
      </c>
      <c r="AC1259">
        <v>0</v>
      </c>
    </row>
    <row r="1260" spans="1:29" hidden="1" x14ac:dyDescent="0.3">
      <c r="A1260" t="s">
        <v>63</v>
      </c>
      <c r="B1260">
        <v>2055</v>
      </c>
      <c r="J1260">
        <v>1.3724169788750999</v>
      </c>
      <c r="R1260">
        <v>18.827534827897999</v>
      </c>
      <c r="S1260">
        <v>0.15896105697353</v>
      </c>
      <c r="U1260">
        <v>0</v>
      </c>
      <c r="V1260">
        <v>-9.0649901973929997E-2</v>
      </c>
      <c r="AC1260">
        <v>0</v>
      </c>
    </row>
    <row r="1261" spans="1:29" hidden="1" x14ac:dyDescent="0.3">
      <c r="A1261" t="s">
        <v>63</v>
      </c>
      <c r="B1261">
        <v>2056</v>
      </c>
      <c r="J1261">
        <v>1.4001744988924001</v>
      </c>
      <c r="R1261">
        <v>18.731149380152999</v>
      </c>
      <c r="S1261">
        <v>0.15642674784124999</v>
      </c>
      <c r="U1261">
        <v>0</v>
      </c>
      <c r="V1261">
        <v>-9.3985687941312998E-2</v>
      </c>
      <c r="AC1261">
        <v>0</v>
      </c>
    </row>
    <row r="1262" spans="1:29" hidden="1" x14ac:dyDescent="0.3">
      <c r="A1262" t="s">
        <v>63</v>
      </c>
      <c r="B1262">
        <v>2057</v>
      </c>
      <c r="J1262">
        <v>1.4159690950071999</v>
      </c>
      <c r="R1262">
        <v>18.595234606158002</v>
      </c>
      <c r="S1262">
        <v>0.15343098423929999</v>
      </c>
      <c r="U1262">
        <v>0</v>
      </c>
      <c r="V1262">
        <v>-9.7321473908695E-2</v>
      </c>
      <c r="AC1262">
        <v>0</v>
      </c>
    </row>
    <row r="1263" spans="1:29" hidden="1" x14ac:dyDescent="0.3">
      <c r="A1263" t="s">
        <v>63</v>
      </c>
      <c r="B1263">
        <v>2058</v>
      </c>
      <c r="J1263">
        <v>1.4136950472940999</v>
      </c>
      <c r="R1263">
        <v>18.443199230481</v>
      </c>
      <c r="S1263">
        <v>0.1502809769815</v>
      </c>
      <c r="U1263">
        <v>0</v>
      </c>
      <c r="V1263">
        <v>-0.10065725987608</v>
      </c>
      <c r="AC1263">
        <v>0</v>
      </c>
    </row>
    <row r="1264" spans="1:29" hidden="1" x14ac:dyDescent="0.3">
      <c r="A1264" t="s">
        <v>63</v>
      </c>
      <c r="B1264">
        <v>2059</v>
      </c>
      <c r="J1264">
        <v>1.4069474384887</v>
      </c>
      <c r="R1264">
        <v>18.274045542941</v>
      </c>
      <c r="S1264">
        <v>0.14701444780737999</v>
      </c>
      <c r="U1264">
        <v>0</v>
      </c>
      <c r="V1264">
        <v>-0.10399304584346</v>
      </c>
      <c r="AC1264">
        <v>0</v>
      </c>
    </row>
    <row r="1265" spans="1:38" hidden="1" x14ac:dyDescent="0.3">
      <c r="A1265" t="s">
        <v>63</v>
      </c>
      <c r="B1265">
        <v>2060</v>
      </c>
      <c r="J1265">
        <v>1.3986245373885999</v>
      </c>
      <c r="R1265">
        <v>18.090893556655001</v>
      </c>
      <c r="S1265">
        <v>0.14367657012863</v>
      </c>
      <c r="U1265">
        <v>0</v>
      </c>
      <c r="V1265">
        <v>-0.10732883181084001</v>
      </c>
      <c r="AC1265">
        <v>0</v>
      </c>
    </row>
    <row r="1266" spans="1:38" hidden="1" x14ac:dyDescent="0.3">
      <c r="A1266" t="s">
        <v>63</v>
      </c>
      <c r="B1266">
        <v>2061</v>
      </c>
      <c r="J1266">
        <v>1.3841945184274</v>
      </c>
      <c r="R1266">
        <v>17.890088264130998</v>
      </c>
      <c r="S1266">
        <v>0.14023422857114001</v>
      </c>
      <c r="U1266">
        <v>0</v>
      </c>
      <c r="V1266">
        <v>-0.11066461777823</v>
      </c>
      <c r="AC1266">
        <v>0</v>
      </c>
    </row>
    <row r="1267" spans="1:38" hidden="1" x14ac:dyDescent="0.3">
      <c r="A1267" t="s">
        <v>63</v>
      </c>
      <c r="B1267">
        <v>2062</v>
      </c>
      <c r="J1267">
        <v>1.3669683688498999</v>
      </c>
      <c r="R1267">
        <v>17.689224663998999</v>
      </c>
      <c r="S1267">
        <v>0.13688662057542</v>
      </c>
      <c r="U1267">
        <v>0</v>
      </c>
      <c r="V1267">
        <v>-0.11400040374561</v>
      </c>
      <c r="AC1267">
        <v>0</v>
      </c>
    </row>
    <row r="1268" spans="1:38" hidden="1" x14ac:dyDescent="0.3">
      <c r="A1268" t="s">
        <v>63</v>
      </c>
      <c r="B1268">
        <v>2063</v>
      </c>
      <c r="J1268">
        <v>1.3436297844475</v>
      </c>
      <c r="R1268">
        <v>17.484834910155001</v>
      </c>
      <c r="S1268">
        <v>0.13359407737788001</v>
      </c>
      <c r="U1268">
        <v>0</v>
      </c>
      <c r="V1268">
        <v>-0.11733618971298999</v>
      </c>
      <c r="AC1268">
        <v>0</v>
      </c>
    </row>
    <row r="1269" spans="1:38" hidden="1" x14ac:dyDescent="0.3">
      <c r="A1269" t="s">
        <v>63</v>
      </c>
      <c r="B1269">
        <v>2064</v>
      </c>
      <c r="J1269">
        <v>1.3088893869371001</v>
      </c>
      <c r="R1269">
        <v>17.277887525452002</v>
      </c>
      <c r="S1269">
        <v>0.13032985693195001</v>
      </c>
      <c r="U1269">
        <v>0</v>
      </c>
      <c r="V1269">
        <v>-0.12067197568037</v>
      </c>
      <c r="AC1269">
        <v>0</v>
      </c>
    </row>
    <row r="1270" spans="1:38" hidden="1" x14ac:dyDescent="0.3">
      <c r="A1270" t="s">
        <v>63</v>
      </c>
      <c r="B1270">
        <v>2065</v>
      </c>
      <c r="J1270">
        <v>1.2664710419309</v>
      </c>
      <c r="R1270">
        <v>17.065659830386998</v>
      </c>
      <c r="S1270">
        <v>0.12706318160704999</v>
      </c>
      <c r="U1270">
        <v>0</v>
      </c>
      <c r="V1270">
        <v>-0.12400776164776001</v>
      </c>
      <c r="AC1270">
        <v>0</v>
      </c>
    </row>
    <row r="1271" spans="1:38" hidden="1" x14ac:dyDescent="0.3">
      <c r="A1271" t="s">
        <v>63</v>
      </c>
      <c r="B1271">
        <v>2066</v>
      </c>
      <c r="J1271">
        <v>1.2077379150269001</v>
      </c>
      <c r="R1271">
        <v>16.847464530012999</v>
      </c>
      <c r="S1271">
        <v>0.12375996563843999</v>
      </c>
      <c r="U1271">
        <v>0</v>
      </c>
      <c r="V1271">
        <v>-0.12734354761514</v>
      </c>
      <c r="AC1271">
        <v>0</v>
      </c>
    </row>
    <row r="1272" spans="1:38" hidden="1" x14ac:dyDescent="0.3">
      <c r="A1272" t="s">
        <v>63</v>
      </c>
      <c r="B1272">
        <v>2067</v>
      </c>
      <c r="J1272">
        <v>1.1389415509472001</v>
      </c>
      <c r="R1272">
        <v>16.631834593627001</v>
      </c>
      <c r="S1272">
        <v>0.12055826857785</v>
      </c>
      <c r="U1272">
        <v>0</v>
      </c>
      <c r="V1272">
        <v>-0.13067933358252001</v>
      </c>
      <c r="AC1272">
        <v>0</v>
      </c>
    </row>
    <row r="1273" spans="1:38" hidden="1" x14ac:dyDescent="0.3">
      <c r="A1273" t="s">
        <v>63</v>
      </c>
      <c r="B1273">
        <v>2068</v>
      </c>
      <c r="J1273">
        <v>1.0695478813364001</v>
      </c>
      <c r="R1273">
        <v>16.423002953657001</v>
      </c>
      <c r="S1273">
        <v>0.11751148383805</v>
      </c>
      <c r="U1273">
        <v>0</v>
      </c>
      <c r="V1273">
        <v>-0.1340151195499</v>
      </c>
      <c r="AC1273">
        <v>0</v>
      </c>
    </row>
    <row r="1274" spans="1:38" hidden="1" x14ac:dyDescent="0.3">
      <c r="A1274" t="s">
        <v>63</v>
      </c>
      <c r="B1274">
        <v>2069</v>
      </c>
      <c r="J1274">
        <v>0.99881541202608004</v>
      </c>
      <c r="R1274">
        <v>16.216426971280999</v>
      </c>
      <c r="S1274">
        <v>0.11454257658023</v>
      </c>
      <c r="U1274">
        <v>0</v>
      </c>
      <c r="V1274">
        <v>-0.13735090551729001</v>
      </c>
      <c r="AC1274">
        <v>0</v>
      </c>
    </row>
    <row r="1275" spans="1:38" hidden="1" x14ac:dyDescent="0.3">
      <c r="A1275" t="s">
        <v>63</v>
      </c>
      <c r="B1275">
        <v>2070</v>
      </c>
      <c r="J1275">
        <v>0.93059470563256996</v>
      </c>
      <c r="R1275">
        <v>16.02757222132</v>
      </c>
      <c r="S1275">
        <v>0.11182314721177999</v>
      </c>
      <c r="U1275">
        <v>0</v>
      </c>
      <c r="V1275">
        <v>-0.14068669148467</v>
      </c>
      <c r="AC1275">
        <v>0</v>
      </c>
    </row>
    <row r="1276" spans="1:38" hidden="1" x14ac:dyDescent="0.3">
      <c r="A1276" t="s">
        <v>63</v>
      </c>
      <c r="B1276">
        <v>2071</v>
      </c>
      <c r="V1276">
        <v>-0.14402247745204999</v>
      </c>
    </row>
    <row r="1277" spans="1:38" hidden="1" x14ac:dyDescent="0.3">
      <c r="A1277" t="s">
        <v>64</v>
      </c>
      <c r="B1277">
        <v>0</v>
      </c>
      <c r="AD1277">
        <v>6.3476622683290001E-3</v>
      </c>
      <c r="AE1277">
        <v>8.8307306015822998E-2</v>
      </c>
      <c r="AF1277">
        <v>6.0262540119923998E-2</v>
      </c>
      <c r="AG1277">
        <v>0.98814250022536998</v>
      </c>
      <c r="AH1277">
        <v>0</v>
      </c>
      <c r="AI1277">
        <v>3.6829552631579001</v>
      </c>
      <c r="AJ1277">
        <v>4.6986357894737001</v>
      </c>
      <c r="AK1277">
        <v>2.1578473684211001</v>
      </c>
      <c r="AL1277">
        <v>0.38100000000000001</v>
      </c>
    </row>
    <row r="1278" spans="1:38" hidden="1" x14ac:dyDescent="0.3">
      <c r="A1278" t="s">
        <v>64</v>
      </c>
      <c r="B1278">
        <v>2024</v>
      </c>
      <c r="C1278">
        <v>77.650000000000006</v>
      </c>
      <c r="D1278">
        <v>59.280299999999997</v>
      </c>
      <c r="E1278">
        <v>130.98509999999999</v>
      </c>
      <c r="F1278">
        <v>5.7754301754295003</v>
      </c>
      <c r="G1278">
        <v>104.41268476808</v>
      </c>
      <c r="H1278">
        <v>2.0616768462217001</v>
      </c>
      <c r="I1278">
        <v>104.68376222374</v>
      </c>
      <c r="J1278">
        <v>2.8244227527514001</v>
      </c>
      <c r="K1278">
        <v>3.6387668890173002</v>
      </c>
      <c r="L1278">
        <v>2.9323319626384001</v>
      </c>
      <c r="M1278">
        <v>-3.8614004999999998</v>
      </c>
      <c r="N1278">
        <v>-3.7627000000000002</v>
      </c>
      <c r="O1278">
        <v>-5.2729195999999998</v>
      </c>
      <c r="P1278">
        <v>1.845</v>
      </c>
      <c r="Q1278">
        <v>45.703726400000001</v>
      </c>
      <c r="R1278">
        <v>20.335594513764001</v>
      </c>
      <c r="U1278">
        <v>0</v>
      </c>
      <c r="V1278">
        <v>0</v>
      </c>
      <c r="W1278">
        <v>2.6835729000000001</v>
      </c>
      <c r="X1278">
        <v>3.7530000000000001</v>
      </c>
      <c r="Y1278">
        <v>3.4734611666666999</v>
      </c>
      <c r="Z1278">
        <v>1</v>
      </c>
      <c r="AA1278">
        <v>1.0823804690000001</v>
      </c>
    </row>
    <row r="1279" spans="1:38" hidden="1" x14ac:dyDescent="0.3">
      <c r="A1279" t="s">
        <v>64</v>
      </c>
      <c r="B1279">
        <v>2025</v>
      </c>
      <c r="C1279">
        <v>84.07</v>
      </c>
      <c r="D1279">
        <v>60.867199999999997</v>
      </c>
      <c r="E1279">
        <v>138.11410000000001</v>
      </c>
      <c r="F1279">
        <v>5.4426037770707998</v>
      </c>
      <c r="G1279">
        <v>105.95299889295001</v>
      </c>
      <c r="H1279">
        <v>1.4752174300367</v>
      </c>
      <c r="I1279">
        <v>106.83976320716999</v>
      </c>
      <c r="J1279">
        <v>2.0595371599532002</v>
      </c>
      <c r="K1279">
        <v>3.9096863348094</v>
      </c>
      <c r="L1279">
        <v>2.4767093808285998</v>
      </c>
      <c r="M1279">
        <v>-3.2861684000000002</v>
      </c>
      <c r="N1279">
        <v>-2.9699</v>
      </c>
      <c r="O1279">
        <v>-4.8658963000000002</v>
      </c>
      <c r="P1279">
        <v>-0.30299999999999999</v>
      </c>
      <c r="Q1279">
        <v>46.933320100000003</v>
      </c>
      <c r="R1279">
        <v>20.668782098432999</v>
      </c>
      <c r="U1279">
        <v>0</v>
      </c>
      <c r="V1279">
        <v>-2.5366544723510998E-3</v>
      </c>
      <c r="W1279">
        <v>2.8098833000000001</v>
      </c>
      <c r="X1279">
        <v>3.2309999999999999</v>
      </c>
      <c r="Y1279">
        <v>3.4299255999999998</v>
      </c>
      <c r="Z1279">
        <v>1</v>
      </c>
      <c r="AA1279">
        <v>1.113519535</v>
      </c>
      <c r="AC1279">
        <v>6</v>
      </c>
    </row>
    <row r="1280" spans="1:38" hidden="1" x14ac:dyDescent="0.3">
      <c r="A1280" t="s">
        <v>64</v>
      </c>
      <c r="B1280">
        <v>2026</v>
      </c>
      <c r="C1280">
        <v>91.19</v>
      </c>
      <c r="D1280">
        <v>63.013500000000001</v>
      </c>
      <c r="E1280">
        <v>144.721</v>
      </c>
      <c r="F1280">
        <v>4.7836535154629001</v>
      </c>
      <c r="G1280">
        <v>107.43535504303</v>
      </c>
      <c r="H1280">
        <v>1.3990695549587</v>
      </c>
      <c r="I1280">
        <v>108.9288200741</v>
      </c>
      <c r="J1280">
        <v>1.9553177620526001</v>
      </c>
      <c r="K1280">
        <v>3.3379251000271002</v>
      </c>
      <c r="L1280">
        <v>2.0119566334671002</v>
      </c>
      <c r="M1280">
        <v>-3.4742386999999999</v>
      </c>
      <c r="N1280">
        <v>-2.9519000000000002</v>
      </c>
      <c r="O1280">
        <v>-5.0987308999999996</v>
      </c>
      <c r="P1280">
        <v>-0.251</v>
      </c>
      <c r="Q1280">
        <v>47.511933300000003</v>
      </c>
      <c r="R1280">
        <v>21.016959266487</v>
      </c>
      <c r="U1280">
        <v>0</v>
      </c>
      <c r="V1280">
        <v>-5.0733089447020999E-3</v>
      </c>
      <c r="W1280">
        <v>2.7965852999999998</v>
      </c>
      <c r="Z1280">
        <v>1</v>
      </c>
      <c r="AA1280">
        <v>1.1346799999999999</v>
      </c>
      <c r="AC1280">
        <v>4.4757706219999998</v>
      </c>
    </row>
    <row r="1281" spans="1:29" hidden="1" x14ac:dyDescent="0.3">
      <c r="A1281" t="s">
        <v>64</v>
      </c>
      <c r="B1281">
        <v>2027</v>
      </c>
      <c r="G1281">
        <v>109.72269879434999</v>
      </c>
      <c r="H1281">
        <v>2.129041925169</v>
      </c>
      <c r="I1281">
        <v>110.734849823</v>
      </c>
      <c r="J1281">
        <v>1.6579907389723001</v>
      </c>
      <c r="R1281">
        <v>21.357346707365</v>
      </c>
      <c r="U1281">
        <v>0</v>
      </c>
      <c r="V1281">
        <v>-7.6099634170532001E-3</v>
      </c>
      <c r="AC1281">
        <v>5.4</v>
      </c>
    </row>
    <row r="1282" spans="1:29" hidden="1" x14ac:dyDescent="0.3">
      <c r="A1282" t="s">
        <v>64</v>
      </c>
      <c r="B1282">
        <v>2028</v>
      </c>
      <c r="G1282">
        <v>112.0297535956</v>
      </c>
      <c r="H1282">
        <v>2.1026230913030002</v>
      </c>
      <c r="I1282">
        <v>112.54409765436</v>
      </c>
      <c r="J1282">
        <v>1.6338558586187</v>
      </c>
      <c r="R1282">
        <v>21.58415809645</v>
      </c>
      <c r="U1282">
        <v>0</v>
      </c>
      <c r="V1282">
        <v>-1.0146617889404E-2</v>
      </c>
      <c r="AC1282">
        <v>5.0139197170000003</v>
      </c>
    </row>
    <row r="1283" spans="1:29" hidden="1" x14ac:dyDescent="0.3">
      <c r="A1283" t="s">
        <v>64</v>
      </c>
      <c r="B1283">
        <v>2029</v>
      </c>
      <c r="G1283">
        <v>114.35107806469</v>
      </c>
      <c r="H1283">
        <v>2.0720606754794</v>
      </c>
      <c r="I1283">
        <v>114.35107806469</v>
      </c>
      <c r="J1283">
        <v>1.6055754570759999</v>
      </c>
      <c r="R1283">
        <v>21.737727495674999</v>
      </c>
      <c r="U1283">
        <v>0</v>
      </c>
      <c r="V1283">
        <v>-1.2683272361755E-2</v>
      </c>
      <c r="AC1283">
        <v>3.125</v>
      </c>
    </row>
    <row r="1284" spans="1:29" hidden="1" x14ac:dyDescent="0.3">
      <c r="A1284" t="s">
        <v>64</v>
      </c>
      <c r="B1284">
        <v>2030</v>
      </c>
      <c r="J1284">
        <v>1.6141830242691</v>
      </c>
      <c r="R1284">
        <v>21.863309582058999</v>
      </c>
      <c r="U1284">
        <v>0</v>
      </c>
      <c r="V1284">
        <v>-1.5219926834105999E-2</v>
      </c>
      <c r="AC1284">
        <v>6</v>
      </c>
    </row>
    <row r="1285" spans="1:29" hidden="1" x14ac:dyDescent="0.3">
      <c r="A1285" t="s">
        <v>64</v>
      </c>
      <c r="B1285">
        <v>2031</v>
      </c>
      <c r="J1285">
        <v>1.6227905914622001</v>
      </c>
      <c r="R1285">
        <v>22.014734177049998</v>
      </c>
      <c r="U1285">
        <v>0</v>
      </c>
      <c r="V1285">
        <v>-1.7756581306457998E-2</v>
      </c>
      <c r="AC1285">
        <v>5.5</v>
      </c>
    </row>
    <row r="1286" spans="1:29" hidden="1" x14ac:dyDescent="0.3">
      <c r="A1286" t="s">
        <v>64</v>
      </c>
      <c r="B1286">
        <v>2032</v>
      </c>
      <c r="J1286">
        <v>1.6313981586552999</v>
      </c>
      <c r="R1286">
        <v>22.161082816097</v>
      </c>
      <c r="U1286">
        <v>0</v>
      </c>
      <c r="V1286">
        <v>-2.0293235778809E-2</v>
      </c>
      <c r="AC1286">
        <v>6.5</v>
      </c>
    </row>
    <row r="1287" spans="1:29" hidden="1" x14ac:dyDescent="0.3">
      <c r="A1287" t="s">
        <v>64</v>
      </c>
      <c r="B1287">
        <v>2033</v>
      </c>
      <c r="J1287">
        <v>1.6400057258484</v>
      </c>
      <c r="R1287">
        <v>22.310842720747999</v>
      </c>
      <c r="U1287">
        <v>0</v>
      </c>
      <c r="V1287">
        <v>-2.2829890251160001E-2</v>
      </c>
      <c r="AC1287">
        <v>5.2126000000000001</v>
      </c>
    </row>
    <row r="1288" spans="1:29" hidden="1" x14ac:dyDescent="0.3">
      <c r="A1288" t="s">
        <v>64</v>
      </c>
      <c r="B1288">
        <v>2034</v>
      </c>
      <c r="J1288">
        <v>1.6486132930415001</v>
      </c>
      <c r="R1288">
        <v>22.436720578115999</v>
      </c>
      <c r="U1288">
        <v>0</v>
      </c>
      <c r="V1288">
        <v>-2.5366544723510999E-2</v>
      </c>
      <c r="AC1288">
        <v>5.5831126529999997</v>
      </c>
    </row>
    <row r="1289" spans="1:29" hidden="1" x14ac:dyDescent="0.3">
      <c r="A1289" t="s">
        <v>64</v>
      </c>
      <c r="B1289">
        <v>2035</v>
      </c>
      <c r="J1289">
        <v>1.6572208602345999</v>
      </c>
      <c r="R1289">
        <v>22.553648947496999</v>
      </c>
      <c r="U1289">
        <v>0</v>
      </c>
      <c r="V1289">
        <v>-2.7903199195862E-2</v>
      </c>
      <c r="AC1289">
        <v>3.9169999999999998</v>
      </c>
    </row>
    <row r="1290" spans="1:29" hidden="1" x14ac:dyDescent="0.3">
      <c r="A1290" t="s">
        <v>64</v>
      </c>
      <c r="B1290">
        <v>2036</v>
      </c>
      <c r="J1290">
        <v>1.6658284274277</v>
      </c>
      <c r="R1290">
        <v>22.657152690101999</v>
      </c>
      <c r="U1290">
        <v>0</v>
      </c>
      <c r="V1290">
        <v>-3.0439853668213002E-2</v>
      </c>
      <c r="AC1290">
        <v>4.0018000000000002</v>
      </c>
    </row>
    <row r="1291" spans="1:29" hidden="1" x14ac:dyDescent="0.3">
      <c r="A1291" t="s">
        <v>64</v>
      </c>
      <c r="B1291">
        <v>2037</v>
      </c>
      <c r="J1291">
        <v>1.6715906663391</v>
      </c>
      <c r="R1291">
        <v>22.766186520011999</v>
      </c>
      <c r="U1291">
        <v>0</v>
      </c>
      <c r="V1291">
        <v>-3.2976508140564E-2</v>
      </c>
      <c r="AC1291">
        <v>3</v>
      </c>
    </row>
    <row r="1292" spans="1:29" hidden="1" x14ac:dyDescent="0.3">
      <c r="A1292" t="s">
        <v>64</v>
      </c>
      <c r="B1292">
        <v>2038</v>
      </c>
      <c r="J1292">
        <v>1.6133463815628</v>
      </c>
      <c r="R1292">
        <v>22.879983039744001</v>
      </c>
      <c r="U1292">
        <v>0</v>
      </c>
      <c r="V1292">
        <v>-3.5513162612914997E-2</v>
      </c>
      <c r="AC1292">
        <v>0</v>
      </c>
    </row>
    <row r="1293" spans="1:29" hidden="1" x14ac:dyDescent="0.3">
      <c r="A1293" t="s">
        <v>64</v>
      </c>
      <c r="B1293">
        <v>2039</v>
      </c>
      <c r="J1293">
        <v>1.5618813400285001</v>
      </c>
      <c r="R1293">
        <v>22.977655627025001</v>
      </c>
      <c r="U1293">
        <v>0</v>
      </c>
      <c r="V1293">
        <v>-3.8049817085266002E-2</v>
      </c>
      <c r="AC1293">
        <v>0</v>
      </c>
    </row>
    <row r="1294" spans="1:29" hidden="1" x14ac:dyDescent="0.3">
      <c r="A1294" t="s">
        <v>64</v>
      </c>
      <c r="B1294">
        <v>2040</v>
      </c>
      <c r="J1294">
        <v>1.5050825051026999</v>
      </c>
      <c r="R1294">
        <v>23.127656433729999</v>
      </c>
      <c r="U1294">
        <v>0</v>
      </c>
      <c r="V1294">
        <v>-4.0586471557617E-2</v>
      </c>
      <c r="AC1294">
        <v>3</v>
      </c>
    </row>
    <row r="1295" spans="1:29" hidden="1" x14ac:dyDescent="0.3">
      <c r="A1295" t="s">
        <v>64</v>
      </c>
      <c r="B1295">
        <v>2041</v>
      </c>
      <c r="J1295">
        <v>1.4836901175110999</v>
      </c>
      <c r="R1295">
        <v>23.266516649351001</v>
      </c>
      <c r="U1295">
        <v>0</v>
      </c>
      <c r="V1295">
        <v>-4.3123126029967998E-2</v>
      </c>
      <c r="AC1295">
        <v>0</v>
      </c>
    </row>
    <row r="1296" spans="1:29" hidden="1" x14ac:dyDescent="0.3">
      <c r="A1296" t="s">
        <v>64</v>
      </c>
      <c r="B1296">
        <v>2042</v>
      </c>
      <c r="J1296">
        <v>1.459804811683</v>
      </c>
      <c r="R1296">
        <v>23.421381568147002</v>
      </c>
      <c r="U1296">
        <v>0</v>
      </c>
      <c r="V1296">
        <v>-4.5659780502319003E-2</v>
      </c>
      <c r="AC1296">
        <v>0</v>
      </c>
    </row>
    <row r="1297" spans="1:29" hidden="1" x14ac:dyDescent="0.3">
      <c r="A1297" t="s">
        <v>64</v>
      </c>
      <c r="B1297">
        <v>2043</v>
      </c>
      <c r="J1297">
        <v>1.4438364347196999</v>
      </c>
      <c r="R1297">
        <v>23.562167921501999</v>
      </c>
      <c r="U1297">
        <v>0</v>
      </c>
      <c r="V1297">
        <v>-4.8196434974670001E-2</v>
      </c>
      <c r="AC1297">
        <v>1.7595000000000001</v>
      </c>
    </row>
    <row r="1298" spans="1:29" hidden="1" x14ac:dyDescent="0.3">
      <c r="A1298" t="s">
        <v>64</v>
      </c>
      <c r="B1298">
        <v>2044</v>
      </c>
      <c r="J1298">
        <v>1.4369900999733001</v>
      </c>
      <c r="R1298">
        <v>23.703895393913001</v>
      </c>
      <c r="U1298">
        <v>0</v>
      </c>
      <c r="V1298">
        <v>-5.0733089447020999E-2</v>
      </c>
      <c r="AC1298">
        <v>0</v>
      </c>
    </row>
    <row r="1299" spans="1:29" hidden="1" x14ac:dyDescent="0.3">
      <c r="A1299" t="s">
        <v>64</v>
      </c>
      <c r="B1299">
        <v>2045</v>
      </c>
      <c r="J1299">
        <v>1.4124908541311001</v>
      </c>
      <c r="R1299">
        <v>23.832302739281001</v>
      </c>
      <c r="U1299">
        <v>0</v>
      </c>
      <c r="V1299">
        <v>-5.3269743919373003E-2</v>
      </c>
      <c r="AC1299">
        <v>0</v>
      </c>
    </row>
    <row r="1300" spans="1:29" hidden="1" x14ac:dyDescent="0.3">
      <c r="A1300" t="s">
        <v>64</v>
      </c>
      <c r="B1300">
        <v>2046</v>
      </c>
      <c r="J1300">
        <v>1.3778048249382999</v>
      </c>
      <c r="R1300">
        <v>23.922034156704001</v>
      </c>
      <c r="U1300">
        <v>0</v>
      </c>
      <c r="V1300">
        <v>-5.5806398391724001E-2</v>
      </c>
      <c r="AC1300">
        <v>0</v>
      </c>
    </row>
    <row r="1301" spans="1:29" hidden="1" x14ac:dyDescent="0.3">
      <c r="A1301" t="s">
        <v>64</v>
      </c>
      <c r="B1301">
        <v>2047</v>
      </c>
      <c r="J1301">
        <v>1.3473026380611</v>
      </c>
      <c r="R1301">
        <v>23.989597038008</v>
      </c>
      <c r="U1301">
        <v>0</v>
      </c>
      <c r="V1301">
        <v>-5.8343052864074998E-2</v>
      </c>
      <c r="AC1301">
        <v>3.8868999999999998</v>
      </c>
    </row>
    <row r="1302" spans="1:29" hidden="1" x14ac:dyDescent="0.3">
      <c r="A1302" t="s">
        <v>64</v>
      </c>
      <c r="B1302">
        <v>2048</v>
      </c>
      <c r="J1302">
        <v>1.328512203866</v>
      </c>
      <c r="R1302">
        <v>24.128792398064</v>
      </c>
      <c r="U1302">
        <v>0</v>
      </c>
      <c r="V1302">
        <v>-6.0879707336426003E-2</v>
      </c>
      <c r="AC1302">
        <v>0</v>
      </c>
    </row>
    <row r="1303" spans="1:29" hidden="1" x14ac:dyDescent="0.3">
      <c r="A1303" t="s">
        <v>64</v>
      </c>
      <c r="B1303">
        <v>2049</v>
      </c>
      <c r="J1303">
        <v>1.2870087994970001</v>
      </c>
      <c r="R1303">
        <v>24.296427478102999</v>
      </c>
      <c r="U1303">
        <v>0</v>
      </c>
      <c r="V1303">
        <v>-6.3416361808776994E-2</v>
      </c>
      <c r="AC1303">
        <v>0</v>
      </c>
    </row>
    <row r="1304" spans="1:29" hidden="1" x14ac:dyDescent="0.3">
      <c r="A1304" t="s">
        <v>64</v>
      </c>
      <c r="B1304">
        <v>2050</v>
      </c>
      <c r="J1304">
        <v>1.2528319714314999</v>
      </c>
      <c r="R1304">
        <v>24.483923091482001</v>
      </c>
      <c r="U1304">
        <v>0</v>
      </c>
      <c r="V1304">
        <v>-6.5953016281127999E-2</v>
      </c>
      <c r="AC1304">
        <v>0</v>
      </c>
    </row>
    <row r="1305" spans="1:29" hidden="1" x14ac:dyDescent="0.3">
      <c r="A1305" t="s">
        <v>64</v>
      </c>
      <c r="B1305">
        <v>2051</v>
      </c>
      <c r="J1305">
        <v>1.2116150071676</v>
      </c>
      <c r="R1305">
        <v>24.682341706889002</v>
      </c>
      <c r="U1305">
        <v>0</v>
      </c>
      <c r="V1305">
        <v>-6.8489670753479004E-2</v>
      </c>
      <c r="AC1305">
        <v>2.6850999999999998</v>
      </c>
    </row>
    <row r="1306" spans="1:29" hidden="1" x14ac:dyDescent="0.3">
      <c r="A1306" t="s">
        <v>64</v>
      </c>
      <c r="B1306">
        <v>2052</v>
      </c>
      <c r="J1306">
        <v>1.1699925037895</v>
      </c>
      <c r="R1306">
        <v>24.879869545799</v>
      </c>
      <c r="U1306">
        <v>0</v>
      </c>
      <c r="V1306">
        <v>-7.1026325225829995E-2</v>
      </c>
      <c r="AC1306">
        <v>0</v>
      </c>
    </row>
    <row r="1307" spans="1:29" hidden="1" x14ac:dyDescent="0.3">
      <c r="A1307" t="s">
        <v>64</v>
      </c>
      <c r="B1307">
        <v>2053</v>
      </c>
      <c r="J1307">
        <v>1.1473515452302001</v>
      </c>
      <c r="R1307">
        <v>25.064334416586998</v>
      </c>
      <c r="U1307">
        <v>0</v>
      </c>
      <c r="V1307">
        <v>-7.3562979698181E-2</v>
      </c>
      <c r="AC1307">
        <v>0</v>
      </c>
    </row>
    <row r="1308" spans="1:29" hidden="1" x14ac:dyDescent="0.3">
      <c r="A1308" t="s">
        <v>64</v>
      </c>
      <c r="B1308">
        <v>2054</v>
      </c>
      <c r="J1308">
        <v>1.1285081251633999</v>
      </c>
      <c r="R1308">
        <v>25.225106470012001</v>
      </c>
      <c r="U1308">
        <v>0</v>
      </c>
      <c r="V1308">
        <v>-7.6099634170532005E-2</v>
      </c>
      <c r="AC1308">
        <v>0</v>
      </c>
    </row>
    <row r="1309" spans="1:29" hidden="1" x14ac:dyDescent="0.3">
      <c r="A1309" t="s">
        <v>64</v>
      </c>
      <c r="B1309">
        <v>2055</v>
      </c>
      <c r="J1309">
        <v>1.1257574585654</v>
      </c>
      <c r="R1309">
        <v>25.392528651119001</v>
      </c>
      <c r="U1309">
        <v>0</v>
      </c>
      <c r="V1309">
        <v>-7.8636288642882995E-2</v>
      </c>
      <c r="AC1309">
        <v>0</v>
      </c>
    </row>
    <row r="1310" spans="1:29" hidden="1" x14ac:dyDescent="0.3">
      <c r="A1310" t="s">
        <v>64</v>
      </c>
      <c r="B1310">
        <v>2056</v>
      </c>
      <c r="J1310">
        <v>1.1345959722697001</v>
      </c>
      <c r="R1310">
        <v>25.516047439524002</v>
      </c>
      <c r="U1310">
        <v>0</v>
      </c>
      <c r="V1310">
        <v>-8.1172943115234E-2</v>
      </c>
      <c r="AC1310">
        <v>0</v>
      </c>
    </row>
    <row r="1311" spans="1:29" hidden="1" x14ac:dyDescent="0.3">
      <c r="A1311" t="s">
        <v>64</v>
      </c>
      <c r="B1311">
        <v>2057</v>
      </c>
      <c r="J1311">
        <v>1.1442444957611999</v>
      </c>
      <c r="R1311">
        <v>25.654976209989002</v>
      </c>
      <c r="U1311">
        <v>0</v>
      </c>
      <c r="V1311">
        <v>-8.3709597587585005E-2</v>
      </c>
      <c r="AC1311">
        <v>0</v>
      </c>
    </row>
    <row r="1312" spans="1:29" hidden="1" x14ac:dyDescent="0.3">
      <c r="A1312" t="s">
        <v>64</v>
      </c>
      <c r="B1312">
        <v>2058</v>
      </c>
      <c r="J1312">
        <v>1.17424511608</v>
      </c>
      <c r="R1312">
        <v>25.759532491186</v>
      </c>
      <c r="U1312">
        <v>0</v>
      </c>
      <c r="V1312">
        <v>-8.6246252059936995E-2</v>
      </c>
      <c r="AC1312">
        <v>0</v>
      </c>
    </row>
    <row r="1313" spans="1:38" hidden="1" x14ac:dyDescent="0.3">
      <c r="A1313" t="s">
        <v>64</v>
      </c>
      <c r="B1313">
        <v>2059</v>
      </c>
      <c r="J1313">
        <v>1.2031693332505999</v>
      </c>
      <c r="R1313">
        <v>25.812689478163001</v>
      </c>
      <c r="U1313">
        <v>0</v>
      </c>
      <c r="V1313">
        <v>-8.8782906532288E-2</v>
      </c>
      <c r="AC1313">
        <v>0</v>
      </c>
    </row>
    <row r="1314" spans="1:38" hidden="1" x14ac:dyDescent="0.3">
      <c r="A1314" t="s">
        <v>64</v>
      </c>
      <c r="B1314">
        <v>2060</v>
      </c>
      <c r="J1314">
        <v>1.2300211136338</v>
      </c>
      <c r="R1314">
        <v>25.852510537733998</v>
      </c>
      <c r="U1314">
        <v>0</v>
      </c>
      <c r="V1314">
        <v>-9.1319561004639005E-2</v>
      </c>
      <c r="AC1314">
        <v>0</v>
      </c>
    </row>
    <row r="1315" spans="1:38" hidden="1" x14ac:dyDescent="0.3">
      <c r="A1315" t="s">
        <v>64</v>
      </c>
      <c r="B1315">
        <v>2061</v>
      </c>
      <c r="J1315">
        <v>1.2658868243796999</v>
      </c>
      <c r="R1315">
        <v>25.887268432458999</v>
      </c>
      <c r="U1315">
        <v>0</v>
      </c>
      <c r="V1315">
        <v>-9.3856215476989996E-2</v>
      </c>
      <c r="AC1315">
        <v>0</v>
      </c>
    </row>
    <row r="1316" spans="1:38" hidden="1" x14ac:dyDescent="0.3">
      <c r="A1316" t="s">
        <v>64</v>
      </c>
      <c r="B1316">
        <v>2062</v>
      </c>
      <c r="J1316">
        <v>1.296595196965</v>
      </c>
      <c r="R1316">
        <v>25.877598724449999</v>
      </c>
      <c r="U1316">
        <v>0</v>
      </c>
      <c r="V1316">
        <v>-9.6392869949341001E-2</v>
      </c>
      <c r="AC1316">
        <v>0</v>
      </c>
    </row>
    <row r="1317" spans="1:38" hidden="1" x14ac:dyDescent="0.3">
      <c r="A1317" t="s">
        <v>64</v>
      </c>
      <c r="B1317">
        <v>2063</v>
      </c>
      <c r="J1317">
        <v>1.3226783364968</v>
      </c>
      <c r="R1317">
        <v>25.830615289781001</v>
      </c>
      <c r="U1317">
        <v>0</v>
      </c>
      <c r="V1317">
        <v>-9.8929524421692006E-2</v>
      </c>
      <c r="AC1317">
        <v>0</v>
      </c>
    </row>
    <row r="1318" spans="1:38" hidden="1" x14ac:dyDescent="0.3">
      <c r="A1318" t="s">
        <v>64</v>
      </c>
      <c r="B1318">
        <v>2064</v>
      </c>
      <c r="J1318">
        <v>1.342492511883</v>
      </c>
      <c r="R1318">
        <v>25.784973002194</v>
      </c>
      <c r="U1318">
        <v>0</v>
      </c>
      <c r="V1318">
        <v>-0.10146617889404</v>
      </c>
      <c r="AC1318">
        <v>0</v>
      </c>
    </row>
    <row r="1319" spans="1:38" hidden="1" x14ac:dyDescent="0.3">
      <c r="A1319" t="s">
        <v>64</v>
      </c>
      <c r="B1319">
        <v>2065</v>
      </c>
      <c r="J1319">
        <v>1.3538324491500999</v>
      </c>
      <c r="R1319">
        <v>25.704664632549999</v>
      </c>
      <c r="U1319">
        <v>0</v>
      </c>
      <c r="V1319">
        <v>-0.10400283336639</v>
      </c>
      <c r="AC1319">
        <v>0</v>
      </c>
    </row>
    <row r="1320" spans="1:38" hidden="1" x14ac:dyDescent="0.3">
      <c r="A1320" t="s">
        <v>64</v>
      </c>
      <c r="B1320">
        <v>2066</v>
      </c>
      <c r="J1320">
        <v>1.3557597989642001</v>
      </c>
      <c r="R1320">
        <v>25.608619739388001</v>
      </c>
      <c r="U1320">
        <v>0</v>
      </c>
      <c r="V1320">
        <v>-0.10653948783875</v>
      </c>
      <c r="AC1320">
        <v>0</v>
      </c>
    </row>
    <row r="1321" spans="1:38" hidden="1" x14ac:dyDescent="0.3">
      <c r="A1321" t="s">
        <v>64</v>
      </c>
      <c r="B1321">
        <v>2067</v>
      </c>
      <c r="J1321">
        <v>1.3512913696797999</v>
      </c>
      <c r="R1321">
        <v>25.492273534708001</v>
      </c>
      <c r="U1321">
        <v>0</v>
      </c>
      <c r="V1321">
        <v>-0.10907614231109999</v>
      </c>
      <c r="AC1321">
        <v>0</v>
      </c>
    </row>
    <row r="1322" spans="1:38" hidden="1" x14ac:dyDescent="0.3">
      <c r="A1322" t="s">
        <v>64</v>
      </c>
      <c r="B1322">
        <v>2068</v>
      </c>
      <c r="J1322">
        <v>1.3458499718059</v>
      </c>
      <c r="R1322">
        <v>25.363029301729998</v>
      </c>
      <c r="U1322">
        <v>0</v>
      </c>
      <c r="V1322">
        <v>-0.11161279678345</v>
      </c>
      <c r="AC1322">
        <v>0.67530000000000001</v>
      </c>
    </row>
    <row r="1323" spans="1:38" hidden="1" x14ac:dyDescent="0.3">
      <c r="A1323" t="s">
        <v>64</v>
      </c>
      <c r="B1323">
        <v>2069</v>
      </c>
      <c r="J1323">
        <v>1.33374844132</v>
      </c>
      <c r="R1323">
        <v>25.209315077226002</v>
      </c>
      <c r="U1323">
        <v>0</v>
      </c>
      <c r="V1323">
        <v>-0.11414945125580001</v>
      </c>
      <c r="AC1323">
        <v>0</v>
      </c>
    </row>
    <row r="1324" spans="1:38" hidden="1" x14ac:dyDescent="0.3">
      <c r="A1324" t="s">
        <v>64</v>
      </c>
      <c r="B1324">
        <v>2070</v>
      </c>
      <c r="J1324">
        <v>1.3068549958700999</v>
      </c>
      <c r="R1324">
        <v>25.036654894306</v>
      </c>
      <c r="U1324">
        <v>0</v>
      </c>
      <c r="V1324">
        <v>-0.11668610572815</v>
      </c>
      <c r="AC1324">
        <v>0</v>
      </c>
    </row>
    <row r="1325" spans="1:38" hidden="1" x14ac:dyDescent="0.3">
      <c r="A1325" t="s">
        <v>64</v>
      </c>
      <c r="B1325">
        <v>2071</v>
      </c>
      <c r="V1325">
        <v>-0.1192227602005</v>
      </c>
    </row>
    <row r="1326" spans="1:38" hidden="1" x14ac:dyDescent="0.3">
      <c r="A1326" t="s">
        <v>65</v>
      </c>
      <c r="B1326">
        <v>0</v>
      </c>
      <c r="AD1326">
        <v>3.9223910171070998E-2</v>
      </c>
      <c r="AE1326">
        <v>5.6893592967956999E-2</v>
      </c>
      <c r="AF1326">
        <v>5.5097485307178E-2</v>
      </c>
      <c r="AG1326">
        <v>0.99928944984485002</v>
      </c>
      <c r="AH1326">
        <v>0</v>
      </c>
      <c r="AI1326">
        <v>3.3139726315789</v>
      </c>
      <c r="AJ1326">
        <v>4.4661115789474</v>
      </c>
      <c r="AK1326">
        <v>2.1578473684211001</v>
      </c>
      <c r="AL1326">
        <v>0.46800000000000003</v>
      </c>
    </row>
    <row r="1327" spans="1:38" hidden="1" x14ac:dyDescent="0.3">
      <c r="A1327" t="s">
        <v>65</v>
      </c>
      <c r="B1327">
        <v>2024</v>
      </c>
      <c r="C1327">
        <v>44.89</v>
      </c>
      <c r="D1327">
        <v>67.039000000000001</v>
      </c>
      <c r="E1327">
        <v>66.968140000000005</v>
      </c>
      <c r="F1327">
        <v>4.7175003956139001</v>
      </c>
      <c r="G1327">
        <v>53.971722819010999</v>
      </c>
      <c r="H1327">
        <v>1.591020937496</v>
      </c>
      <c r="I1327">
        <v>53.292951423727999</v>
      </c>
      <c r="J1327">
        <v>2.3437760700007</v>
      </c>
      <c r="K1327">
        <v>3.0775155870869999</v>
      </c>
      <c r="L1327">
        <v>2.9323319626384001</v>
      </c>
      <c r="M1327">
        <v>0.36199300000000001</v>
      </c>
      <c r="N1327">
        <v>8.1000000000000003E-2</v>
      </c>
      <c r="O1327">
        <v>-0.94005890000000003</v>
      </c>
      <c r="P1327">
        <v>0.52600000000000002</v>
      </c>
      <c r="Q1327">
        <v>45.477684199999999</v>
      </c>
      <c r="R1327">
        <v>22.297730856129</v>
      </c>
      <c r="S1327">
        <v>9.8130204868229001E-2</v>
      </c>
      <c r="U1327">
        <v>0</v>
      </c>
      <c r="V1327">
        <v>0</v>
      </c>
      <c r="W1327">
        <v>1.9935555</v>
      </c>
      <c r="X1327">
        <v>3.0720000000000001</v>
      </c>
      <c r="Y1327">
        <v>3.1091666666667002</v>
      </c>
      <c r="Z1327">
        <v>1</v>
      </c>
      <c r="AA1327">
        <v>1.0823804690000001</v>
      </c>
    </row>
    <row r="1328" spans="1:38" hidden="1" x14ac:dyDescent="0.3">
      <c r="A1328" t="s">
        <v>65</v>
      </c>
      <c r="B1328">
        <v>2025</v>
      </c>
      <c r="C1328">
        <v>45.97</v>
      </c>
      <c r="D1328">
        <v>65.457099999999997</v>
      </c>
      <c r="E1328">
        <v>70.225740000000002</v>
      </c>
      <c r="F1328">
        <v>4.8644026846199004</v>
      </c>
      <c r="G1328">
        <v>55.067003124971997</v>
      </c>
      <c r="H1328">
        <v>2.0293595400568001</v>
      </c>
      <c r="I1328">
        <v>54.511370894492998</v>
      </c>
      <c r="J1328">
        <v>2.2862675798857</v>
      </c>
      <c r="K1328">
        <v>2.7786540490142002</v>
      </c>
      <c r="L1328">
        <v>2.4767093808285998</v>
      </c>
      <c r="M1328">
        <v>-5.8903299999999999E-2</v>
      </c>
      <c r="N1328">
        <v>5.0700000000000002E-2</v>
      </c>
      <c r="O1328">
        <v>-1.3278726000000001</v>
      </c>
      <c r="P1328">
        <v>0.14000000000000001</v>
      </c>
      <c r="Q1328">
        <v>46.579252400000001</v>
      </c>
      <c r="R1328">
        <v>22.460722665452</v>
      </c>
      <c r="S1328">
        <v>9.8523266002144005E-2</v>
      </c>
      <c r="U1328">
        <v>0</v>
      </c>
      <c r="V1328">
        <v>-1.7340565100312001E-3</v>
      </c>
      <c r="W1328">
        <v>1.9849588</v>
      </c>
      <c r="X1328">
        <v>2.5590000000000002</v>
      </c>
      <c r="Y1328">
        <v>3.0939999999999999</v>
      </c>
      <c r="Z1328">
        <v>1</v>
      </c>
      <c r="AA1328">
        <v>1.113519535</v>
      </c>
      <c r="AC1328">
        <v>2.5814123100000002</v>
      </c>
    </row>
    <row r="1329" spans="1:29" hidden="1" x14ac:dyDescent="0.3">
      <c r="A1329" t="s">
        <v>65</v>
      </c>
      <c r="B1329">
        <v>2026</v>
      </c>
      <c r="C1329">
        <v>47.1</v>
      </c>
      <c r="D1329">
        <v>63.768500000000003</v>
      </c>
      <c r="E1329">
        <v>73.860330000000005</v>
      </c>
      <c r="F1329">
        <v>5.1755809194748004</v>
      </c>
      <c r="G1329">
        <v>56.405131300908998</v>
      </c>
      <c r="H1329">
        <v>2.4300000000000002</v>
      </c>
      <c r="I1329">
        <v>55.747645641707003</v>
      </c>
      <c r="J1329">
        <v>2.2679208519744001</v>
      </c>
      <c r="K1329">
        <v>2.6804455891984</v>
      </c>
      <c r="L1329">
        <v>2.0119566334671002</v>
      </c>
      <c r="M1329">
        <v>-0.2185396</v>
      </c>
      <c r="N1329">
        <v>-0.77049999999999996</v>
      </c>
      <c r="O1329">
        <v>-1.5324450000000001</v>
      </c>
      <c r="P1329">
        <v>0</v>
      </c>
      <c r="Q1329">
        <v>47.019265400000002</v>
      </c>
      <c r="R1329">
        <v>22.625667525251</v>
      </c>
      <c r="S1329">
        <v>9.8998966176417E-2</v>
      </c>
      <c r="U1329">
        <v>0</v>
      </c>
      <c r="V1329">
        <v>-3.3851088955998E-3</v>
      </c>
      <c r="W1329">
        <v>2.1111645999999999</v>
      </c>
      <c r="Z1329">
        <v>1</v>
      </c>
      <c r="AA1329">
        <v>1.1346799999999999</v>
      </c>
      <c r="AC1329">
        <v>3.1099359999999998</v>
      </c>
    </row>
    <row r="1330" spans="1:29" hidden="1" x14ac:dyDescent="0.3">
      <c r="A1330" t="s">
        <v>65</v>
      </c>
      <c r="B1330">
        <v>2027</v>
      </c>
      <c r="G1330">
        <v>57.427867493904003</v>
      </c>
      <c r="H1330">
        <v>1.8131970787195</v>
      </c>
      <c r="I1330">
        <v>56.979855297867999</v>
      </c>
      <c r="J1330">
        <v>2.2103348795756999</v>
      </c>
      <c r="R1330">
        <v>22.797149793405001</v>
      </c>
      <c r="S1330">
        <v>9.9929669979121005E-2</v>
      </c>
      <c r="U1330">
        <v>0</v>
      </c>
      <c r="V1330">
        <v>-4.5811519958079E-3</v>
      </c>
      <c r="AC1330">
        <v>3.5403195159999998</v>
      </c>
    </row>
    <row r="1331" spans="1:29" hidden="1" x14ac:dyDescent="0.3">
      <c r="A1331" t="s">
        <v>65</v>
      </c>
      <c r="B1331">
        <v>2028</v>
      </c>
      <c r="G1331">
        <v>58.423117378614002</v>
      </c>
      <c r="H1331">
        <v>1.7330434302051001</v>
      </c>
      <c r="I1331">
        <v>58.194336764181998</v>
      </c>
      <c r="J1331">
        <v>2.1314225175997001</v>
      </c>
      <c r="R1331">
        <v>23.005313673606</v>
      </c>
      <c r="S1331">
        <v>0.10137551912601001</v>
      </c>
      <c r="U1331">
        <v>0</v>
      </c>
      <c r="V1331">
        <v>-5.2622086368501004E-3</v>
      </c>
      <c r="AC1331">
        <v>2.35</v>
      </c>
    </row>
    <row r="1332" spans="1:29" hidden="1" x14ac:dyDescent="0.3">
      <c r="A1332" t="s">
        <v>65</v>
      </c>
      <c r="B1332">
        <v>2029</v>
      </c>
      <c r="G1332">
        <v>59.474337493546997</v>
      </c>
      <c r="H1332">
        <v>1.7993221897423</v>
      </c>
      <c r="I1332">
        <v>59.474337493546997</v>
      </c>
      <c r="J1332">
        <v>2.1995279962584</v>
      </c>
      <c r="R1332">
        <v>23.177132219028</v>
      </c>
      <c r="S1332">
        <v>0.10259447642168</v>
      </c>
      <c r="U1332">
        <v>0</v>
      </c>
      <c r="V1332">
        <v>-6.1712646856904004E-3</v>
      </c>
      <c r="AC1332">
        <v>2.4703473530000002</v>
      </c>
    </row>
    <row r="1333" spans="1:29" hidden="1" x14ac:dyDescent="0.3">
      <c r="A1333" t="s">
        <v>65</v>
      </c>
      <c r="B1333">
        <v>2030</v>
      </c>
      <c r="J1333">
        <v>2.1613108387033999</v>
      </c>
      <c r="R1333">
        <v>23.343253628178999</v>
      </c>
      <c r="S1333">
        <v>0.10375086910084</v>
      </c>
      <c r="U1333">
        <v>0</v>
      </c>
      <c r="V1333">
        <v>-7.1413107216358003E-3</v>
      </c>
      <c r="AC1333">
        <v>3.0187369999999998</v>
      </c>
    </row>
    <row r="1334" spans="1:29" hidden="1" x14ac:dyDescent="0.3">
      <c r="A1334" t="s">
        <v>65</v>
      </c>
      <c r="B1334">
        <v>2031</v>
      </c>
      <c r="J1334">
        <v>2.1230936811483998</v>
      </c>
      <c r="R1334">
        <v>23.501870974142999</v>
      </c>
      <c r="S1334">
        <v>0.10484447825692</v>
      </c>
      <c r="U1334">
        <v>0</v>
      </c>
      <c r="V1334">
        <v>-8.1753619015217001E-3</v>
      </c>
      <c r="AC1334">
        <v>3.5074540000000001</v>
      </c>
    </row>
    <row r="1335" spans="1:29" hidden="1" x14ac:dyDescent="0.3">
      <c r="A1335" t="s">
        <v>65</v>
      </c>
      <c r="B1335">
        <v>2032</v>
      </c>
      <c r="J1335">
        <v>2.0848765235934001</v>
      </c>
      <c r="R1335">
        <v>23.649077974179001</v>
      </c>
      <c r="S1335">
        <v>0.10589783099502</v>
      </c>
      <c r="U1335">
        <v>0</v>
      </c>
      <c r="V1335">
        <v>-9.2484122142195997E-3</v>
      </c>
      <c r="AC1335">
        <v>3.880919</v>
      </c>
    </row>
    <row r="1336" spans="1:29" hidden="1" x14ac:dyDescent="0.3">
      <c r="A1336" t="s">
        <v>65</v>
      </c>
      <c r="B1336">
        <v>2033</v>
      </c>
      <c r="J1336">
        <v>2.0466593660384</v>
      </c>
      <c r="R1336">
        <v>23.84188177335</v>
      </c>
      <c r="S1336">
        <v>0.1074551392052</v>
      </c>
      <c r="U1336">
        <v>0</v>
      </c>
      <c r="V1336">
        <v>-9.8184663802385001E-3</v>
      </c>
      <c r="AC1336">
        <v>3.0994544099999999</v>
      </c>
    </row>
    <row r="1337" spans="1:29" hidden="1" x14ac:dyDescent="0.3">
      <c r="A1337" t="s">
        <v>65</v>
      </c>
      <c r="B1337">
        <v>2034</v>
      </c>
      <c r="J1337">
        <v>2.0084422084833</v>
      </c>
      <c r="R1337">
        <v>23.974779086399</v>
      </c>
      <c r="S1337">
        <v>0.10849124965649</v>
      </c>
      <c r="U1337">
        <v>0</v>
      </c>
      <c r="V1337">
        <v>-1.0909514501691E-2</v>
      </c>
      <c r="AC1337">
        <v>2.85</v>
      </c>
    </row>
    <row r="1338" spans="1:29" hidden="1" x14ac:dyDescent="0.3">
      <c r="A1338" t="s">
        <v>65</v>
      </c>
      <c r="B1338">
        <v>2035</v>
      </c>
      <c r="J1338">
        <v>1.9702250509282999</v>
      </c>
      <c r="R1338">
        <v>24.157185836206999</v>
      </c>
      <c r="S1338">
        <v>0.11003875177715999</v>
      </c>
      <c r="U1338">
        <v>0</v>
      </c>
      <c r="V1338">
        <v>-1.1941720354793999E-2</v>
      </c>
      <c r="AC1338">
        <v>2.7346050000000002</v>
      </c>
    </row>
    <row r="1339" spans="1:29" hidden="1" x14ac:dyDescent="0.3">
      <c r="A1339" t="s">
        <v>65</v>
      </c>
      <c r="B1339">
        <v>2036</v>
      </c>
      <c r="J1339">
        <v>1.9320078933733</v>
      </c>
      <c r="R1339">
        <v>24.313390437142001</v>
      </c>
      <c r="S1339">
        <v>0.11134971531585</v>
      </c>
      <c r="U1339">
        <v>0</v>
      </c>
      <c r="V1339">
        <v>-1.2973926207897E-2</v>
      </c>
      <c r="AC1339">
        <v>0</v>
      </c>
    </row>
    <row r="1340" spans="1:29" hidden="1" x14ac:dyDescent="0.3">
      <c r="A1340" t="s">
        <v>65</v>
      </c>
      <c r="B1340">
        <v>2037</v>
      </c>
      <c r="J1340">
        <v>1.8762336804699999</v>
      </c>
      <c r="R1340">
        <v>24.446860028208</v>
      </c>
      <c r="S1340">
        <v>0.11239297629396</v>
      </c>
      <c r="U1340">
        <v>0</v>
      </c>
      <c r="V1340">
        <v>-1.4006132061001E-2</v>
      </c>
      <c r="AC1340">
        <v>0</v>
      </c>
    </row>
    <row r="1341" spans="1:29" hidden="1" x14ac:dyDescent="0.3">
      <c r="A1341" t="s">
        <v>65</v>
      </c>
      <c r="B1341">
        <v>2038</v>
      </c>
      <c r="J1341">
        <v>1.7763114113883001</v>
      </c>
      <c r="R1341">
        <v>24.627840468881001</v>
      </c>
      <c r="S1341">
        <v>0.11389133270196999</v>
      </c>
      <c r="U1341">
        <v>0</v>
      </c>
      <c r="V1341">
        <v>-1.5038337914104E-2</v>
      </c>
      <c r="AC1341">
        <v>0</v>
      </c>
    </row>
    <row r="1342" spans="1:29" hidden="1" x14ac:dyDescent="0.3">
      <c r="A1342" t="s">
        <v>65</v>
      </c>
      <c r="B1342">
        <v>2039</v>
      </c>
      <c r="J1342">
        <v>1.6656956350005001</v>
      </c>
      <c r="R1342">
        <v>24.833196069867999</v>
      </c>
      <c r="S1342">
        <v>0.11556601875355001</v>
      </c>
      <c r="U1342">
        <v>0</v>
      </c>
      <c r="V1342">
        <v>-1.6070543767206999E-2</v>
      </c>
      <c r="AC1342">
        <v>0</v>
      </c>
    </row>
    <row r="1343" spans="1:29" hidden="1" x14ac:dyDescent="0.3">
      <c r="A1343" t="s">
        <v>65</v>
      </c>
      <c r="B1343">
        <v>2040</v>
      </c>
      <c r="J1343">
        <v>1.5366316185710001</v>
      </c>
      <c r="R1343">
        <v>24.976901329116</v>
      </c>
      <c r="S1343">
        <v>0.11661496611543</v>
      </c>
      <c r="U1343">
        <v>0</v>
      </c>
      <c r="V1343">
        <v>-1.7102749620310002E-2</v>
      </c>
      <c r="AC1343">
        <v>3.1</v>
      </c>
    </row>
    <row r="1344" spans="1:29" hidden="1" x14ac:dyDescent="0.3">
      <c r="A1344" t="s">
        <v>65</v>
      </c>
      <c r="B1344">
        <v>2041</v>
      </c>
      <c r="J1344">
        <v>1.4456978382306001</v>
      </c>
      <c r="R1344">
        <v>25.120013151536</v>
      </c>
      <c r="S1344">
        <v>0.11758702406932001</v>
      </c>
      <c r="U1344">
        <v>0</v>
      </c>
      <c r="V1344">
        <v>-1.8134955473414E-2</v>
      </c>
      <c r="AC1344">
        <v>0</v>
      </c>
    </row>
    <row r="1345" spans="1:29" hidden="1" x14ac:dyDescent="0.3">
      <c r="A1345" t="s">
        <v>65</v>
      </c>
      <c r="B1345">
        <v>2042</v>
      </c>
      <c r="J1345">
        <v>1.3249070070938</v>
      </c>
      <c r="R1345">
        <v>25.315515836366</v>
      </c>
      <c r="S1345">
        <v>0.11898292393204001</v>
      </c>
      <c r="U1345">
        <v>0</v>
      </c>
      <c r="V1345">
        <v>-1.9167161326516999E-2</v>
      </c>
      <c r="AC1345">
        <v>0</v>
      </c>
    </row>
    <row r="1346" spans="1:29" hidden="1" x14ac:dyDescent="0.3">
      <c r="A1346" t="s">
        <v>65</v>
      </c>
      <c r="B1346">
        <v>2043</v>
      </c>
      <c r="J1346">
        <v>1.2330698271735001</v>
      </c>
      <c r="R1346">
        <v>25.520955627805002</v>
      </c>
      <c r="S1346">
        <v>0.12047148244118</v>
      </c>
      <c r="U1346">
        <v>0</v>
      </c>
      <c r="V1346">
        <v>-2.0199367179619999E-2</v>
      </c>
      <c r="AC1346">
        <v>0</v>
      </c>
    </row>
    <row r="1347" spans="1:29" hidden="1" x14ac:dyDescent="0.3">
      <c r="A1347" t="s">
        <v>65</v>
      </c>
      <c r="B1347">
        <v>2044</v>
      </c>
      <c r="J1347">
        <v>1.1455329107598</v>
      </c>
      <c r="R1347">
        <v>25.743772538428001</v>
      </c>
      <c r="S1347">
        <v>0.12202521093509</v>
      </c>
      <c r="U1347">
        <v>0</v>
      </c>
      <c r="V1347">
        <v>-2.1231573032723002E-2</v>
      </c>
      <c r="AC1347">
        <v>0</v>
      </c>
    </row>
    <row r="1348" spans="1:29" hidden="1" x14ac:dyDescent="0.3">
      <c r="A1348" t="s">
        <v>65</v>
      </c>
      <c r="B1348">
        <v>2045</v>
      </c>
      <c r="J1348">
        <v>1.0671722542001001</v>
      </c>
      <c r="R1348">
        <v>25.962170090453</v>
      </c>
      <c r="S1348">
        <v>0.12348446710652</v>
      </c>
      <c r="U1348">
        <v>0</v>
      </c>
      <c r="V1348">
        <v>-2.2263778885826001E-2</v>
      </c>
      <c r="AC1348">
        <v>2.1612680000000002</v>
      </c>
    </row>
    <row r="1349" spans="1:29" hidden="1" x14ac:dyDescent="0.3">
      <c r="A1349" t="s">
        <v>65</v>
      </c>
      <c r="B1349">
        <v>2046</v>
      </c>
      <c r="J1349">
        <v>1.0476844106544001</v>
      </c>
      <c r="R1349">
        <v>26.159177144786</v>
      </c>
      <c r="S1349">
        <v>0.1247480422917</v>
      </c>
      <c r="U1349">
        <v>0</v>
      </c>
      <c r="V1349">
        <v>-2.3295984738929999E-2</v>
      </c>
      <c r="AC1349">
        <v>0</v>
      </c>
    </row>
    <row r="1350" spans="1:29" hidden="1" x14ac:dyDescent="0.3">
      <c r="A1350" t="s">
        <v>65</v>
      </c>
      <c r="B1350">
        <v>2047</v>
      </c>
      <c r="J1350">
        <v>1.0187282184888999</v>
      </c>
      <c r="R1350">
        <v>26.368051911529001</v>
      </c>
      <c r="S1350">
        <v>0.12604427438690999</v>
      </c>
      <c r="U1350">
        <v>0</v>
      </c>
      <c r="V1350">
        <v>-2.4328190592032999E-2</v>
      </c>
      <c r="AC1350">
        <v>0</v>
      </c>
    </row>
    <row r="1351" spans="1:29" hidden="1" x14ac:dyDescent="0.3">
      <c r="A1351" t="s">
        <v>65</v>
      </c>
      <c r="B1351">
        <v>2048</v>
      </c>
      <c r="J1351">
        <v>1.0006804664563</v>
      </c>
      <c r="R1351">
        <v>26.581129137769</v>
      </c>
      <c r="S1351">
        <v>0.12742922733234999</v>
      </c>
      <c r="U1351">
        <v>0</v>
      </c>
      <c r="V1351">
        <v>-2.5360396445136001E-2</v>
      </c>
      <c r="AC1351">
        <v>0</v>
      </c>
    </row>
    <row r="1352" spans="1:29" hidden="1" x14ac:dyDescent="0.3">
      <c r="A1352" t="s">
        <v>65</v>
      </c>
      <c r="B1352">
        <v>2049</v>
      </c>
      <c r="J1352">
        <v>0.99953124383576997</v>
      </c>
      <c r="R1352">
        <v>26.780122078464</v>
      </c>
      <c r="S1352">
        <v>0.12864544018779001</v>
      </c>
      <c r="U1352">
        <v>0</v>
      </c>
      <c r="V1352">
        <v>-2.6392602298239001E-2</v>
      </c>
      <c r="AC1352">
        <v>0.05</v>
      </c>
    </row>
    <row r="1353" spans="1:29" hidden="1" x14ac:dyDescent="0.3">
      <c r="A1353" t="s">
        <v>65</v>
      </c>
      <c r="B1353">
        <v>2050</v>
      </c>
      <c r="J1353">
        <v>0.99849065858729003</v>
      </c>
      <c r="R1353">
        <v>26.958206549119001</v>
      </c>
      <c r="S1353">
        <v>0.12967231500387</v>
      </c>
      <c r="U1353">
        <v>0</v>
      </c>
      <c r="V1353">
        <v>-2.7424808151342999E-2</v>
      </c>
      <c r="AC1353">
        <v>1.85</v>
      </c>
    </row>
    <row r="1354" spans="1:29" hidden="1" x14ac:dyDescent="0.3">
      <c r="A1354" t="s">
        <v>65</v>
      </c>
      <c r="B1354">
        <v>2051</v>
      </c>
      <c r="J1354">
        <v>1.0127888971465</v>
      </c>
      <c r="R1354">
        <v>27.107405403436001</v>
      </c>
      <c r="S1354">
        <v>0.13041638244261999</v>
      </c>
      <c r="U1354">
        <v>0</v>
      </c>
      <c r="V1354">
        <v>-2.8457014004445998E-2</v>
      </c>
      <c r="AC1354">
        <v>0</v>
      </c>
    </row>
    <row r="1355" spans="1:29" hidden="1" x14ac:dyDescent="0.3">
      <c r="A1355" t="s">
        <v>65</v>
      </c>
      <c r="B1355">
        <v>2052</v>
      </c>
      <c r="J1355">
        <v>1.0366437753971001</v>
      </c>
      <c r="R1355">
        <v>27.263619967903999</v>
      </c>
      <c r="S1355">
        <v>0.13125755571018999</v>
      </c>
      <c r="U1355">
        <v>0</v>
      </c>
      <c r="V1355">
        <v>-2.9489219857549001E-2</v>
      </c>
      <c r="AC1355">
        <v>0</v>
      </c>
    </row>
    <row r="1356" spans="1:29" hidden="1" x14ac:dyDescent="0.3">
      <c r="A1356" t="s">
        <v>65</v>
      </c>
      <c r="B1356">
        <v>2053</v>
      </c>
      <c r="J1356">
        <v>1.0528693812698</v>
      </c>
      <c r="R1356">
        <v>27.382025454314999</v>
      </c>
      <c r="S1356">
        <v>0.13179695973675001</v>
      </c>
      <c r="U1356">
        <v>0</v>
      </c>
      <c r="V1356">
        <v>-3.0521425710652E-2</v>
      </c>
      <c r="AC1356">
        <v>0</v>
      </c>
    </row>
    <row r="1357" spans="1:29" hidden="1" x14ac:dyDescent="0.3">
      <c r="A1357" t="s">
        <v>65</v>
      </c>
      <c r="B1357">
        <v>2054</v>
      </c>
      <c r="J1357">
        <v>1.0938205312595</v>
      </c>
      <c r="R1357">
        <v>27.488273445246001</v>
      </c>
      <c r="S1357">
        <v>0.13223312790385</v>
      </c>
      <c r="U1357">
        <v>0</v>
      </c>
      <c r="V1357">
        <v>-3.1553631563755999E-2</v>
      </c>
      <c r="AC1357">
        <v>0</v>
      </c>
    </row>
    <row r="1358" spans="1:29" hidden="1" x14ac:dyDescent="0.3">
      <c r="A1358" t="s">
        <v>65</v>
      </c>
      <c r="B1358">
        <v>2055</v>
      </c>
      <c r="J1358">
        <v>1.1435981981950001</v>
      </c>
      <c r="R1358">
        <v>27.563847455693999</v>
      </c>
      <c r="S1358">
        <v>0.13250503617959</v>
      </c>
      <c r="U1358">
        <v>0</v>
      </c>
      <c r="V1358">
        <v>-3.2585837416858998E-2</v>
      </c>
      <c r="AC1358">
        <v>1</v>
      </c>
    </row>
    <row r="1359" spans="1:29" hidden="1" x14ac:dyDescent="0.3">
      <c r="A1359" t="s">
        <v>65</v>
      </c>
      <c r="B1359">
        <v>2056</v>
      </c>
      <c r="J1359">
        <v>1.1896358143739001</v>
      </c>
      <c r="R1359">
        <v>27.624350378267</v>
      </c>
      <c r="S1359">
        <v>0.13264388090599</v>
      </c>
      <c r="U1359">
        <v>0</v>
      </c>
      <c r="V1359">
        <v>-3.3618043269961997E-2</v>
      </c>
      <c r="AC1359">
        <v>0</v>
      </c>
    </row>
    <row r="1360" spans="1:29" hidden="1" x14ac:dyDescent="0.3">
      <c r="A1360" t="s">
        <v>65</v>
      </c>
      <c r="B1360">
        <v>2057</v>
      </c>
      <c r="J1360">
        <v>1.2280479466122001</v>
      </c>
      <c r="R1360">
        <v>27.666483568667999</v>
      </c>
      <c r="S1360">
        <v>0.13269884328678</v>
      </c>
      <c r="U1360">
        <v>0</v>
      </c>
      <c r="V1360">
        <v>-3.4650249123064997E-2</v>
      </c>
      <c r="AC1360">
        <v>0</v>
      </c>
    </row>
    <row r="1361" spans="1:38" hidden="1" x14ac:dyDescent="0.3">
      <c r="A1361" t="s">
        <v>65</v>
      </c>
      <c r="B1361">
        <v>2058</v>
      </c>
      <c r="J1361">
        <v>1.2604989305628</v>
      </c>
      <c r="R1361">
        <v>27.678765596920002</v>
      </c>
      <c r="S1361">
        <v>0.13257654663988999</v>
      </c>
      <c r="U1361">
        <v>0</v>
      </c>
      <c r="V1361">
        <v>-3.5682454976169002E-2</v>
      </c>
      <c r="AC1361">
        <v>0</v>
      </c>
    </row>
    <row r="1362" spans="1:38" hidden="1" x14ac:dyDescent="0.3">
      <c r="A1362" t="s">
        <v>65</v>
      </c>
      <c r="B1362">
        <v>2059</v>
      </c>
      <c r="J1362">
        <v>1.2717880485504001</v>
      </c>
      <c r="R1362">
        <v>27.681972542701001</v>
      </c>
      <c r="S1362">
        <v>0.13241267405806001</v>
      </c>
      <c r="U1362">
        <v>0</v>
      </c>
      <c r="V1362">
        <v>-3.6714660829272001E-2</v>
      </c>
      <c r="AC1362">
        <v>0</v>
      </c>
    </row>
    <row r="1363" spans="1:38" hidden="1" x14ac:dyDescent="0.3">
      <c r="A1363" t="s">
        <v>65</v>
      </c>
      <c r="B1363">
        <v>2060</v>
      </c>
      <c r="J1363">
        <v>1.2832004109480999</v>
      </c>
      <c r="R1363">
        <v>27.674804567142001</v>
      </c>
      <c r="S1363">
        <v>0.13224845589468001</v>
      </c>
      <c r="U1363">
        <v>0</v>
      </c>
      <c r="V1363">
        <v>-3.7746866682375001E-2</v>
      </c>
      <c r="AC1363">
        <v>0</v>
      </c>
    </row>
    <row r="1364" spans="1:38" hidden="1" x14ac:dyDescent="0.3">
      <c r="A1364" t="s">
        <v>65</v>
      </c>
      <c r="B1364">
        <v>2061</v>
      </c>
      <c r="J1364">
        <v>1.2924300803591999</v>
      </c>
      <c r="R1364">
        <v>27.647831911645</v>
      </c>
      <c r="S1364">
        <v>0.13194552617450001</v>
      </c>
      <c r="U1364">
        <v>0</v>
      </c>
      <c r="V1364">
        <v>-3.8779072535478E-2</v>
      </c>
      <c r="AC1364">
        <v>0</v>
      </c>
    </row>
    <row r="1365" spans="1:38" hidden="1" x14ac:dyDescent="0.3">
      <c r="A1365" t="s">
        <v>65</v>
      </c>
      <c r="B1365">
        <v>2062</v>
      </c>
      <c r="J1365">
        <v>1.3003267011383</v>
      </c>
      <c r="R1365">
        <v>27.665213104724</v>
      </c>
      <c r="S1365">
        <v>0.13211211287936001</v>
      </c>
      <c r="U1365">
        <v>0</v>
      </c>
      <c r="V1365">
        <v>-3.9811278388580999E-2</v>
      </c>
      <c r="AC1365">
        <v>0.5</v>
      </c>
    </row>
    <row r="1366" spans="1:38" hidden="1" x14ac:dyDescent="0.3">
      <c r="A1366" t="s">
        <v>65</v>
      </c>
      <c r="B1366">
        <v>2063</v>
      </c>
      <c r="J1366">
        <v>1.3114372916910999</v>
      </c>
      <c r="R1366">
        <v>27.661775748543999</v>
      </c>
      <c r="S1366">
        <v>0.13214662536876001</v>
      </c>
      <c r="U1366">
        <v>0</v>
      </c>
      <c r="V1366">
        <v>-4.0843484241684998E-2</v>
      </c>
      <c r="AC1366">
        <v>0</v>
      </c>
    </row>
    <row r="1367" spans="1:38" hidden="1" x14ac:dyDescent="0.3">
      <c r="A1367" t="s">
        <v>65</v>
      </c>
      <c r="B1367">
        <v>2064</v>
      </c>
      <c r="J1367">
        <v>1.3133692385146001</v>
      </c>
      <c r="R1367">
        <v>27.649085141334002</v>
      </c>
      <c r="S1367">
        <v>0.13213148362009</v>
      </c>
      <c r="U1367">
        <v>0</v>
      </c>
      <c r="V1367">
        <v>-4.1875690094787997E-2</v>
      </c>
      <c r="AC1367">
        <v>0</v>
      </c>
    </row>
    <row r="1368" spans="1:38" hidden="1" x14ac:dyDescent="0.3">
      <c r="A1368" t="s">
        <v>65</v>
      </c>
      <c r="B1368">
        <v>2065</v>
      </c>
      <c r="J1368">
        <v>1.2899156970878001</v>
      </c>
      <c r="R1368">
        <v>27.617987579270999</v>
      </c>
      <c r="S1368">
        <v>0.13197417741209</v>
      </c>
      <c r="U1368">
        <v>0</v>
      </c>
      <c r="V1368">
        <v>-4.2907895947891003E-2</v>
      </c>
      <c r="AC1368">
        <v>0</v>
      </c>
    </row>
    <row r="1369" spans="1:38" hidden="1" x14ac:dyDescent="0.3">
      <c r="A1369" t="s">
        <v>65</v>
      </c>
      <c r="B1369">
        <v>2066</v>
      </c>
      <c r="J1369">
        <v>1.2633243000573</v>
      </c>
      <c r="R1369">
        <v>27.584517414061999</v>
      </c>
      <c r="S1369">
        <v>0.13182909471842999</v>
      </c>
      <c r="U1369">
        <v>0</v>
      </c>
      <c r="V1369">
        <v>-4.3940101800994003E-2</v>
      </c>
      <c r="AC1369">
        <v>0</v>
      </c>
    </row>
    <row r="1370" spans="1:38" hidden="1" x14ac:dyDescent="0.3">
      <c r="A1370" t="s">
        <v>65</v>
      </c>
      <c r="B1370">
        <v>2067</v>
      </c>
      <c r="J1370">
        <v>1.2379989886717</v>
      </c>
      <c r="R1370">
        <v>27.559721525699999</v>
      </c>
      <c r="S1370">
        <v>0.13174562590364</v>
      </c>
      <c r="U1370">
        <v>0</v>
      </c>
      <c r="V1370">
        <v>-4.4972307654098001E-2</v>
      </c>
      <c r="AC1370">
        <v>0</v>
      </c>
    </row>
    <row r="1371" spans="1:38" hidden="1" x14ac:dyDescent="0.3">
      <c r="A1371" t="s">
        <v>65</v>
      </c>
      <c r="B1371">
        <v>2068</v>
      </c>
      <c r="J1371">
        <v>1.1970096420895999</v>
      </c>
      <c r="R1371">
        <v>27.524494441763</v>
      </c>
      <c r="S1371">
        <v>0.13164698271360001</v>
      </c>
      <c r="U1371">
        <v>0</v>
      </c>
      <c r="V1371">
        <v>-4.6004513507201E-2</v>
      </c>
      <c r="AC1371">
        <v>0</v>
      </c>
    </row>
    <row r="1372" spans="1:38" hidden="1" x14ac:dyDescent="0.3">
      <c r="A1372" t="s">
        <v>65</v>
      </c>
      <c r="B1372">
        <v>2069</v>
      </c>
      <c r="J1372">
        <v>1.1402234263302</v>
      </c>
      <c r="R1372">
        <v>27.509645714537999</v>
      </c>
      <c r="S1372">
        <v>0.13169236579476001</v>
      </c>
      <c r="U1372">
        <v>0</v>
      </c>
      <c r="V1372">
        <v>-4.7036719360304E-2</v>
      </c>
      <c r="AC1372">
        <v>0</v>
      </c>
    </row>
    <row r="1373" spans="1:38" hidden="1" x14ac:dyDescent="0.3">
      <c r="A1373" t="s">
        <v>65</v>
      </c>
      <c r="B1373">
        <v>2070</v>
      </c>
      <c r="J1373">
        <v>1.0727437885479001</v>
      </c>
      <c r="R1373">
        <v>27.485164164303999</v>
      </c>
      <c r="S1373">
        <v>0.13166367122607001</v>
      </c>
      <c r="U1373">
        <v>0</v>
      </c>
      <c r="V1373">
        <v>-4.8068925213406999E-2</v>
      </c>
      <c r="AC1373">
        <v>0</v>
      </c>
    </row>
    <row r="1374" spans="1:38" hidden="1" x14ac:dyDescent="0.3">
      <c r="A1374" t="s">
        <v>65</v>
      </c>
      <c r="B1374">
        <v>2071</v>
      </c>
      <c r="V1374">
        <v>-4.9101131066510997E-2</v>
      </c>
    </row>
    <row r="1375" spans="1:38" hidden="1" x14ac:dyDescent="0.3">
      <c r="A1375" t="s">
        <v>66</v>
      </c>
      <c r="B1375">
        <v>0</v>
      </c>
      <c r="AD1375">
        <v>0.28249475140461999</v>
      </c>
      <c r="AE1375">
        <v>-2.5665296356521001E-2</v>
      </c>
      <c r="AF1375">
        <v>-1.0889525768127999E-2</v>
      </c>
      <c r="AG1375">
        <v>0.91617179723638997</v>
      </c>
      <c r="AH1375">
        <v>4.8971114694067001E-2</v>
      </c>
      <c r="AI1375">
        <v>2.6538768421053001</v>
      </c>
      <c r="AJ1375">
        <v>3.0633989473684</v>
      </c>
      <c r="AK1375">
        <v>2.1578473684211001</v>
      </c>
      <c r="AL1375">
        <v>0.55300000000000005</v>
      </c>
    </row>
    <row r="1376" spans="1:38" hidden="1" x14ac:dyDescent="0.3">
      <c r="A1376" t="s">
        <v>66</v>
      </c>
      <c r="B1376">
        <v>2024</v>
      </c>
      <c r="C1376">
        <v>2159</v>
      </c>
      <c r="D1376">
        <v>33.485599999999998</v>
      </c>
      <c r="E1376">
        <v>6447.5029999999997</v>
      </c>
      <c r="F1376">
        <v>3.7887086630168998</v>
      </c>
      <c r="G1376">
        <v>5443.0540017926996</v>
      </c>
      <c r="H1376">
        <v>0.97383229797778004</v>
      </c>
      <c r="I1376">
        <v>5537.7059647551996</v>
      </c>
      <c r="J1376">
        <v>1.3018245922853999</v>
      </c>
      <c r="K1376">
        <v>2.7877285815572002</v>
      </c>
      <c r="L1376">
        <v>2.9323319626384001</v>
      </c>
      <c r="M1376">
        <v>-0.85324500000000003</v>
      </c>
      <c r="N1376">
        <v>9.1999999999999998E-2</v>
      </c>
      <c r="O1376">
        <v>-1.4905615000000001</v>
      </c>
      <c r="P1376">
        <v>98.3</v>
      </c>
      <c r="Q1376">
        <v>49.360147599999998</v>
      </c>
      <c r="R1376">
        <v>24.021143917816001</v>
      </c>
      <c r="S1376">
        <v>1.5897563202525</v>
      </c>
      <c r="U1376">
        <v>0</v>
      </c>
      <c r="V1376">
        <v>0</v>
      </c>
      <c r="W1376">
        <v>2.0916187000000002</v>
      </c>
      <c r="X1376">
        <v>4.1870000000000003</v>
      </c>
      <c r="Y1376">
        <v>2.2000000000000002</v>
      </c>
      <c r="Z1376">
        <v>8.7469785771116998E-2</v>
      </c>
      <c r="AA1376">
        <v>9.4675587746271994E-2</v>
      </c>
    </row>
    <row r="1377" spans="1:29" hidden="1" x14ac:dyDescent="0.3">
      <c r="A1377" t="s">
        <v>66</v>
      </c>
      <c r="B1377">
        <v>2025</v>
      </c>
      <c r="C1377">
        <v>2240.1999999999998</v>
      </c>
      <c r="D1377">
        <v>33.801000000000002</v>
      </c>
      <c r="E1377">
        <v>6627.5410000000002</v>
      </c>
      <c r="F1377">
        <v>2.7923678360444</v>
      </c>
      <c r="G1377">
        <v>5502.1268934811997</v>
      </c>
      <c r="H1377">
        <v>1.0852894656019001</v>
      </c>
      <c r="I1377">
        <v>5608.9093903068997</v>
      </c>
      <c r="J1377">
        <v>1.2857928175461999</v>
      </c>
      <c r="K1377">
        <v>1.6887576452702</v>
      </c>
      <c r="L1377">
        <v>2.4767093808285998</v>
      </c>
      <c r="M1377">
        <v>-0.82470259999999995</v>
      </c>
      <c r="N1377">
        <v>0.29299999999999998</v>
      </c>
      <c r="O1377">
        <v>-1.5381236</v>
      </c>
      <c r="P1377">
        <v>-20.8</v>
      </c>
      <c r="Q1377">
        <v>48.762239600000001</v>
      </c>
      <c r="R1377">
        <v>23.888841436996</v>
      </c>
      <c r="S1377">
        <v>1.5588942504854</v>
      </c>
      <c r="U1377">
        <v>0</v>
      </c>
      <c r="V1377">
        <v>-3.3667765557766002E-2</v>
      </c>
      <c r="W1377">
        <v>2.1900211999999999</v>
      </c>
      <c r="X1377">
        <v>3.3639999999999999</v>
      </c>
      <c r="Y1377">
        <v>2.4</v>
      </c>
      <c r="Z1377">
        <v>9.0362645238377004E-2</v>
      </c>
      <c r="AA1377">
        <v>0.10062057070721001</v>
      </c>
      <c r="AC1377">
        <v>26.277097149999999</v>
      </c>
    </row>
    <row r="1378" spans="1:29" hidden="1" x14ac:dyDescent="0.3">
      <c r="A1378" t="s">
        <v>66</v>
      </c>
      <c r="B1378">
        <v>2026</v>
      </c>
      <c r="C1378">
        <v>2287.5</v>
      </c>
      <c r="D1378">
        <v>33.297899999999998</v>
      </c>
      <c r="E1378">
        <v>6869.9139999999998</v>
      </c>
      <c r="F1378">
        <v>3.6570577232188999</v>
      </c>
      <c r="G1378">
        <v>5607.6834089583999</v>
      </c>
      <c r="H1378">
        <v>1.9184674857698001</v>
      </c>
      <c r="I1378">
        <v>5685.9957138125001</v>
      </c>
      <c r="J1378">
        <v>1.3743549439181999</v>
      </c>
      <c r="K1378">
        <v>1.7058522288658999</v>
      </c>
      <c r="L1378">
        <v>2.0119566334671002</v>
      </c>
      <c r="M1378">
        <v>-0.19612889999999999</v>
      </c>
      <c r="N1378">
        <v>0.5655</v>
      </c>
      <c r="O1378">
        <v>-0.79764919999999995</v>
      </c>
      <c r="P1378">
        <v>-7.4</v>
      </c>
      <c r="Q1378">
        <v>48.175225699999999</v>
      </c>
      <c r="R1378">
        <v>23.724799733979999</v>
      </c>
      <c r="S1378">
        <v>1.5137786925387999</v>
      </c>
      <c r="U1378">
        <v>0</v>
      </c>
      <c r="V1378">
        <v>-9.0326532721518998E-2</v>
      </c>
      <c r="W1378">
        <v>1.8446753</v>
      </c>
      <c r="Z1378">
        <v>9.0779935818584997E-2</v>
      </c>
      <c r="AA1378">
        <v>0.10300617757463</v>
      </c>
      <c r="AC1378">
        <v>26.612181165999999</v>
      </c>
    </row>
    <row r="1379" spans="1:29" hidden="1" x14ac:dyDescent="0.3">
      <c r="A1379" t="s">
        <v>66</v>
      </c>
      <c r="B1379">
        <v>2027</v>
      </c>
      <c r="G1379">
        <v>5733.3864679050002</v>
      </c>
      <c r="H1379">
        <v>2.2416218923090998</v>
      </c>
      <c r="I1379">
        <v>5786.5176528112997</v>
      </c>
      <c r="J1379">
        <v>1.7678862957045001</v>
      </c>
      <c r="R1379">
        <v>23.740335095811002</v>
      </c>
      <c r="S1379">
        <v>1.4855060002775999</v>
      </c>
      <c r="U1379">
        <v>0</v>
      </c>
      <c r="V1379">
        <v>-0.12197127938271</v>
      </c>
      <c r="AC1379">
        <v>12.87926073</v>
      </c>
    </row>
    <row r="1380" spans="1:29" hidden="1" x14ac:dyDescent="0.3">
      <c r="A1380" t="s">
        <v>66</v>
      </c>
      <c r="B1380">
        <v>2028</v>
      </c>
      <c r="G1380">
        <v>5857.2753351798001</v>
      </c>
      <c r="H1380">
        <v>2.1608323103338001</v>
      </c>
      <c r="I1380">
        <v>5884.2897942951004</v>
      </c>
      <c r="J1380">
        <v>1.6896542506226999</v>
      </c>
      <c r="R1380">
        <v>23.749582599292999</v>
      </c>
      <c r="S1380">
        <v>1.4780972392320999</v>
      </c>
      <c r="U1380">
        <v>0</v>
      </c>
      <c r="V1380">
        <v>-0.12476309388876</v>
      </c>
      <c r="AC1380">
        <v>15.566449882000001</v>
      </c>
    </row>
    <row r="1381" spans="1:29" hidden="1" x14ac:dyDescent="0.3">
      <c r="A1381" t="s">
        <v>66</v>
      </c>
      <c r="B1381">
        <v>2029</v>
      </c>
      <c r="G1381">
        <v>5985.2025898434003</v>
      </c>
      <c r="H1381">
        <v>2.1840744602740001</v>
      </c>
      <c r="I1381">
        <v>5985.2025898434003</v>
      </c>
      <c r="J1381">
        <v>1.7149528503203999</v>
      </c>
      <c r="R1381">
        <v>23.762004164707001</v>
      </c>
      <c r="S1381">
        <v>1.4748480613407</v>
      </c>
      <c r="U1381">
        <v>0</v>
      </c>
      <c r="V1381">
        <v>-0.1213139295578</v>
      </c>
      <c r="AC1381">
        <v>12.538365582000001</v>
      </c>
    </row>
    <row r="1382" spans="1:29" hidden="1" x14ac:dyDescent="0.3">
      <c r="A1382" t="s">
        <v>66</v>
      </c>
      <c r="B1382">
        <v>2030</v>
      </c>
      <c r="J1382">
        <v>1.7317508470009</v>
      </c>
      <c r="R1382">
        <v>23.788228720839999</v>
      </c>
      <c r="S1382">
        <v>1.4699025506000001</v>
      </c>
      <c r="U1382">
        <v>0</v>
      </c>
      <c r="V1382">
        <v>-0.12170460820197999</v>
      </c>
      <c r="AC1382">
        <v>12.961177710999999</v>
      </c>
    </row>
    <row r="1383" spans="1:29" hidden="1" x14ac:dyDescent="0.3">
      <c r="A1383" t="s">
        <v>66</v>
      </c>
      <c r="B1383">
        <v>2031</v>
      </c>
      <c r="J1383">
        <v>1.7485488436814001</v>
      </c>
      <c r="R1383">
        <v>23.825136944663001</v>
      </c>
      <c r="S1383">
        <v>1.4680541909372999</v>
      </c>
      <c r="U1383">
        <v>0</v>
      </c>
      <c r="V1383">
        <v>-0.11448135226965001</v>
      </c>
      <c r="AC1383">
        <v>5.8262347129999998</v>
      </c>
    </row>
    <row r="1384" spans="1:29" hidden="1" x14ac:dyDescent="0.3">
      <c r="A1384" t="s">
        <v>66</v>
      </c>
      <c r="B1384">
        <v>2032</v>
      </c>
      <c r="J1384">
        <v>1.7653468403618999</v>
      </c>
      <c r="R1384">
        <v>23.861751955536999</v>
      </c>
      <c r="S1384">
        <v>1.4635995034514</v>
      </c>
      <c r="U1384">
        <v>0</v>
      </c>
      <c r="V1384">
        <v>-0.11542616784573</v>
      </c>
      <c r="AC1384">
        <v>8.0893942239999994</v>
      </c>
    </row>
    <row r="1385" spans="1:29" hidden="1" x14ac:dyDescent="0.3">
      <c r="A1385" t="s">
        <v>66</v>
      </c>
      <c r="B1385">
        <v>2033</v>
      </c>
      <c r="J1385">
        <v>1.7821448370424</v>
      </c>
      <c r="R1385">
        <v>23.882531041692001</v>
      </c>
      <c r="S1385">
        <v>1.4564952078557001</v>
      </c>
      <c r="U1385">
        <v>0</v>
      </c>
      <c r="V1385">
        <v>-0.12155602872372</v>
      </c>
      <c r="AC1385">
        <v>5.8343835930000001</v>
      </c>
    </row>
    <row r="1386" spans="1:29" hidden="1" x14ac:dyDescent="0.3">
      <c r="A1386" t="s">
        <v>66</v>
      </c>
      <c r="B1386">
        <v>2034</v>
      </c>
      <c r="J1386">
        <v>1.7989428337229001</v>
      </c>
      <c r="R1386">
        <v>23.869706995885</v>
      </c>
      <c r="S1386">
        <v>1.4429503906892001</v>
      </c>
      <c r="U1386">
        <v>0</v>
      </c>
      <c r="V1386">
        <v>-0.13850580900907999</v>
      </c>
      <c r="AC1386">
        <v>0.17637291099999999</v>
      </c>
    </row>
    <row r="1387" spans="1:29" hidden="1" x14ac:dyDescent="0.3">
      <c r="A1387" t="s">
        <v>66</v>
      </c>
      <c r="B1387">
        <v>2035</v>
      </c>
      <c r="J1387">
        <v>1.8157408304034</v>
      </c>
      <c r="R1387">
        <v>23.841578227547</v>
      </c>
      <c r="S1387">
        <v>1.4302224679497999</v>
      </c>
      <c r="U1387">
        <v>0</v>
      </c>
      <c r="V1387">
        <v>-0.14851801503788001</v>
      </c>
      <c r="AC1387">
        <v>4.5211113279999999</v>
      </c>
    </row>
    <row r="1388" spans="1:29" hidden="1" x14ac:dyDescent="0.3">
      <c r="A1388" t="s">
        <v>66</v>
      </c>
      <c r="B1388">
        <v>2036</v>
      </c>
      <c r="J1388">
        <v>1.8325388270837999</v>
      </c>
      <c r="R1388">
        <v>23.805740673342001</v>
      </c>
      <c r="S1388">
        <v>1.4205617151459999</v>
      </c>
      <c r="U1388">
        <v>0</v>
      </c>
      <c r="V1388">
        <v>-0.15853022106669001</v>
      </c>
      <c r="AC1388">
        <v>0.48636481300000001</v>
      </c>
    </row>
    <row r="1389" spans="1:29" hidden="1" x14ac:dyDescent="0.3">
      <c r="A1389" t="s">
        <v>66</v>
      </c>
      <c r="B1389">
        <v>2037</v>
      </c>
      <c r="J1389">
        <v>1.9210144344511999</v>
      </c>
      <c r="R1389">
        <v>23.650396307794001</v>
      </c>
      <c r="S1389">
        <v>1.3682935834073999</v>
      </c>
      <c r="U1389">
        <v>0</v>
      </c>
      <c r="V1389">
        <v>-0.16854242709549999</v>
      </c>
      <c r="AC1389">
        <v>0.77869400300000002</v>
      </c>
    </row>
    <row r="1390" spans="1:29" hidden="1" x14ac:dyDescent="0.3">
      <c r="A1390" t="s">
        <v>66</v>
      </c>
      <c r="B1390">
        <v>2038</v>
      </c>
      <c r="J1390">
        <v>1.9442790592525001</v>
      </c>
      <c r="R1390">
        <v>23.576663489101001</v>
      </c>
      <c r="S1390">
        <v>1.3431932141152001</v>
      </c>
      <c r="U1390">
        <v>0</v>
      </c>
      <c r="V1390">
        <v>-0.17855463312431</v>
      </c>
      <c r="AC1390">
        <v>0.364024397</v>
      </c>
    </row>
    <row r="1391" spans="1:29" hidden="1" x14ac:dyDescent="0.3">
      <c r="A1391" t="s">
        <v>66</v>
      </c>
      <c r="B1391">
        <v>2039</v>
      </c>
      <c r="J1391">
        <v>2.0010382962678999</v>
      </c>
      <c r="R1391">
        <v>23.522689193609999</v>
      </c>
      <c r="S1391">
        <v>1.3282503495677001</v>
      </c>
      <c r="U1391">
        <v>0</v>
      </c>
      <c r="V1391">
        <v>-0.18856683915312</v>
      </c>
      <c r="AC1391">
        <v>5.213925873</v>
      </c>
    </row>
    <row r="1392" spans="1:29" hidden="1" x14ac:dyDescent="0.3">
      <c r="A1392" t="s">
        <v>66</v>
      </c>
      <c r="B1392">
        <v>2040</v>
      </c>
      <c r="J1392">
        <v>2.0199324086530002</v>
      </c>
      <c r="R1392">
        <v>23.483547110775</v>
      </c>
      <c r="S1392">
        <v>1.3167079020226999</v>
      </c>
      <c r="U1392">
        <v>0</v>
      </c>
      <c r="V1392">
        <v>-0.19857904518191999</v>
      </c>
      <c r="AC1392">
        <v>0.13270288799999999</v>
      </c>
    </row>
    <row r="1393" spans="1:29" hidden="1" x14ac:dyDescent="0.3">
      <c r="A1393" t="s">
        <v>66</v>
      </c>
      <c r="B1393">
        <v>2041</v>
      </c>
      <c r="J1393">
        <v>1.9915967182080001</v>
      </c>
      <c r="R1393">
        <v>23.450546321792999</v>
      </c>
      <c r="S1393">
        <v>1.3042398372598001</v>
      </c>
      <c r="U1393">
        <v>0</v>
      </c>
      <c r="V1393">
        <v>-0.20859125121072999</v>
      </c>
      <c r="AC1393">
        <v>0.28392704299999999</v>
      </c>
    </row>
    <row r="1394" spans="1:29" hidden="1" x14ac:dyDescent="0.3">
      <c r="A1394" t="s">
        <v>66</v>
      </c>
      <c r="B1394">
        <v>2042</v>
      </c>
      <c r="J1394">
        <v>1.9668413096895001</v>
      </c>
      <c r="R1394">
        <v>23.417413849812998</v>
      </c>
      <c r="S1394">
        <v>1.2971574727466</v>
      </c>
      <c r="U1394">
        <v>0</v>
      </c>
      <c r="V1394">
        <v>-0.21860345723954</v>
      </c>
      <c r="AC1394">
        <v>0.24521369100000001</v>
      </c>
    </row>
    <row r="1395" spans="1:29" hidden="1" x14ac:dyDescent="0.3">
      <c r="A1395" t="s">
        <v>66</v>
      </c>
      <c r="B1395">
        <v>2043</v>
      </c>
      <c r="J1395">
        <v>1.9196933574281001</v>
      </c>
      <c r="R1395">
        <v>23.384556404204002</v>
      </c>
      <c r="S1395">
        <v>1.2852260289591</v>
      </c>
      <c r="U1395">
        <v>0</v>
      </c>
      <c r="V1395">
        <v>-0.22861566326835001</v>
      </c>
      <c r="AC1395">
        <v>0.190479495</v>
      </c>
    </row>
    <row r="1396" spans="1:29" hidden="1" x14ac:dyDescent="0.3">
      <c r="A1396" t="s">
        <v>66</v>
      </c>
      <c r="B1396">
        <v>2044</v>
      </c>
      <c r="J1396">
        <v>1.8851995653214999</v>
      </c>
      <c r="R1396">
        <v>23.363353130890001</v>
      </c>
      <c r="S1396">
        <v>1.2716527065887999</v>
      </c>
      <c r="U1396">
        <v>0</v>
      </c>
      <c r="V1396">
        <v>-0.23862786929716001</v>
      </c>
      <c r="AC1396">
        <v>0.21455479899999999</v>
      </c>
    </row>
    <row r="1397" spans="1:29" hidden="1" x14ac:dyDescent="0.3">
      <c r="A1397" t="s">
        <v>66</v>
      </c>
      <c r="B1397">
        <v>2045</v>
      </c>
      <c r="J1397">
        <v>1.8272169909417</v>
      </c>
      <c r="R1397">
        <v>23.360190702785999</v>
      </c>
      <c r="S1397">
        <v>1.2627996710325999</v>
      </c>
      <c r="U1397">
        <v>0</v>
      </c>
      <c r="V1397">
        <v>-0.24864007532596999</v>
      </c>
      <c r="AC1397">
        <v>1.6838620360000001</v>
      </c>
    </row>
    <row r="1398" spans="1:29" hidden="1" x14ac:dyDescent="0.3">
      <c r="A1398" t="s">
        <v>66</v>
      </c>
      <c r="B1398">
        <v>2046</v>
      </c>
      <c r="J1398">
        <v>1.7709898926547001</v>
      </c>
      <c r="R1398">
        <v>23.370560458181</v>
      </c>
      <c r="S1398">
        <v>1.2501382571913</v>
      </c>
      <c r="U1398">
        <v>0</v>
      </c>
      <c r="V1398">
        <v>-0.25865228135476998</v>
      </c>
      <c r="AC1398">
        <v>8.6020816999999999E-2</v>
      </c>
    </row>
    <row r="1399" spans="1:29" hidden="1" x14ac:dyDescent="0.3">
      <c r="A1399" t="s">
        <v>66</v>
      </c>
      <c r="B1399">
        <v>2047</v>
      </c>
      <c r="J1399">
        <v>1.7213828292011</v>
      </c>
      <c r="R1399">
        <v>23.394393108136999</v>
      </c>
      <c r="S1399">
        <v>1.2434792205397001</v>
      </c>
      <c r="U1399">
        <v>0</v>
      </c>
      <c r="V1399">
        <v>-0.26866448738358001</v>
      </c>
      <c r="AC1399">
        <v>3.8597912999999998E-2</v>
      </c>
    </row>
    <row r="1400" spans="1:29" hidden="1" x14ac:dyDescent="0.3">
      <c r="A1400" t="s">
        <v>66</v>
      </c>
      <c r="B1400">
        <v>2048</v>
      </c>
      <c r="J1400">
        <v>1.6637508351310999</v>
      </c>
      <c r="R1400">
        <v>23.433143697611001</v>
      </c>
      <c r="S1400">
        <v>1.234814887964</v>
      </c>
      <c r="U1400">
        <v>0</v>
      </c>
      <c r="V1400">
        <v>-0.27867669341238999</v>
      </c>
      <c r="AC1400">
        <v>0.135577474</v>
      </c>
    </row>
    <row r="1401" spans="1:29" hidden="1" x14ac:dyDescent="0.3">
      <c r="A1401" t="s">
        <v>66</v>
      </c>
      <c r="B1401">
        <v>2049</v>
      </c>
      <c r="J1401">
        <v>1.6301934814090999</v>
      </c>
      <c r="R1401">
        <v>23.492360582932001</v>
      </c>
      <c r="S1401">
        <v>1.2306939408226001</v>
      </c>
      <c r="U1401">
        <v>0</v>
      </c>
      <c r="V1401">
        <v>-0.28868889944120002</v>
      </c>
      <c r="AC1401">
        <v>1.5286302E-2</v>
      </c>
    </row>
    <row r="1402" spans="1:29" hidden="1" x14ac:dyDescent="0.3">
      <c r="A1402" t="s">
        <v>66</v>
      </c>
      <c r="B1402">
        <v>2050</v>
      </c>
      <c r="J1402">
        <v>1.5962137312767</v>
      </c>
      <c r="R1402">
        <v>23.554145609447001</v>
      </c>
      <c r="S1402">
        <v>1.2299788439893999</v>
      </c>
      <c r="U1402">
        <v>0</v>
      </c>
      <c r="V1402">
        <v>-0.29870110547001</v>
      </c>
      <c r="AC1402">
        <v>0</v>
      </c>
    </row>
    <row r="1403" spans="1:29" hidden="1" x14ac:dyDescent="0.3">
      <c r="A1403" t="s">
        <v>66</v>
      </c>
      <c r="B1403">
        <v>2051</v>
      </c>
      <c r="J1403">
        <v>1.5564989971356</v>
      </c>
      <c r="R1403">
        <v>23.640054029879</v>
      </c>
      <c r="S1403">
        <v>1.2310954393808</v>
      </c>
      <c r="U1403">
        <v>0</v>
      </c>
      <c r="V1403">
        <v>-0.30871331149881998</v>
      </c>
      <c r="AC1403">
        <v>0.19756185200000001</v>
      </c>
    </row>
    <row r="1404" spans="1:29" hidden="1" x14ac:dyDescent="0.3">
      <c r="A1404" t="s">
        <v>66</v>
      </c>
      <c r="B1404">
        <v>2052</v>
      </c>
      <c r="J1404">
        <v>1.8632840126793999</v>
      </c>
      <c r="R1404">
        <v>23.680496309132</v>
      </c>
      <c r="S1404">
        <v>1.2323706232064999</v>
      </c>
      <c r="U1404">
        <v>0</v>
      </c>
      <c r="V1404">
        <v>-0.31872551752762002</v>
      </c>
      <c r="AC1404">
        <v>0</v>
      </c>
    </row>
    <row r="1405" spans="1:29" hidden="1" x14ac:dyDescent="0.3">
      <c r="A1405" t="s">
        <v>66</v>
      </c>
      <c r="B1405">
        <v>2053</v>
      </c>
      <c r="J1405">
        <v>1.7424537883597999</v>
      </c>
      <c r="R1405">
        <v>23.58859370243</v>
      </c>
      <c r="S1405">
        <v>1.190722624767</v>
      </c>
      <c r="U1405">
        <v>0</v>
      </c>
      <c r="V1405">
        <v>-0.32873772355642999</v>
      </c>
      <c r="AC1405">
        <v>1.6742529999999999E-2</v>
      </c>
    </row>
    <row r="1406" spans="1:29" hidden="1" x14ac:dyDescent="0.3">
      <c r="A1406" t="s">
        <v>66</v>
      </c>
      <c r="B1406">
        <v>2054</v>
      </c>
      <c r="J1406">
        <v>1.6673235017551999</v>
      </c>
      <c r="R1406">
        <v>23.619371210341999</v>
      </c>
      <c r="S1406">
        <v>1.1886669324954</v>
      </c>
      <c r="U1406">
        <v>0</v>
      </c>
      <c r="V1406">
        <v>-0.33874992958523997</v>
      </c>
      <c r="AC1406">
        <v>4.1856325E-2</v>
      </c>
    </row>
    <row r="1407" spans="1:29" hidden="1" x14ac:dyDescent="0.3">
      <c r="A1407" t="s">
        <v>66</v>
      </c>
      <c r="B1407">
        <v>2055</v>
      </c>
      <c r="J1407">
        <v>1.6270079943968001</v>
      </c>
      <c r="R1407">
        <v>23.697219695744</v>
      </c>
      <c r="S1407">
        <v>1.1960290509146001</v>
      </c>
      <c r="U1407">
        <v>0</v>
      </c>
      <c r="V1407">
        <v>-0.34876213561405001</v>
      </c>
      <c r="AC1407">
        <v>0</v>
      </c>
    </row>
    <row r="1408" spans="1:29" hidden="1" x14ac:dyDescent="0.3">
      <c r="A1408" t="s">
        <v>66</v>
      </c>
      <c r="B1408">
        <v>2056</v>
      </c>
      <c r="J1408">
        <v>1.5676787859746999</v>
      </c>
      <c r="R1408">
        <v>23.802800997521</v>
      </c>
      <c r="S1408">
        <v>1.2079503640302001</v>
      </c>
      <c r="U1408">
        <v>0</v>
      </c>
      <c r="V1408">
        <v>-0.35877434164285998</v>
      </c>
      <c r="AC1408">
        <v>0</v>
      </c>
    </row>
    <row r="1409" spans="1:38" hidden="1" x14ac:dyDescent="0.3">
      <c r="A1409" t="s">
        <v>66</v>
      </c>
      <c r="B1409">
        <v>2057</v>
      </c>
      <c r="J1409">
        <v>1.501996048349</v>
      </c>
      <c r="R1409">
        <v>23.926683021791</v>
      </c>
      <c r="S1409">
        <v>1.2232898396284999</v>
      </c>
      <c r="U1409">
        <v>0</v>
      </c>
      <c r="V1409">
        <v>-0.36878654767166003</v>
      </c>
      <c r="AC1409">
        <v>0</v>
      </c>
    </row>
    <row r="1410" spans="1:38" hidden="1" x14ac:dyDescent="0.3">
      <c r="A1410" t="s">
        <v>66</v>
      </c>
      <c r="B1410">
        <v>2058</v>
      </c>
      <c r="J1410">
        <v>1.4359230397</v>
      </c>
      <c r="R1410">
        <v>24.050728588043999</v>
      </c>
      <c r="S1410">
        <v>1.2394132053182001</v>
      </c>
      <c r="U1410">
        <v>0</v>
      </c>
      <c r="V1410">
        <v>-0.37879875370047</v>
      </c>
      <c r="AC1410">
        <v>0.275414616</v>
      </c>
    </row>
    <row r="1411" spans="1:38" hidden="1" x14ac:dyDescent="0.3">
      <c r="A1411" t="s">
        <v>66</v>
      </c>
      <c r="B1411">
        <v>2059</v>
      </c>
      <c r="J1411">
        <v>1.4118419934258</v>
      </c>
      <c r="R1411">
        <v>24.167721901267999</v>
      </c>
      <c r="S1411">
        <v>1.2550864564412001</v>
      </c>
      <c r="U1411">
        <v>0</v>
      </c>
      <c r="V1411">
        <v>-0.38881095972927998</v>
      </c>
      <c r="AC1411">
        <v>0</v>
      </c>
    </row>
    <row r="1412" spans="1:38" hidden="1" x14ac:dyDescent="0.3">
      <c r="A1412" t="s">
        <v>66</v>
      </c>
      <c r="B1412">
        <v>2060</v>
      </c>
      <c r="J1412">
        <v>1.3961741803965</v>
      </c>
      <c r="R1412">
        <v>24.277492354212999</v>
      </c>
      <c r="S1412">
        <v>1.2693864468888001</v>
      </c>
      <c r="U1412">
        <v>0</v>
      </c>
      <c r="V1412">
        <v>-0.39882316575809001</v>
      </c>
      <c r="AC1412">
        <v>0</v>
      </c>
    </row>
    <row r="1413" spans="1:38" hidden="1" x14ac:dyDescent="0.3">
      <c r="A1413" t="s">
        <v>66</v>
      </c>
      <c r="B1413">
        <v>2061</v>
      </c>
      <c r="J1413">
        <v>1.3819727007635001</v>
      </c>
      <c r="R1413">
        <v>24.376233493040999</v>
      </c>
      <c r="S1413">
        <v>1.2795684141293999</v>
      </c>
      <c r="U1413">
        <v>0</v>
      </c>
      <c r="V1413">
        <v>-0.40883537178689999</v>
      </c>
      <c r="AC1413">
        <v>0</v>
      </c>
    </row>
    <row r="1414" spans="1:38" hidden="1" x14ac:dyDescent="0.3">
      <c r="A1414" t="s">
        <v>66</v>
      </c>
      <c r="B1414">
        <v>2062</v>
      </c>
      <c r="J1414">
        <v>1.3904489930687001</v>
      </c>
      <c r="R1414">
        <v>24.440887419351998</v>
      </c>
      <c r="S1414">
        <v>1.2851907342505</v>
      </c>
      <c r="U1414">
        <v>0</v>
      </c>
      <c r="V1414">
        <v>-0.41884757781571003</v>
      </c>
      <c r="AC1414">
        <v>0</v>
      </c>
    </row>
    <row r="1415" spans="1:38" hidden="1" x14ac:dyDescent="0.3">
      <c r="A1415" t="s">
        <v>66</v>
      </c>
      <c r="B1415">
        <v>2063</v>
      </c>
      <c r="J1415">
        <v>1.4008279275702999</v>
      </c>
      <c r="R1415">
        <v>24.491661186839</v>
      </c>
      <c r="S1415">
        <v>1.2876431111002</v>
      </c>
      <c r="U1415">
        <v>0</v>
      </c>
      <c r="V1415">
        <v>-0.42885978384451001</v>
      </c>
      <c r="AC1415">
        <v>0</v>
      </c>
    </row>
    <row r="1416" spans="1:38" hidden="1" x14ac:dyDescent="0.3">
      <c r="A1416" t="s">
        <v>66</v>
      </c>
      <c r="B1416">
        <v>2064</v>
      </c>
      <c r="J1416">
        <v>1.4092463131163999</v>
      </c>
      <c r="R1416">
        <v>24.524144898925002</v>
      </c>
      <c r="S1416">
        <v>1.2878909887518999</v>
      </c>
      <c r="U1416">
        <v>0</v>
      </c>
      <c r="V1416">
        <v>-0.43887198987331999</v>
      </c>
      <c r="AC1416">
        <v>0</v>
      </c>
    </row>
    <row r="1417" spans="1:38" hidden="1" x14ac:dyDescent="0.3">
      <c r="A1417" t="s">
        <v>66</v>
      </c>
      <c r="B1417">
        <v>2065</v>
      </c>
      <c r="J1417">
        <v>1.4134520644266999</v>
      </c>
      <c r="R1417">
        <v>24.554960093430999</v>
      </c>
      <c r="S1417">
        <v>1.2868305376443001</v>
      </c>
      <c r="U1417">
        <v>0</v>
      </c>
      <c r="V1417">
        <v>-0.44888419590213002</v>
      </c>
      <c r="AC1417">
        <v>0</v>
      </c>
    </row>
    <row r="1418" spans="1:38" hidden="1" x14ac:dyDescent="0.3">
      <c r="A1418" t="s">
        <v>66</v>
      </c>
      <c r="B1418">
        <v>2066</v>
      </c>
      <c r="J1418">
        <v>1.4174823448828</v>
      </c>
      <c r="R1418">
        <v>24.582030129810001</v>
      </c>
      <c r="S1418">
        <v>1.2858232692875999</v>
      </c>
      <c r="U1418">
        <v>0</v>
      </c>
      <c r="V1418">
        <v>-0.45889640193094</v>
      </c>
      <c r="AC1418">
        <v>0</v>
      </c>
    </row>
    <row r="1419" spans="1:38" hidden="1" x14ac:dyDescent="0.3">
      <c r="A1419" t="s">
        <v>66</v>
      </c>
      <c r="B1419">
        <v>2067</v>
      </c>
      <c r="J1419">
        <v>1.4194398187602999</v>
      </c>
      <c r="R1419">
        <v>24.617043711055999</v>
      </c>
      <c r="S1419">
        <v>1.2852729171277</v>
      </c>
      <c r="U1419">
        <v>0</v>
      </c>
      <c r="V1419">
        <v>-0.46890860795974998</v>
      </c>
      <c r="AC1419">
        <v>0</v>
      </c>
    </row>
    <row r="1420" spans="1:38" hidden="1" x14ac:dyDescent="0.3">
      <c r="A1420" t="s">
        <v>66</v>
      </c>
      <c r="B1420">
        <v>2068</v>
      </c>
      <c r="J1420">
        <v>1.405236218425</v>
      </c>
      <c r="R1420">
        <v>24.658162754616999</v>
      </c>
      <c r="S1420">
        <v>1.2864092726273999</v>
      </c>
      <c r="U1420">
        <v>0</v>
      </c>
      <c r="V1420">
        <v>-0.47892081398856001</v>
      </c>
      <c r="AC1420">
        <v>0</v>
      </c>
    </row>
    <row r="1421" spans="1:38" hidden="1" x14ac:dyDescent="0.3">
      <c r="A1421" t="s">
        <v>66</v>
      </c>
      <c r="B1421">
        <v>2069</v>
      </c>
      <c r="J1421">
        <v>1.6391971401169001</v>
      </c>
      <c r="R1421">
        <v>24.476781973478001</v>
      </c>
      <c r="S1421">
        <v>1.2502412526460001</v>
      </c>
      <c r="U1421">
        <v>0</v>
      </c>
      <c r="V1421">
        <v>-0.48893302001736</v>
      </c>
      <c r="AC1421">
        <v>0</v>
      </c>
    </row>
    <row r="1422" spans="1:38" hidden="1" x14ac:dyDescent="0.3">
      <c r="A1422" t="s">
        <v>66</v>
      </c>
      <c r="B1422">
        <v>2070</v>
      </c>
      <c r="J1422">
        <v>1.545259805907</v>
      </c>
      <c r="R1422">
        <v>24.479336929584999</v>
      </c>
      <c r="S1422">
        <v>1.2462261641078001</v>
      </c>
      <c r="U1422">
        <v>0</v>
      </c>
      <c r="V1422">
        <v>-0.49894522604616998</v>
      </c>
      <c r="AC1422">
        <v>0</v>
      </c>
    </row>
    <row r="1423" spans="1:38" hidden="1" x14ac:dyDescent="0.3">
      <c r="A1423" t="s">
        <v>66</v>
      </c>
      <c r="B1423">
        <v>2071</v>
      </c>
      <c r="V1423">
        <v>-0.50895743207498001</v>
      </c>
    </row>
    <row r="1424" spans="1:38" hidden="1" x14ac:dyDescent="0.3">
      <c r="A1424" t="s">
        <v>67</v>
      </c>
      <c r="B1424">
        <v>0</v>
      </c>
      <c r="AD1424">
        <v>0.16661425166513</v>
      </c>
      <c r="AE1424">
        <v>0.15116709872754</v>
      </c>
      <c r="AF1424">
        <v>0.15116709872754</v>
      </c>
      <c r="AG1424">
        <v>0.99998200692276995</v>
      </c>
      <c r="AH1424">
        <v>0</v>
      </c>
      <c r="AI1424">
        <v>4.3079299999999998</v>
      </c>
      <c r="AJ1424">
        <v>5.1858221052631999</v>
      </c>
      <c r="AK1424">
        <v>2.4155368421053001</v>
      </c>
      <c r="AL1424">
        <v>0.5</v>
      </c>
    </row>
    <row r="1425" spans="1:29" hidden="1" x14ac:dyDescent="0.3">
      <c r="A1425" t="s">
        <v>67</v>
      </c>
      <c r="B1425">
        <v>2024</v>
      </c>
      <c r="C1425">
        <v>36218.6</v>
      </c>
      <c r="D1425">
        <v>124.1005</v>
      </c>
      <c r="E1425">
        <v>29184.89</v>
      </c>
      <c r="F1425">
        <v>5.2818993452909</v>
      </c>
      <c r="G1425">
        <v>24554.376269763001</v>
      </c>
      <c r="H1425">
        <v>2.7961903562142001</v>
      </c>
      <c r="I1425">
        <v>24344.671356504001</v>
      </c>
      <c r="J1425">
        <v>2.5414304130973999</v>
      </c>
      <c r="K1425">
        <v>2.4180981608363998</v>
      </c>
      <c r="L1425">
        <v>2.9323319626384001</v>
      </c>
      <c r="M1425">
        <v>-2.9218666999999998</v>
      </c>
      <c r="N1425">
        <v>-3.9347801509706</v>
      </c>
      <c r="O1425">
        <v>-7.5284561999999999</v>
      </c>
      <c r="P1425">
        <v>19.899999999999999</v>
      </c>
      <c r="Q1425">
        <v>34.591550900000001</v>
      </c>
      <c r="R1425">
        <v>8.7149999999999999</v>
      </c>
      <c r="U1425">
        <v>0</v>
      </c>
      <c r="W1425">
        <v>3.9540264999999999</v>
      </c>
      <c r="X1425">
        <v>5.1788473836105</v>
      </c>
      <c r="Y1425">
        <v>4.2072033397888999</v>
      </c>
      <c r="Z1425">
        <v>0.92388954590421002</v>
      </c>
      <c r="AA1425">
        <v>1</v>
      </c>
    </row>
    <row r="1426" spans="1:29" hidden="1" x14ac:dyDescent="0.3">
      <c r="A1426" t="s">
        <v>67</v>
      </c>
      <c r="B1426">
        <v>2025</v>
      </c>
      <c r="C1426">
        <v>38169.800000000003</v>
      </c>
      <c r="D1426">
        <v>125.372</v>
      </c>
      <c r="E1426">
        <v>30445.24</v>
      </c>
      <c r="F1426">
        <v>4.3185018000752997</v>
      </c>
      <c r="G1426">
        <v>24942.317361394002</v>
      </c>
      <c r="H1426">
        <v>1.5799264757078</v>
      </c>
      <c r="I1426">
        <v>24927.006449286</v>
      </c>
      <c r="J1426">
        <v>2.3920433521347002</v>
      </c>
      <c r="K1426">
        <v>2.6959666747909998</v>
      </c>
      <c r="L1426">
        <v>2.4767093808285998</v>
      </c>
      <c r="M1426">
        <v>-1.8763103000000001</v>
      </c>
      <c r="N1426">
        <v>-2.8085600965859001</v>
      </c>
      <c r="O1426">
        <v>-6.7044617000000004</v>
      </c>
      <c r="P1426">
        <v>-90</v>
      </c>
      <c r="Q1426">
        <v>34.8063103</v>
      </c>
      <c r="R1426">
        <v>8.5980000000000008</v>
      </c>
      <c r="U1426">
        <v>0</v>
      </c>
      <c r="W1426">
        <v>4.0585275999999997</v>
      </c>
      <c r="X1426">
        <v>4.3525810359230999</v>
      </c>
      <c r="Y1426">
        <v>4.4078222639932996</v>
      </c>
      <c r="Z1426">
        <v>0.89805339607265999</v>
      </c>
      <c r="AA1426">
        <v>1</v>
      </c>
      <c r="AC1426">
        <v>3617.871810183</v>
      </c>
    </row>
    <row r="1427" spans="1:29" hidden="1" x14ac:dyDescent="0.3">
      <c r="A1427" t="s">
        <v>67</v>
      </c>
      <c r="B1427">
        <v>2026</v>
      </c>
      <c r="C1427">
        <v>39927.9</v>
      </c>
      <c r="D1427">
        <v>126.3313</v>
      </c>
      <c r="E1427">
        <v>31605.72</v>
      </c>
      <c r="F1427">
        <v>3.8116960155348001</v>
      </c>
      <c r="G1427">
        <v>25348.255209878</v>
      </c>
      <c r="H1427">
        <v>1.6275065488177001</v>
      </c>
      <c r="I1427">
        <v>25495.941960934</v>
      </c>
      <c r="J1427">
        <v>2.2824060835589002</v>
      </c>
      <c r="K1427">
        <v>2.1492116778470001</v>
      </c>
      <c r="L1427">
        <v>2.0119566334671002</v>
      </c>
      <c r="M1427">
        <v>-0.91798519999999995</v>
      </c>
      <c r="N1427">
        <v>-1.4804366095471</v>
      </c>
      <c r="O1427">
        <v>-5.8461366000000003</v>
      </c>
      <c r="P1427">
        <v>-89.6</v>
      </c>
      <c r="Q1427">
        <v>34.6179852</v>
      </c>
      <c r="R1427">
        <v>8.5399999999999991</v>
      </c>
      <c r="U1427">
        <v>0</v>
      </c>
      <c r="W1427">
        <v>4.0806535000000004</v>
      </c>
      <c r="Z1427">
        <v>0.88130574258822003</v>
      </c>
      <c r="AA1427">
        <v>1</v>
      </c>
      <c r="AC1427">
        <v>3586.2843253619999</v>
      </c>
    </row>
    <row r="1428" spans="1:29" hidden="1" x14ac:dyDescent="0.3">
      <c r="A1428" t="s">
        <v>67</v>
      </c>
      <c r="B1428">
        <v>2027</v>
      </c>
      <c r="G1428">
        <v>25869.585088317999</v>
      </c>
      <c r="H1428">
        <v>2.0566696765655998</v>
      </c>
      <c r="I1428">
        <v>25969.873105135001</v>
      </c>
      <c r="J1428">
        <v>1.8588493216991</v>
      </c>
      <c r="R1428">
        <v>8.5449999999999999</v>
      </c>
      <c r="U1428">
        <v>0</v>
      </c>
      <c r="AC1428">
        <v>2634.2906143969999</v>
      </c>
    </row>
    <row r="1429" spans="1:29" hidden="1" x14ac:dyDescent="0.3">
      <c r="A1429" t="s">
        <v>67</v>
      </c>
      <c r="B1429">
        <v>2028</v>
      </c>
      <c r="G1429">
        <v>26378.555208353999</v>
      </c>
      <c r="H1429">
        <v>1.9674460115932</v>
      </c>
      <c r="I1429">
        <v>26429.586856456001</v>
      </c>
      <c r="J1429">
        <v>1.7701809687706</v>
      </c>
      <c r="R1429">
        <v>8.4740000000000002</v>
      </c>
      <c r="U1429">
        <v>0</v>
      </c>
      <c r="AC1429">
        <v>2147.0753680439998</v>
      </c>
    </row>
    <row r="1430" spans="1:29" hidden="1" x14ac:dyDescent="0.3">
      <c r="A1430" t="s">
        <v>67</v>
      </c>
      <c r="B1430">
        <v>2029</v>
      </c>
      <c r="G1430">
        <v>26883.236031986999</v>
      </c>
      <c r="H1430">
        <v>1.9132239034578999</v>
      </c>
      <c r="I1430">
        <v>26883.236031986999</v>
      </c>
      <c r="J1430">
        <v>1.7164444453651</v>
      </c>
      <c r="R1430">
        <v>8.6940000000000008</v>
      </c>
      <c r="U1430">
        <v>0</v>
      </c>
      <c r="AC1430">
        <v>1960.163343944</v>
      </c>
    </row>
    <row r="1431" spans="1:29" hidden="1" x14ac:dyDescent="0.3">
      <c r="A1431" t="s">
        <v>67</v>
      </c>
      <c r="B1431">
        <v>2030</v>
      </c>
      <c r="J1431">
        <v>1.8277222226825001</v>
      </c>
      <c r="R1431">
        <v>8.7309999999999999</v>
      </c>
      <c r="U1431">
        <v>0</v>
      </c>
      <c r="AC1431">
        <v>1173.6947055319999</v>
      </c>
    </row>
    <row r="1432" spans="1:29" hidden="1" x14ac:dyDescent="0.3">
      <c r="A1432" t="s">
        <v>67</v>
      </c>
      <c r="B1432">
        <v>2031</v>
      </c>
      <c r="J1432">
        <v>1.9390000000000001</v>
      </c>
      <c r="R1432">
        <v>8.798</v>
      </c>
      <c r="U1432">
        <v>0</v>
      </c>
      <c r="AC1432">
        <v>1220.0772572440001</v>
      </c>
    </row>
    <row r="1433" spans="1:29" hidden="1" x14ac:dyDescent="0.3">
      <c r="A1433" t="s">
        <v>67</v>
      </c>
      <c r="B1433">
        <v>2032</v>
      </c>
      <c r="J1433">
        <v>1.883</v>
      </c>
      <c r="R1433">
        <v>8.9019999999999992</v>
      </c>
      <c r="U1433">
        <v>0</v>
      </c>
      <c r="AC1433">
        <v>706.21000872800005</v>
      </c>
    </row>
    <row r="1434" spans="1:29" hidden="1" x14ac:dyDescent="0.3">
      <c r="A1434" t="s">
        <v>67</v>
      </c>
      <c r="B1434">
        <v>2033</v>
      </c>
      <c r="J1434">
        <v>1.829</v>
      </c>
      <c r="R1434">
        <v>9.0540000000000003</v>
      </c>
      <c r="U1434">
        <v>0</v>
      </c>
      <c r="AC1434">
        <v>558.27170427700003</v>
      </c>
    </row>
    <row r="1435" spans="1:29" hidden="1" x14ac:dyDescent="0.3">
      <c r="A1435" t="s">
        <v>67</v>
      </c>
      <c r="B1435">
        <v>2034</v>
      </c>
      <c r="J1435">
        <v>1.7969999999999999</v>
      </c>
      <c r="R1435">
        <v>9.1850000000000005</v>
      </c>
      <c r="U1435">
        <v>0</v>
      </c>
      <c r="AC1435">
        <v>630.57375143499996</v>
      </c>
    </row>
    <row r="1436" spans="1:29" hidden="1" x14ac:dyDescent="0.3">
      <c r="A1436" t="s">
        <v>67</v>
      </c>
      <c r="B1436">
        <v>2035</v>
      </c>
      <c r="J1436">
        <v>1.76</v>
      </c>
      <c r="R1436">
        <v>9.2899999999999991</v>
      </c>
      <c r="U1436">
        <v>0</v>
      </c>
      <c r="AC1436">
        <v>114.912300071</v>
      </c>
    </row>
    <row r="1437" spans="1:29" hidden="1" x14ac:dyDescent="0.3">
      <c r="A1437" t="s">
        <v>67</v>
      </c>
      <c r="B1437">
        <v>2036</v>
      </c>
      <c r="J1437">
        <v>1.724</v>
      </c>
      <c r="R1437">
        <v>9.3930000000000007</v>
      </c>
      <c r="U1437">
        <v>0</v>
      </c>
      <c r="AC1437">
        <v>29.782674499999999</v>
      </c>
    </row>
    <row r="1438" spans="1:29" hidden="1" x14ac:dyDescent="0.3">
      <c r="A1438" t="s">
        <v>67</v>
      </c>
      <c r="B1438">
        <v>2037</v>
      </c>
      <c r="J1438">
        <v>1.6890000000000001</v>
      </c>
      <c r="R1438">
        <v>9.5020000000000007</v>
      </c>
      <c r="U1438">
        <v>0</v>
      </c>
      <c r="AC1438">
        <v>38.612961300000002</v>
      </c>
    </row>
    <row r="1439" spans="1:29" hidden="1" x14ac:dyDescent="0.3">
      <c r="A1439" t="s">
        <v>67</v>
      </c>
      <c r="B1439">
        <v>2038</v>
      </c>
      <c r="J1439">
        <v>1.66</v>
      </c>
      <c r="R1439">
        <v>9.6010000000000009</v>
      </c>
      <c r="U1439">
        <v>0</v>
      </c>
      <c r="AC1439">
        <v>50.640002490000001</v>
      </c>
    </row>
    <row r="1440" spans="1:29" hidden="1" x14ac:dyDescent="0.3">
      <c r="A1440" t="s">
        <v>67</v>
      </c>
      <c r="B1440">
        <v>2039</v>
      </c>
      <c r="J1440">
        <v>1.6279999999999999</v>
      </c>
      <c r="R1440">
        <v>9.6880000000000006</v>
      </c>
      <c r="U1440">
        <v>0</v>
      </c>
      <c r="AC1440">
        <v>156.49035620000001</v>
      </c>
    </row>
    <row r="1441" spans="1:29" hidden="1" x14ac:dyDescent="0.3">
      <c r="A1441" t="s">
        <v>67</v>
      </c>
      <c r="B1441">
        <v>2040</v>
      </c>
      <c r="J1441">
        <v>1.6020000000000001</v>
      </c>
      <c r="R1441">
        <v>9.7720000000000002</v>
      </c>
      <c r="U1441">
        <v>0</v>
      </c>
      <c r="AC1441">
        <v>418.17516992899999</v>
      </c>
    </row>
    <row r="1442" spans="1:29" hidden="1" x14ac:dyDescent="0.3">
      <c r="A1442" t="s">
        <v>67</v>
      </c>
      <c r="B1442">
        <v>2041</v>
      </c>
      <c r="J1442">
        <v>1.569</v>
      </c>
      <c r="R1442">
        <v>9.8469999999999995</v>
      </c>
      <c r="U1442">
        <v>0</v>
      </c>
      <c r="AC1442">
        <v>520.33621559999995</v>
      </c>
    </row>
    <row r="1443" spans="1:29" hidden="1" x14ac:dyDescent="0.3">
      <c r="A1443" t="s">
        <v>67</v>
      </c>
      <c r="B1443">
        <v>2042</v>
      </c>
      <c r="J1443">
        <v>1.54</v>
      </c>
      <c r="R1443">
        <v>9.9169999999999998</v>
      </c>
      <c r="U1443">
        <v>0</v>
      </c>
      <c r="AC1443">
        <v>394.37806239999998</v>
      </c>
    </row>
    <row r="1444" spans="1:29" hidden="1" x14ac:dyDescent="0.3">
      <c r="A1444" t="s">
        <v>67</v>
      </c>
      <c r="B1444">
        <v>2043</v>
      </c>
      <c r="J1444">
        <v>1.5169999999999999</v>
      </c>
      <c r="R1444">
        <v>9.9770000000000003</v>
      </c>
      <c r="U1444">
        <v>0</v>
      </c>
      <c r="AC1444">
        <v>377.11039360000001</v>
      </c>
    </row>
    <row r="1445" spans="1:29" hidden="1" x14ac:dyDescent="0.3">
      <c r="A1445" t="s">
        <v>67</v>
      </c>
      <c r="B1445">
        <v>2044</v>
      </c>
      <c r="J1445">
        <v>1.498</v>
      </c>
      <c r="R1445">
        <v>10.032</v>
      </c>
      <c r="U1445">
        <v>0</v>
      </c>
      <c r="AC1445">
        <v>381.49059460000001</v>
      </c>
    </row>
    <row r="1446" spans="1:29" hidden="1" x14ac:dyDescent="0.3">
      <c r="A1446" t="s">
        <v>67</v>
      </c>
      <c r="B1446">
        <v>2045</v>
      </c>
      <c r="J1446">
        <v>1.48</v>
      </c>
      <c r="R1446">
        <v>10.076000000000001</v>
      </c>
      <c r="U1446">
        <v>0</v>
      </c>
      <c r="AC1446">
        <v>220.52182859999999</v>
      </c>
    </row>
    <row r="1447" spans="1:29" hidden="1" x14ac:dyDescent="0.3">
      <c r="A1447" t="s">
        <v>67</v>
      </c>
      <c r="B1447">
        <v>2046</v>
      </c>
      <c r="J1447">
        <v>1.4630000000000001</v>
      </c>
      <c r="R1447">
        <v>10.122999999999999</v>
      </c>
      <c r="U1447">
        <v>0</v>
      </c>
      <c r="AC1447">
        <v>202.0261193</v>
      </c>
    </row>
    <row r="1448" spans="1:29" hidden="1" x14ac:dyDescent="0.3">
      <c r="A1448" t="s">
        <v>67</v>
      </c>
      <c r="B1448">
        <v>2047</v>
      </c>
      <c r="J1448">
        <v>1.446</v>
      </c>
      <c r="R1448">
        <v>10.166</v>
      </c>
      <c r="U1448">
        <v>0</v>
      </c>
      <c r="AC1448">
        <v>216.82094839999999</v>
      </c>
    </row>
    <row r="1449" spans="1:29" hidden="1" x14ac:dyDescent="0.3">
      <c r="A1449" t="s">
        <v>67</v>
      </c>
      <c r="B1449">
        <v>2048</v>
      </c>
      <c r="J1449">
        <v>1.429</v>
      </c>
      <c r="R1449">
        <v>10.199</v>
      </c>
      <c r="U1449">
        <v>0</v>
      </c>
      <c r="AC1449">
        <v>255.98927839999999</v>
      </c>
    </row>
    <row r="1450" spans="1:29" hidden="1" x14ac:dyDescent="0.3">
      <c r="A1450" t="s">
        <v>67</v>
      </c>
      <c r="B1450">
        <v>2049</v>
      </c>
      <c r="J1450">
        <v>1.4139999999999999</v>
      </c>
      <c r="R1450">
        <v>10.225</v>
      </c>
      <c r="U1450">
        <v>0</v>
      </c>
      <c r="AC1450">
        <v>298.18819480000002</v>
      </c>
    </row>
    <row r="1451" spans="1:29" hidden="1" x14ac:dyDescent="0.3">
      <c r="A1451" t="s">
        <v>67</v>
      </c>
      <c r="B1451">
        <v>2050</v>
      </c>
      <c r="J1451">
        <v>1.3919999999999999</v>
      </c>
      <c r="R1451">
        <v>10.250999999999999</v>
      </c>
      <c r="U1451">
        <v>0</v>
      </c>
      <c r="AC1451">
        <v>382.04439139999999</v>
      </c>
    </row>
    <row r="1452" spans="1:29" hidden="1" x14ac:dyDescent="0.3">
      <c r="A1452" t="s">
        <v>67</v>
      </c>
      <c r="B1452">
        <v>2051</v>
      </c>
      <c r="J1452">
        <v>1.379</v>
      </c>
      <c r="R1452">
        <v>10.273999999999999</v>
      </c>
      <c r="U1452">
        <v>0</v>
      </c>
      <c r="AC1452">
        <v>462.02623089999997</v>
      </c>
    </row>
    <row r="1453" spans="1:29" hidden="1" x14ac:dyDescent="0.3">
      <c r="A1453" t="s">
        <v>67</v>
      </c>
      <c r="B1453">
        <v>2052</v>
      </c>
      <c r="J1453">
        <v>1.371</v>
      </c>
      <c r="R1453">
        <v>10.284000000000001</v>
      </c>
      <c r="U1453">
        <v>0</v>
      </c>
      <c r="AC1453">
        <v>378.80445780000002</v>
      </c>
    </row>
    <row r="1454" spans="1:29" hidden="1" x14ac:dyDescent="0.3">
      <c r="A1454" t="s">
        <v>67</v>
      </c>
      <c r="B1454">
        <v>2053</v>
      </c>
      <c r="J1454">
        <v>1.3640000000000001</v>
      </c>
      <c r="R1454">
        <v>10.287000000000001</v>
      </c>
      <c r="U1454">
        <v>0</v>
      </c>
      <c r="AC1454">
        <v>351.91130950000002</v>
      </c>
    </row>
    <row r="1455" spans="1:29" hidden="1" x14ac:dyDescent="0.3">
      <c r="A1455" t="s">
        <v>67</v>
      </c>
      <c r="B1455">
        <v>2054</v>
      </c>
      <c r="J1455">
        <v>1.359</v>
      </c>
      <c r="R1455">
        <v>10.292</v>
      </c>
      <c r="U1455">
        <v>0</v>
      </c>
      <c r="AC1455">
        <v>379.45649989999998</v>
      </c>
    </row>
    <row r="1456" spans="1:29" hidden="1" x14ac:dyDescent="0.3">
      <c r="A1456" t="s">
        <v>67</v>
      </c>
      <c r="B1456">
        <v>2055</v>
      </c>
      <c r="J1456">
        <v>1.3560000000000001</v>
      </c>
      <c r="R1456">
        <v>10.292</v>
      </c>
      <c r="U1456">
        <v>0</v>
      </c>
      <c r="AC1456">
        <v>65.700563500000001</v>
      </c>
    </row>
    <row r="1457" spans="1:29" hidden="1" x14ac:dyDescent="0.3">
      <c r="A1457" t="s">
        <v>67</v>
      </c>
      <c r="B1457">
        <v>2056</v>
      </c>
      <c r="J1457">
        <v>1.3560000000000001</v>
      </c>
      <c r="R1457">
        <v>10.292</v>
      </c>
      <c r="U1457">
        <v>0</v>
      </c>
      <c r="AC1457">
        <v>1</v>
      </c>
    </row>
    <row r="1458" spans="1:29" hidden="1" x14ac:dyDescent="0.3">
      <c r="A1458" t="s">
        <v>67</v>
      </c>
      <c r="B1458">
        <v>2057</v>
      </c>
      <c r="J1458">
        <v>1.3560000000000001</v>
      </c>
      <c r="R1458">
        <v>10.292</v>
      </c>
      <c r="U1458">
        <v>0</v>
      </c>
      <c r="AC1458">
        <v>0</v>
      </c>
    </row>
    <row r="1459" spans="1:29" hidden="1" x14ac:dyDescent="0.3">
      <c r="A1459" t="s">
        <v>67</v>
      </c>
      <c r="B1459">
        <v>2058</v>
      </c>
      <c r="J1459">
        <v>1.3560000000000001</v>
      </c>
      <c r="R1459">
        <v>10.292</v>
      </c>
      <c r="U1459">
        <v>0</v>
      </c>
      <c r="AC1459">
        <v>0</v>
      </c>
    </row>
    <row r="1460" spans="1:29" hidden="1" x14ac:dyDescent="0.3">
      <c r="A1460" t="s">
        <v>67</v>
      </c>
      <c r="B1460">
        <v>2059</v>
      </c>
      <c r="J1460">
        <v>1.3560000000000001</v>
      </c>
      <c r="R1460">
        <v>10.292</v>
      </c>
      <c r="U1460">
        <v>0</v>
      </c>
      <c r="AC1460">
        <v>0</v>
      </c>
    </row>
    <row r="1461" spans="1:29" hidden="1" x14ac:dyDescent="0.3">
      <c r="A1461" t="s">
        <v>67</v>
      </c>
      <c r="B1461">
        <v>2060</v>
      </c>
      <c r="J1461">
        <v>1.3560000000000001</v>
      </c>
      <c r="R1461">
        <v>10.292</v>
      </c>
      <c r="U1461">
        <v>0</v>
      </c>
      <c r="AC1461">
        <v>1</v>
      </c>
    </row>
    <row r="1462" spans="1:29" hidden="1" x14ac:dyDescent="0.3">
      <c r="A1462" t="s">
        <v>67</v>
      </c>
      <c r="B1462">
        <v>2061</v>
      </c>
      <c r="J1462">
        <v>1.3560000000000001</v>
      </c>
      <c r="R1462">
        <v>10.292</v>
      </c>
      <c r="U1462">
        <v>0</v>
      </c>
      <c r="AC1462">
        <v>0</v>
      </c>
    </row>
    <row r="1463" spans="1:29" hidden="1" x14ac:dyDescent="0.3">
      <c r="A1463" t="s">
        <v>67</v>
      </c>
      <c r="B1463">
        <v>2062</v>
      </c>
      <c r="J1463">
        <v>1.3560000000000001</v>
      </c>
      <c r="R1463">
        <v>10.292</v>
      </c>
      <c r="U1463">
        <v>0</v>
      </c>
      <c r="AC1463">
        <v>0</v>
      </c>
    </row>
    <row r="1464" spans="1:29" hidden="1" x14ac:dyDescent="0.3">
      <c r="A1464" t="s">
        <v>67</v>
      </c>
      <c r="B1464">
        <v>2063</v>
      </c>
      <c r="J1464">
        <v>1.3560000000000001</v>
      </c>
      <c r="R1464">
        <v>10.292</v>
      </c>
      <c r="U1464">
        <v>0</v>
      </c>
      <c r="AC1464">
        <v>0</v>
      </c>
    </row>
    <row r="1465" spans="1:29" hidden="1" x14ac:dyDescent="0.3">
      <c r="A1465" t="s">
        <v>67</v>
      </c>
      <c r="B1465">
        <v>2064</v>
      </c>
      <c r="J1465">
        <v>1.3560000000000001</v>
      </c>
      <c r="R1465">
        <v>10.292</v>
      </c>
      <c r="U1465">
        <v>0</v>
      </c>
      <c r="AC1465">
        <v>0</v>
      </c>
    </row>
    <row r="1466" spans="1:29" hidden="1" x14ac:dyDescent="0.3">
      <c r="A1466" t="s">
        <v>67</v>
      </c>
      <c r="B1466">
        <v>2065</v>
      </c>
      <c r="J1466">
        <v>1.3560000000000001</v>
      </c>
      <c r="R1466">
        <v>10.292</v>
      </c>
      <c r="U1466">
        <v>0</v>
      </c>
      <c r="AC1466">
        <v>1</v>
      </c>
    </row>
    <row r="1467" spans="1:29" hidden="1" x14ac:dyDescent="0.3">
      <c r="A1467" t="s">
        <v>67</v>
      </c>
      <c r="B1467">
        <v>2066</v>
      </c>
      <c r="J1467">
        <v>1.3560000000000001</v>
      </c>
      <c r="R1467">
        <v>10.292</v>
      </c>
      <c r="U1467">
        <v>0</v>
      </c>
      <c r="AC1467">
        <v>0</v>
      </c>
    </row>
    <row r="1468" spans="1:29" hidden="1" x14ac:dyDescent="0.3">
      <c r="A1468" t="s">
        <v>67</v>
      </c>
      <c r="B1468">
        <v>2067</v>
      </c>
      <c r="J1468">
        <v>1.3560000000000001</v>
      </c>
      <c r="R1468">
        <v>10.292</v>
      </c>
      <c r="U1468">
        <v>0</v>
      </c>
      <c r="AC1468">
        <v>0</v>
      </c>
    </row>
    <row r="1469" spans="1:29" hidden="1" x14ac:dyDescent="0.3">
      <c r="A1469" t="s">
        <v>67</v>
      </c>
      <c r="B1469">
        <v>2068</v>
      </c>
      <c r="J1469">
        <v>1.3560000000000001</v>
      </c>
      <c r="R1469">
        <v>10.292</v>
      </c>
      <c r="U1469">
        <v>0</v>
      </c>
      <c r="AC1469">
        <v>0</v>
      </c>
    </row>
    <row r="1470" spans="1:29" hidden="1" x14ac:dyDescent="0.3">
      <c r="A1470" t="s">
        <v>67</v>
      </c>
      <c r="B1470">
        <v>2069</v>
      </c>
      <c r="J1470">
        <v>1.3560000000000001</v>
      </c>
      <c r="R1470">
        <v>10.292</v>
      </c>
      <c r="U1470">
        <v>0</v>
      </c>
      <c r="AC1470">
        <v>0</v>
      </c>
    </row>
    <row r="1471" spans="1:29" hidden="1" x14ac:dyDescent="0.3">
      <c r="A1471" t="s">
        <v>67</v>
      </c>
      <c r="B1471">
        <v>2070</v>
      </c>
      <c r="J1471">
        <v>1.3560000000000001</v>
      </c>
      <c r="R1471">
        <v>10.292</v>
      </c>
      <c r="U1471">
        <v>0</v>
      </c>
      <c r="AC1471">
        <v>0</v>
      </c>
    </row>
  </sheetData>
  <sheetProtection formatCells="0" formatColumns="0" formatRows="0" insertColumns="0" insertRows="0" insertHyperlinks="0" deleteColumns="0" deleteRows="0" sort="0" autoFilter="0" pivotTables="0"/>
  <autoFilter ref="A1:AL1471" xr:uid="{00000000-0001-0000-0000-000000000000}">
    <filterColumn colId="0">
      <filters>
        <filter val="AUT"/>
        <filter val="DEU"/>
        <filter val="FIN"/>
        <filter val="FRA"/>
        <filter val="ITA"/>
        <filter val="NL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C560-EEAF-41E7-B170-24FAE8C3D94F}">
  <dimension ref="A1:Q50"/>
  <sheetViews>
    <sheetView workbookViewId="0">
      <selection activeCell="K3" sqref="K3"/>
    </sheetView>
  </sheetViews>
  <sheetFormatPr defaultRowHeight="14.4" x14ac:dyDescent="0.3"/>
  <cols>
    <col min="2" max="2" width="15.88671875" bestFit="1" customWidth="1"/>
    <col min="6" max="6" width="12.6640625" bestFit="1" customWidth="1"/>
  </cols>
  <sheetData>
    <row r="1" spans="1:17" x14ac:dyDescent="0.3">
      <c r="A1" t="s">
        <v>1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t="s">
        <v>26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t="s">
        <v>37</v>
      </c>
    </row>
    <row r="2" spans="1:17" x14ac:dyDescent="0.3">
      <c r="A2">
        <v>0</v>
      </c>
    </row>
    <row r="3" spans="1:17" x14ac:dyDescent="0.3">
      <c r="A3">
        <v>2024</v>
      </c>
      <c r="B3">
        <v>2688900000000</v>
      </c>
      <c r="C3">
        <v>62.4557</v>
      </c>
      <c r="D3">
        <v>-1.7039854000000001</v>
      </c>
      <c r="E3">
        <f>D3</f>
        <v>-1.7039854000000001</v>
      </c>
      <c r="F3">
        <v>-62000000000</v>
      </c>
      <c r="G3">
        <v>1.7254640999999999</v>
      </c>
      <c r="H3">
        <v>4.1479999999999997</v>
      </c>
      <c r="I3">
        <v>2.3205</v>
      </c>
      <c r="J3">
        <v>1.0823804690000001</v>
      </c>
      <c r="K3">
        <v>9.0610646189682995E-2</v>
      </c>
      <c r="L3">
        <v>0.12441530444826999</v>
      </c>
      <c r="M3">
        <v>0.99314398305019003</v>
      </c>
      <c r="N3">
        <f>1-M3</f>
        <v>6.8560169498099732E-3</v>
      </c>
      <c r="O3">
        <v>2.8201126315788998</v>
      </c>
      <c r="P3">
        <v>3.4125000000000001</v>
      </c>
      <c r="Q3">
        <v>0.504</v>
      </c>
    </row>
    <row r="4" spans="1:17" x14ac:dyDescent="0.3">
      <c r="A4">
        <v>2025</v>
      </c>
      <c r="B4">
        <v>2812000000000</v>
      </c>
      <c r="C4">
        <v>63.779800000000002</v>
      </c>
      <c r="D4">
        <v>-1.5819972</v>
      </c>
      <c r="E4">
        <f t="shared" ref="E4:E5" si="0">D4</f>
        <v>-1.5819972</v>
      </c>
      <c r="F4">
        <v>5000000000</v>
      </c>
      <c r="G4">
        <v>1.7999997999999999</v>
      </c>
      <c r="H4">
        <v>3.49</v>
      </c>
      <c r="I4">
        <v>2.5406</v>
      </c>
      <c r="J4">
        <v>1.113519535</v>
      </c>
    </row>
    <row r="5" spans="1:17" x14ac:dyDescent="0.3">
      <c r="A5">
        <v>2026</v>
      </c>
      <c r="B5">
        <v>2947200000000</v>
      </c>
      <c r="C5">
        <v>64.720200000000006</v>
      </c>
      <c r="D5">
        <v>-1.7477529000000001</v>
      </c>
      <c r="E5">
        <f t="shared" si="0"/>
        <v>-1.7477529000000001</v>
      </c>
      <c r="F5">
        <v>5000000000</v>
      </c>
      <c r="G5">
        <v>1.8000176000000001</v>
      </c>
      <c r="J5">
        <v>1.1346799999999999</v>
      </c>
    </row>
    <row r="6" spans="1:17" x14ac:dyDescent="0.3">
      <c r="A6">
        <v>2027</v>
      </c>
    </row>
    <row r="7" spans="1:17" x14ac:dyDescent="0.3">
      <c r="A7">
        <v>2028</v>
      </c>
      <c r="B7" s="2"/>
    </row>
    <row r="8" spans="1:17" x14ac:dyDescent="0.3">
      <c r="A8">
        <v>2029</v>
      </c>
      <c r="B8" s="2"/>
    </row>
    <row r="9" spans="1:17" x14ac:dyDescent="0.3">
      <c r="A9">
        <v>2030</v>
      </c>
      <c r="B9" s="2"/>
    </row>
    <row r="10" spans="1:17" x14ac:dyDescent="0.3">
      <c r="A10">
        <v>2031</v>
      </c>
    </row>
    <row r="11" spans="1:17" x14ac:dyDescent="0.3">
      <c r="A11">
        <v>2032</v>
      </c>
    </row>
    <row r="12" spans="1:17" x14ac:dyDescent="0.3">
      <c r="A12">
        <v>2033</v>
      </c>
    </row>
    <row r="13" spans="1:17" x14ac:dyDescent="0.3">
      <c r="A13">
        <v>2034</v>
      </c>
    </row>
    <row r="14" spans="1:17" x14ac:dyDescent="0.3">
      <c r="A14">
        <v>2035</v>
      </c>
    </row>
    <row r="15" spans="1:17" x14ac:dyDescent="0.3">
      <c r="A15">
        <v>2036</v>
      </c>
    </row>
    <row r="16" spans="1:17" x14ac:dyDescent="0.3">
      <c r="A16">
        <v>2037</v>
      </c>
    </row>
    <row r="17" spans="1:1" x14ac:dyDescent="0.3">
      <c r="A17">
        <v>2038</v>
      </c>
    </row>
    <row r="18" spans="1:1" x14ac:dyDescent="0.3">
      <c r="A18">
        <v>2039</v>
      </c>
    </row>
    <row r="19" spans="1:1" x14ac:dyDescent="0.3">
      <c r="A19">
        <v>2040</v>
      </c>
    </row>
    <row r="20" spans="1:1" x14ac:dyDescent="0.3">
      <c r="A20">
        <v>2041</v>
      </c>
    </row>
    <row r="21" spans="1:1" x14ac:dyDescent="0.3">
      <c r="A21">
        <v>2042</v>
      </c>
    </row>
    <row r="22" spans="1:1" x14ac:dyDescent="0.3">
      <c r="A22">
        <v>2043</v>
      </c>
    </row>
    <row r="23" spans="1:1" x14ac:dyDescent="0.3">
      <c r="A23">
        <v>2044</v>
      </c>
    </row>
    <row r="24" spans="1:1" x14ac:dyDescent="0.3">
      <c r="A24">
        <v>2045</v>
      </c>
    </row>
    <row r="25" spans="1:1" x14ac:dyDescent="0.3">
      <c r="A25">
        <v>2046</v>
      </c>
    </row>
    <row r="26" spans="1:1" x14ac:dyDescent="0.3">
      <c r="A26">
        <v>2047</v>
      </c>
    </row>
    <row r="27" spans="1:1" x14ac:dyDescent="0.3">
      <c r="A27">
        <v>2048</v>
      </c>
    </row>
    <row r="28" spans="1:1" x14ac:dyDescent="0.3">
      <c r="A28">
        <v>2049</v>
      </c>
    </row>
    <row r="29" spans="1:1" x14ac:dyDescent="0.3">
      <c r="A29">
        <v>2050</v>
      </c>
    </row>
    <row r="30" spans="1:1" x14ac:dyDescent="0.3">
      <c r="A30">
        <v>2051</v>
      </c>
    </row>
    <row r="31" spans="1:1" x14ac:dyDescent="0.3">
      <c r="A31">
        <v>2052</v>
      </c>
    </row>
    <row r="32" spans="1:1" x14ac:dyDescent="0.3">
      <c r="A32">
        <v>2053</v>
      </c>
    </row>
    <row r="33" spans="1:1" x14ac:dyDescent="0.3">
      <c r="A33">
        <v>2054</v>
      </c>
    </row>
    <row r="34" spans="1:1" x14ac:dyDescent="0.3">
      <c r="A34">
        <v>2055</v>
      </c>
    </row>
    <row r="35" spans="1:1" x14ac:dyDescent="0.3">
      <c r="A35">
        <v>2056</v>
      </c>
    </row>
    <row r="36" spans="1:1" x14ac:dyDescent="0.3">
      <c r="A36">
        <v>2057</v>
      </c>
    </row>
    <row r="37" spans="1:1" x14ac:dyDescent="0.3">
      <c r="A37">
        <v>2058</v>
      </c>
    </row>
    <row r="38" spans="1:1" x14ac:dyDescent="0.3">
      <c r="A38">
        <v>2059</v>
      </c>
    </row>
    <row r="39" spans="1:1" x14ac:dyDescent="0.3">
      <c r="A39">
        <v>2060</v>
      </c>
    </row>
    <row r="40" spans="1:1" x14ac:dyDescent="0.3">
      <c r="A40">
        <v>2061</v>
      </c>
    </row>
    <row r="41" spans="1:1" x14ac:dyDescent="0.3">
      <c r="A41">
        <v>2062</v>
      </c>
    </row>
    <row r="42" spans="1:1" x14ac:dyDescent="0.3">
      <c r="A42">
        <v>2063</v>
      </c>
    </row>
    <row r="43" spans="1:1" x14ac:dyDescent="0.3">
      <c r="A43">
        <v>2064</v>
      </c>
    </row>
    <row r="44" spans="1:1" x14ac:dyDescent="0.3">
      <c r="A44">
        <v>2065</v>
      </c>
    </row>
    <row r="45" spans="1:1" x14ac:dyDescent="0.3">
      <c r="A45">
        <v>2066</v>
      </c>
    </row>
    <row r="46" spans="1:1" x14ac:dyDescent="0.3">
      <c r="A46">
        <v>2067</v>
      </c>
    </row>
    <row r="47" spans="1:1" x14ac:dyDescent="0.3">
      <c r="A47">
        <v>2068</v>
      </c>
    </row>
    <row r="48" spans="1:1" x14ac:dyDescent="0.3">
      <c r="A48">
        <v>2069</v>
      </c>
    </row>
    <row r="49" spans="1:1" x14ac:dyDescent="0.3">
      <c r="A49">
        <v>2070</v>
      </c>
    </row>
    <row r="50" spans="1:1" x14ac:dyDescent="0.3">
      <c r="A50">
        <v>2071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53BEE-A00E-4D51-A092-A367B3D36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F60B67-4BA1-42C9-B183-67AF52F96567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customXml/itemProps3.xml><?xml version="1.0" encoding="utf-8"?>
<ds:datastoreItem xmlns:ds="http://schemas.openxmlformats.org/officeDocument/2006/customXml" ds:itemID="{1E04E657-3801-45A5-9B48-7F7EC549B2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DEU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Sven von Wangenheim</cp:lastModifiedBy>
  <dcterms:created xsi:type="dcterms:W3CDTF">2025-07-11T12:47:46Z</dcterms:created>
  <dcterms:modified xsi:type="dcterms:W3CDTF">2025-09-12T07:39:20Z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