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zernatzukunft.sharepoint.com/sites/DZ-Schalte/Freigegebene Dokumente/2_Projekte/Fiskalpolitik/F48_EUCAM_DSA_Reformvorschlag/02_Daten/"/>
    </mc:Choice>
  </mc:AlternateContent>
  <xr:revisionPtr revIDLastSave="7" documentId="8_{5D7F763B-53D3-4D7B-92E4-919A60F55483}" xr6:coauthVersionLast="47" xr6:coauthVersionMax="47" xr10:uidLastSave="{FB70E9D5-2A0C-45C8-833F-EEBB2905F11B}"/>
  <bookViews>
    <workbookView minimized="1" xWindow="0" yWindow="0" windowWidth="26736" windowHeight="16644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H15" i="1"/>
  <c r="I15" i="1"/>
  <c r="J15" i="1"/>
  <c r="K15" i="1"/>
  <c r="L15" i="1"/>
  <c r="M15" i="1"/>
  <c r="N15" i="1"/>
  <c r="D15" i="1"/>
  <c r="E15" i="1"/>
  <c r="F15" i="1"/>
  <c r="C15" i="1"/>
</calcChain>
</file>

<file path=xl/sharedStrings.xml><?xml version="1.0" encoding="utf-8"?>
<sst xmlns="http://schemas.openxmlformats.org/spreadsheetml/2006/main" count="192" uniqueCount="100">
  <si>
    <t>ECB Data Portal</t>
  </si>
  <si>
    <t>Downloaded on: 2025-08-12 16:32:22</t>
  </si>
  <si>
    <t>TITLE</t>
  </si>
  <si>
    <t>Government revenue from employers' actual social contributions</t>
  </si>
  <si>
    <t>Government revenue from households' actual social contributions</t>
  </si>
  <si>
    <t>SERIES KEY</t>
  </si>
  <si>
    <t>GFS.A.N.AT.W0.S13.S1.N.C.D611._Z._Z._Z.XDC._Z.S.V.N._T</t>
  </si>
  <si>
    <t>GFS.A.N.AT.W0.S13.S1.N.C.D613._Z._Z._Z.XDC._Z.S.V.N._T</t>
  </si>
  <si>
    <t>GFS.A.N.DE.W0.S13.S1.N.C.D611._Z._Z._Z.XDC._Z.S.V.N._T</t>
  </si>
  <si>
    <t>GFS.A.N.DE.W0.S13.S1.N.C.D613._Z._Z._Z.XDC._Z.S.V.N._T</t>
  </si>
  <si>
    <t>GFS.A.N.FI.W0.S13.S1.N.C.D611._Z._Z._Z.XDC._Z.S.V.N._T</t>
  </si>
  <si>
    <t>GFS.A.N.FI.W0.S13.S1.N.C.D613._Z._Z._Z.XDC._Z.S.V.N._T</t>
  </si>
  <si>
    <t>GFS.A.N.FR.W0.S13.S1.N.C.D611._Z._Z._Z.XDC._Z.S.V.N._T</t>
  </si>
  <si>
    <t>GFS.A.N.FR.W0.S13.S1.N.C.D613._Z._Z._Z.XDC._Z.S.V.N._T</t>
  </si>
  <si>
    <t>GFS.A.N.IT.W0.S13.S1.N.C.D611._Z._Z._Z.XDC._Z.S.V.N._T</t>
  </si>
  <si>
    <t>GFS.A.N.IT.W0.S13.S1.N.C.D613._Z._Z._Z.XDC._Z.S.V.N._T</t>
  </si>
  <si>
    <t>GFS.A.N.NL.W0.S13.S1.N.C.D611._Z._Z._Z.XDC._Z.S.V.N._T</t>
  </si>
  <si>
    <t>GFS.A.N.NL.W0.S13.S1.N.C.D613._Z._Z._Z.XDC._Z.S.V.N._T</t>
  </si>
  <si>
    <t>TIME SERIES PAGE</t>
  </si>
  <si>
    <t>https://data.ecb.europa.eu/data/datasets/GFS/GFS.A.N.AT.W0.S13.S1.N.C.D611._Z._Z._Z.XDC._Z.S.V.N._T</t>
  </si>
  <si>
    <t>https://data.ecb.europa.eu/data/datasets/GFS/GFS.A.N.AT.W0.S13.S1.N.C.D613._Z._Z._Z.XDC._Z.S.V.N._T</t>
  </si>
  <si>
    <t>https://data.ecb.europa.eu/data/datasets/GFS/GFS.A.N.DE.W0.S13.S1.N.C.D611._Z._Z._Z.XDC._Z.S.V.N._T</t>
  </si>
  <si>
    <t>https://data.ecb.europa.eu/data/datasets/GFS/GFS.A.N.DE.W0.S13.S1.N.C.D613._Z._Z._Z.XDC._Z.S.V.N._T</t>
  </si>
  <si>
    <t>https://data.ecb.europa.eu/data/datasets/GFS/GFS.A.N.FI.W0.S13.S1.N.C.D611._Z._Z._Z.XDC._Z.S.V.N._T</t>
  </si>
  <si>
    <t>https://data.ecb.europa.eu/data/datasets/GFS/GFS.A.N.FI.W0.S13.S1.N.C.D613._Z._Z._Z.XDC._Z.S.V.N._T</t>
  </si>
  <si>
    <t>https://data.ecb.europa.eu/data/datasets/GFS/GFS.A.N.FR.W0.S13.S1.N.C.D611._Z._Z._Z.XDC._Z.S.V.N._T</t>
  </si>
  <si>
    <t>https://data.ecb.europa.eu/data/datasets/GFS/GFS.A.N.FR.W0.S13.S1.N.C.D613._Z._Z._Z.XDC._Z.S.V.N._T</t>
  </si>
  <si>
    <t>https://data.ecb.europa.eu/data/datasets/GFS/GFS.A.N.IT.W0.S13.S1.N.C.D611._Z._Z._Z.XDC._Z.S.V.N._T</t>
  </si>
  <si>
    <t>https://data.ecb.europa.eu/data/datasets/GFS/GFS.A.N.IT.W0.S13.S1.N.C.D613._Z._Z._Z.XDC._Z.S.V.N._T</t>
  </si>
  <si>
    <t>https://data.ecb.europa.eu/data/datasets/GFS/GFS.A.N.NL.W0.S13.S1.N.C.D611._Z._Z._Z.XDC._Z.S.V.N._T</t>
  </si>
  <si>
    <t>https://data.ecb.europa.eu/data/datasets/GFS/GFS.A.N.NL.W0.S13.S1.N.C.D613._Z._Z._Z.XDC._Z.S.V.N._T</t>
  </si>
  <si>
    <t>GEOGRAPHICAL AREA</t>
  </si>
  <si>
    <t>Austria (AT)</t>
  </si>
  <si>
    <t>Germany (DE)</t>
  </si>
  <si>
    <t>Finland (FI)</t>
  </si>
  <si>
    <t>France (FR)</t>
  </si>
  <si>
    <t>Italy (IT)</t>
  </si>
  <si>
    <t>Netherlands (NL)</t>
  </si>
  <si>
    <t>FREQUENCY</t>
  </si>
  <si>
    <t>Annual</t>
  </si>
  <si>
    <t>DATASET</t>
  </si>
  <si>
    <t>GFS</t>
  </si>
  <si>
    <t>DATA SOURCE</t>
  </si>
  <si>
    <t>EU 28 central banks (B52)</t>
  </si>
  <si>
    <t>COLLECTION TYPE</t>
  </si>
  <si>
    <t>Summed through period (S)</t>
  </si>
  <si>
    <t>UNIT</t>
  </si>
  <si>
    <t>Millions of Domestic currency (incl. conversion to current currency made using a fixed parity)</t>
  </si>
  <si>
    <t>LAST UPDATED</t>
  </si>
  <si>
    <t>2025-04-25 13:00:00</t>
  </si>
  <si>
    <t>DATE</t>
  </si>
  <si>
    <t>TIME PERIOD</t>
  </si>
  <si>
    <t>Government revenue from employers' actual social contributions (GFS.A.N.AT.W0.S13.S1.N.C.D611._Z._Z._Z.XDC._Z.S.V.N._T)</t>
  </si>
  <si>
    <t>Government revenue from households' actual social contributions (GFS.A.N.AT.W0.S13.S1.N.C.D613._Z._Z._Z.XDC._Z.S.V.N._T)</t>
  </si>
  <si>
    <t>Government revenue from employers' actual social contributions (GFS.A.N.DE.W0.S13.S1.N.C.D611._Z._Z._Z.XDC._Z.S.V.N._T)</t>
  </si>
  <si>
    <t>Government revenue from households' actual social contributions (GFS.A.N.DE.W0.S13.S1.N.C.D613._Z._Z._Z.XDC._Z.S.V.N._T)</t>
  </si>
  <si>
    <t>Government revenue from employers' actual social contributions (GFS.A.N.FI.W0.S13.S1.N.C.D611._Z._Z._Z.XDC._Z.S.V.N._T)</t>
  </si>
  <si>
    <t>Government revenue from households' actual social contributions (GFS.A.N.FI.W0.S13.S1.N.C.D613._Z._Z._Z.XDC._Z.S.V.N._T)</t>
  </si>
  <si>
    <t>Government revenue from employers' actual social contributions (GFS.A.N.FR.W0.S13.S1.N.C.D611._Z._Z._Z.XDC._Z.S.V.N._T)</t>
  </si>
  <si>
    <t>Government revenue from households' actual social contributions (GFS.A.N.FR.W0.S13.S1.N.C.D613._Z._Z._Z.XDC._Z.S.V.N._T)</t>
  </si>
  <si>
    <t>Government revenue from employers' actual social contributions (GFS.A.N.IT.W0.S13.S1.N.C.D611._Z._Z._Z.XDC._Z.S.V.N._T)</t>
  </si>
  <si>
    <t>Government revenue from households' actual social contributions (GFS.A.N.IT.W0.S13.S1.N.C.D613._Z._Z._Z.XDC._Z.S.V.N._T)</t>
  </si>
  <si>
    <t>Government revenue from employers' actual social contributions (GFS.A.N.NL.W0.S13.S1.N.C.D611._Z._Z._Z.XDC._Z.S.V.N._T)</t>
  </si>
  <si>
    <t>Government revenue from households' actual social contributions (GFS.A.N.NL.W0.S13.S1.N.C.D613._Z._Z._Z.XDC._Z.S.V.N._T)</t>
  </si>
  <si>
    <t>1991-12-31</t>
  </si>
  <si>
    <t>1992-12-31</t>
  </si>
  <si>
    <t>1993-12-31</t>
  </si>
  <si>
    <t>1994-12-31</t>
  </si>
  <si>
    <t>1995-12-31</t>
  </si>
  <si>
    <t>1996-12-31</t>
  </si>
  <si>
    <t>1997-12-31</t>
  </si>
  <si>
    <t>1998-12-31</t>
  </si>
  <si>
    <t>1999-12-31</t>
  </si>
  <si>
    <t>2000-12-31</t>
  </si>
  <si>
    <t>2001-12-31</t>
  </si>
  <si>
    <t>2002-12-31</t>
  </si>
  <si>
    <t>2003-12-31</t>
  </si>
  <si>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</si>
  <si>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</si>
  <si>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</si>
  <si>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</si>
  <si>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</si>
  <si>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</si>
  <si>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</si>
  <si>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</si>
  <si>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</si>
  <si>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</si>
  <si>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</si>
  <si>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</si>
  <si>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</si>
  <si>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</si>
  <si>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</si>
  <si>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</si>
  <si>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</si>
  <si>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</si>
  <si>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</si>
  <si>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</si>
  <si>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2024-12-31</t>
  </si>
  <si>
    <t>SC_F_ECB</t>
  </si>
  <si>
    <t>SC_HH_ECB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</si>
</sst>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8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ecb.europa.eu/data/datasets/GFS/GFS.A.N.FI.W0.S13.S1.N.C.D613._Z._Z._Z.XDC._Z.S.V.N._T" TargetMode="External"/><Relationship Id="rId13" Type="http://schemas.openxmlformats.org/officeDocument/2006/relationships/hyperlink" Target="https://data.ecb.europa.eu/data/datasets/GFS/GFS.A.N.NL.W0.S13.S1.N.C.D611._Z._Z._Z.XDC._Z.S.V.N._T" TargetMode="External"/><Relationship Id="rId3" Type="http://schemas.openxmlformats.org/officeDocument/2006/relationships/hyperlink" Target="https://data.ecb.europa.eu/data/datasets/GFS/GFS.A.N.AT.W0.S13.S1.N.C.D611._Z._Z._Z.XDC._Z.S.V.N._T" TargetMode="External"/><Relationship Id="rId7" Type="http://schemas.openxmlformats.org/officeDocument/2006/relationships/hyperlink" Target="https://data.ecb.europa.eu/data/datasets/GFS/GFS.A.N.FI.W0.S13.S1.N.C.D611._Z._Z._Z.XDC._Z.S.V.N._T" TargetMode="External"/><Relationship Id="rId12" Type="http://schemas.openxmlformats.org/officeDocument/2006/relationships/hyperlink" Target="https://data.ecb.europa.eu/data/datasets/GFS/GFS.A.N.IT.W0.S13.S1.N.C.D613._Z._Z._Z.XDC._Z.S.V.N._T" TargetMode="External"/><Relationship Id="rId2" Type="http://schemas.openxmlformats.org/officeDocument/2006/relationships/hyperlink" Target="https://data.ecb.europa.eu/" TargetMode="External"/><Relationship Id="rId1" Type="http://schemas.openxmlformats.org/officeDocument/2006/relationships/hyperlink" Target="https://data.ecb.europa.eu/" TargetMode="External"/><Relationship Id="rId6" Type="http://schemas.openxmlformats.org/officeDocument/2006/relationships/hyperlink" Target="https://data.ecb.europa.eu/data/datasets/GFS/GFS.A.N.DE.W0.S13.S1.N.C.D613._Z._Z._Z.XDC._Z.S.V.N._T" TargetMode="External"/><Relationship Id="rId11" Type="http://schemas.openxmlformats.org/officeDocument/2006/relationships/hyperlink" Target="https://data.ecb.europa.eu/data/datasets/GFS/GFS.A.N.IT.W0.S13.S1.N.C.D611._Z._Z._Z.XDC._Z.S.V.N._T" TargetMode="External"/><Relationship Id="rId5" Type="http://schemas.openxmlformats.org/officeDocument/2006/relationships/hyperlink" Target="https://data.ecb.europa.eu/data/datasets/GFS/GFS.A.N.DE.W0.S13.S1.N.C.D611._Z._Z._Z.XDC._Z.S.V.N._T" TargetMode="External"/><Relationship Id="rId10" Type="http://schemas.openxmlformats.org/officeDocument/2006/relationships/hyperlink" Target="https://data.ecb.europa.eu/data/datasets/GFS/GFS.A.N.FR.W0.S13.S1.N.C.D613._Z._Z._Z.XDC._Z.S.V.N._T" TargetMode="External"/><Relationship Id="rId4" Type="http://schemas.openxmlformats.org/officeDocument/2006/relationships/hyperlink" Target="https://data.ecb.europa.eu/data/datasets/GFS/GFS.A.N.AT.W0.S13.S1.N.C.D613._Z._Z._Z.XDC._Z.S.V.N._T" TargetMode="External"/><Relationship Id="rId9" Type="http://schemas.openxmlformats.org/officeDocument/2006/relationships/hyperlink" Target="https://data.ecb.europa.eu/data/datasets/GFS/GFS.A.N.FR.W0.S13.S1.N.C.D611._Z._Z._Z.XDC._Z.S.V.N._T" TargetMode="External"/><Relationship Id="rId14" Type="http://schemas.openxmlformats.org/officeDocument/2006/relationships/hyperlink" Target="https://data.ecb.europa.eu/data/datasets/GFS/GFS.A.N.NL.W0.S13.S1.N.C.D613._Z._Z._Z.XDC._Z.S.V.N._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27" workbookViewId="0">
      <selection activeCell="G51" sqref="G51"/>
    </sheetView>
  </sheetViews>
  <sheetFormatPr defaultRowHeight="14.4" x14ac:dyDescent="0.3"/>
  <sheetData>
    <row r="1" spans="1:14" x14ac:dyDescent="0.3">
      <c r="A1" s="1" t="s">
        <v>0</v>
      </c>
    </row>
    <row r="2" spans="1:14" x14ac:dyDescent="0.3">
      <c r="A2" t="s">
        <v>1</v>
      </c>
    </row>
    <row r="4" spans="1:14" x14ac:dyDescent="0.3">
      <c r="A4" s="2" t="s">
        <v>2</v>
      </c>
      <c r="C4" t="s">
        <v>3</v>
      </c>
      <c r="D4" t="s">
        <v>4</v>
      </c>
      <c r="E4" t="s">
        <v>3</v>
      </c>
      <c r="F4" t="s">
        <v>4</v>
      </c>
      <c r="G4" t="s">
        <v>3</v>
      </c>
      <c r="H4" t="s">
        <v>4</v>
      </c>
      <c r="I4" t="s">
        <v>3</v>
      </c>
      <c r="J4" t="s">
        <v>4</v>
      </c>
      <c r="K4" t="s">
        <v>3</v>
      </c>
      <c r="L4" t="s">
        <v>4</v>
      </c>
      <c r="M4" t="s">
        <v>3</v>
      </c>
      <c r="N4" t="s">
        <v>4</v>
      </c>
    </row>
    <row r="5" spans="1:14" x14ac:dyDescent="0.3">
      <c r="A5" s="3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</row>
    <row r="6" spans="1:14" x14ac:dyDescent="0.3">
      <c r="A6" s="4" t="s">
        <v>18</v>
      </c>
      <c r="C6" s="12" t="s">
        <v>19</v>
      </c>
      <c r="D6" s="13" t="s">
        <v>20</v>
      </c>
      <c r="E6" s="14" t="s">
        <v>21</v>
      </c>
      <c r="F6" s="15" t="s">
        <v>22</v>
      </c>
      <c r="G6" s="16" t="s">
        <v>23</v>
      </c>
      <c r="H6" s="17" t="s">
        <v>24</v>
      </c>
      <c r="I6" s="18" t="s">
        <v>25</v>
      </c>
      <c r="J6" s="19" t="s">
        <v>26</v>
      </c>
      <c r="K6" s="20" t="s">
        <v>27</v>
      </c>
      <c r="L6" s="21" t="s">
        <v>28</v>
      </c>
      <c r="M6" s="22" t="s">
        <v>29</v>
      </c>
      <c r="N6" s="23" t="s">
        <v>30</v>
      </c>
    </row>
    <row r="7" spans="1:14" x14ac:dyDescent="0.3">
      <c r="A7" s="5" t="s">
        <v>31</v>
      </c>
      <c r="C7" t="s">
        <v>32</v>
      </c>
      <c r="D7" t="s">
        <v>32</v>
      </c>
      <c r="E7" t="s">
        <v>33</v>
      </c>
      <c r="F7" t="s">
        <v>33</v>
      </c>
      <c r="G7" t="s">
        <v>34</v>
      </c>
      <c r="H7" t="s">
        <v>34</v>
      </c>
      <c r="I7" t="s">
        <v>35</v>
      </c>
      <c r="J7" t="s">
        <v>35</v>
      </c>
      <c r="K7" t="s">
        <v>36</v>
      </c>
      <c r="L7" t="s">
        <v>36</v>
      </c>
      <c r="M7" t="s">
        <v>37</v>
      </c>
      <c r="N7" t="s">
        <v>37</v>
      </c>
    </row>
    <row r="8" spans="1:14" x14ac:dyDescent="0.3">
      <c r="A8" s="6" t="s">
        <v>38</v>
      </c>
      <c r="C8" t="s">
        <v>39</v>
      </c>
      <c r="D8" t="s">
        <v>39</v>
      </c>
      <c r="E8" t="s">
        <v>39</v>
      </c>
      <c r="F8" t="s">
        <v>39</v>
      </c>
      <c r="G8" t="s">
        <v>39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</row>
    <row r="9" spans="1:14" x14ac:dyDescent="0.3">
      <c r="A9" s="7" t="s">
        <v>40</v>
      </c>
      <c r="C9" t="s">
        <v>41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</row>
    <row r="10" spans="1:14" x14ac:dyDescent="0.3">
      <c r="A10" s="8" t="s">
        <v>42</v>
      </c>
      <c r="C10" t="s">
        <v>43</v>
      </c>
      <c r="D10" t="s">
        <v>43</v>
      </c>
      <c r="E10" t="s">
        <v>43</v>
      </c>
      <c r="F10" t="s">
        <v>43</v>
      </c>
      <c r="G10" t="s">
        <v>43</v>
      </c>
      <c r="H10" t="s">
        <v>43</v>
      </c>
      <c r="I10" t="s">
        <v>43</v>
      </c>
      <c r="J10" t="s">
        <v>43</v>
      </c>
      <c r="K10" t="s">
        <v>43</v>
      </c>
      <c r="L10" t="s">
        <v>43</v>
      </c>
      <c r="M10" t="s">
        <v>43</v>
      </c>
      <c r="N10" t="s">
        <v>43</v>
      </c>
    </row>
    <row r="11" spans="1:14" x14ac:dyDescent="0.3">
      <c r="A11" s="9" t="s">
        <v>44</v>
      </c>
      <c r="C11" t="s">
        <v>45</v>
      </c>
      <c r="D11" t="s">
        <v>45</v>
      </c>
      <c r="E11" t="s">
        <v>45</v>
      </c>
      <c r="F11" t="s">
        <v>45</v>
      </c>
      <c r="G11" t="s">
        <v>45</v>
      </c>
      <c r="H11" t="s">
        <v>45</v>
      </c>
      <c r="I11" t="s">
        <v>45</v>
      </c>
      <c r="J11" t="s">
        <v>45</v>
      </c>
      <c r="K11" t="s">
        <v>45</v>
      </c>
      <c r="L11" t="s">
        <v>45</v>
      </c>
      <c r="M11" t="s">
        <v>45</v>
      </c>
      <c r="N11" t="s">
        <v>45</v>
      </c>
    </row>
    <row r="12" spans="1:14" x14ac:dyDescent="0.3">
      <c r="A12" s="10" t="s">
        <v>46</v>
      </c>
      <c r="C12" t="s">
        <v>47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 t="s">
        <v>47</v>
      </c>
      <c r="M12" t="s">
        <v>47</v>
      </c>
      <c r="N12" t="s">
        <v>47</v>
      </c>
    </row>
    <row r="13" spans="1:14" x14ac:dyDescent="0.3">
      <c r="A13" s="11" t="s">
        <v>48</v>
      </c>
      <c r="C13" t="s">
        <v>49</v>
      </c>
      <c r="D13" t="s">
        <v>49</v>
      </c>
      <c r="E13" t="s">
        <v>49</v>
      </c>
      <c r="F13" t="s">
        <v>49</v>
      </c>
      <c r="G13" t="s">
        <v>49</v>
      </c>
      <c r="H13" t="s">
        <v>49</v>
      </c>
      <c r="I13" t="s">
        <v>49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</row>
    <row r="14" spans="1:14" x14ac:dyDescent="0.3">
      <c r="A14" s="11"/>
    </row>
    <row r="15" spans="1:14" x14ac:dyDescent="0.3">
      <c r="A15" s="11"/>
      <c r="C15" t="str">
        <f>_xlfn.TEXTBEFORE(C7," ")</f>
        <v>Austria</v>
      </c>
      <c r="D15" t="str">
        <f t="shared" ref="D15:G15" si="0">_xlfn.TEXTBEFORE(D7," ")</f>
        <v>Austria</v>
      </c>
      <c r="E15" t="str">
        <f t="shared" si="0"/>
        <v>Germany</v>
      </c>
      <c r="F15" t="str">
        <f t="shared" si="0"/>
        <v>Germany</v>
      </c>
      <c r="G15" t="str">
        <f t="shared" si="0"/>
        <v>Finland</v>
      </c>
      <c r="H15" t="str">
        <f t="shared" ref="H15:N15" si="1">_xlfn.TEXTBEFORE(H7," ")</f>
        <v>Finland</v>
      </c>
      <c r="I15" t="str">
        <f t="shared" si="1"/>
        <v>France</v>
      </c>
      <c r="J15" t="str">
        <f t="shared" si="1"/>
        <v>France</v>
      </c>
      <c r="K15" t="str">
        <f t="shared" si="1"/>
        <v>Italy</v>
      </c>
      <c r="L15" t="str">
        <f t="shared" si="1"/>
        <v>Italy</v>
      </c>
      <c r="M15" t="str">
        <f t="shared" si="1"/>
        <v>Netherlands</v>
      </c>
      <c r="N15" t="str">
        <f t="shared" si="1"/>
        <v>Netherlands</v>
      </c>
    </row>
    <row r="16" spans="1:14" x14ac:dyDescent="0.3">
      <c r="C16" t="s">
        <v>98</v>
      </c>
      <c r="D16" t="s">
        <v>99</v>
      </c>
      <c r="E16" t="s">
        <v>98</v>
      </c>
      <c r="F16" t="s">
        <v>99</v>
      </c>
      <c r="G16" t="s">
        <v>98</v>
      </c>
      <c r="H16" t="s">
        <v>99</v>
      </c>
      <c r="I16" t="s">
        <v>98</v>
      </c>
      <c r="J16" t="s">
        <v>99</v>
      </c>
      <c r="K16" t="s">
        <v>98</v>
      </c>
      <c r="L16" t="s">
        <v>99</v>
      </c>
      <c r="M16" t="s">
        <v>98</v>
      </c>
      <c r="N16" t="s">
        <v>99</v>
      </c>
    </row>
    <row r="17" spans="1:14" x14ac:dyDescent="0.3">
      <c r="A17" s="24" t="s">
        <v>50</v>
      </c>
      <c r="B17" s="25" t="s">
        <v>51</v>
      </c>
      <c r="C17" s="26" t="s">
        <v>52</v>
      </c>
      <c r="D17" s="27" t="s">
        <v>53</v>
      </c>
      <c r="E17" s="28" t="s">
        <v>54</v>
      </c>
      <c r="F17" s="29" t="s">
        <v>55</v>
      </c>
      <c r="G17" s="30" t="s">
        <v>56</v>
      </c>
      <c r="H17" s="31" t="s">
        <v>57</v>
      </c>
      <c r="I17" s="32" t="s">
        <v>58</v>
      </c>
      <c r="J17" s="33" t="s">
        <v>59</v>
      </c>
      <c r="K17" s="34" t="s">
        <v>60</v>
      </c>
      <c r="L17" s="35" t="s">
        <v>61</v>
      </c>
      <c r="M17" s="36" t="s">
        <v>62</v>
      </c>
      <c r="N17" s="37" t="s">
        <v>63</v>
      </c>
    </row>
    <row r="18" spans="1:14" x14ac:dyDescent="0.3">
      <c r="A18" s="38" t="s">
        <v>64</v>
      </c>
      <c r="B18" s="39">
        <v>1991</v>
      </c>
      <c r="E18">
        <v>109343</v>
      </c>
      <c r="F18">
        <v>134574</v>
      </c>
    </row>
    <row r="19" spans="1:14" x14ac:dyDescent="0.3">
      <c r="A19" s="38" t="s">
        <v>65</v>
      </c>
      <c r="B19" s="39">
        <v>1992</v>
      </c>
      <c r="E19">
        <v>118748</v>
      </c>
      <c r="F19">
        <v>149251</v>
      </c>
    </row>
    <row r="20" spans="1:14" x14ac:dyDescent="0.3">
      <c r="A20" s="38" t="s">
        <v>66</v>
      </c>
      <c r="B20" s="39">
        <v>1993</v>
      </c>
      <c r="E20">
        <v>123752</v>
      </c>
      <c r="F20">
        <v>160838</v>
      </c>
    </row>
    <row r="21" spans="1:14" x14ac:dyDescent="0.3">
      <c r="A21" s="38" t="s">
        <v>67</v>
      </c>
      <c r="B21" s="39">
        <v>1994</v>
      </c>
      <c r="E21">
        <v>132367</v>
      </c>
      <c r="F21">
        <v>172242</v>
      </c>
    </row>
    <row r="22" spans="1:14" x14ac:dyDescent="0.3">
      <c r="A22" s="38" t="s">
        <v>68</v>
      </c>
      <c r="B22" s="39">
        <v>1995</v>
      </c>
      <c r="C22">
        <v>12792</v>
      </c>
      <c r="D22">
        <v>13578</v>
      </c>
      <c r="E22">
        <v>137287</v>
      </c>
      <c r="F22">
        <v>183076</v>
      </c>
      <c r="G22">
        <v>9630</v>
      </c>
      <c r="H22">
        <v>4257</v>
      </c>
      <c r="I22">
        <v>136307</v>
      </c>
      <c r="J22">
        <v>85331</v>
      </c>
      <c r="K22">
        <v>80043</v>
      </c>
      <c r="L22">
        <v>42721</v>
      </c>
      <c r="M22">
        <v>5941</v>
      </c>
      <c r="N22">
        <v>43781</v>
      </c>
    </row>
    <row r="23" spans="1:14" x14ac:dyDescent="0.3">
      <c r="A23" s="38" t="s">
        <v>69</v>
      </c>
      <c r="B23" s="39">
        <v>1996</v>
      </c>
      <c r="C23">
        <v>13252</v>
      </c>
      <c r="D23">
        <v>14133</v>
      </c>
      <c r="E23">
        <v>140739</v>
      </c>
      <c r="F23">
        <v>194947</v>
      </c>
      <c r="G23">
        <v>9699</v>
      </c>
      <c r="H23">
        <v>4134</v>
      </c>
      <c r="I23">
        <v>138816</v>
      </c>
      <c r="J23">
        <v>89599</v>
      </c>
      <c r="K23">
        <v>101536</v>
      </c>
      <c r="L23">
        <v>44335</v>
      </c>
      <c r="M23">
        <v>6124</v>
      </c>
      <c r="N23">
        <v>43732</v>
      </c>
    </row>
    <row r="24" spans="1:14" x14ac:dyDescent="0.3">
      <c r="A24" s="38" t="s">
        <v>70</v>
      </c>
      <c r="B24" s="39">
        <v>1997</v>
      </c>
      <c r="C24">
        <v>13593</v>
      </c>
      <c r="D24">
        <v>14547</v>
      </c>
      <c r="E24">
        <v>144658</v>
      </c>
      <c r="F24">
        <v>202480</v>
      </c>
      <c r="G24">
        <v>9972</v>
      </c>
      <c r="H24">
        <v>4137</v>
      </c>
      <c r="I24">
        <v>143186</v>
      </c>
      <c r="J24">
        <v>86664</v>
      </c>
      <c r="K24">
        <v>108101</v>
      </c>
      <c r="L24">
        <v>45385</v>
      </c>
      <c r="M24">
        <v>5987</v>
      </c>
      <c r="N24">
        <v>46674</v>
      </c>
    </row>
    <row r="25" spans="1:14" x14ac:dyDescent="0.3">
      <c r="A25" s="38" t="s">
        <v>71</v>
      </c>
      <c r="B25" s="39">
        <v>1998</v>
      </c>
      <c r="C25">
        <v>13821</v>
      </c>
      <c r="D25">
        <v>15280</v>
      </c>
      <c r="E25">
        <v>146302</v>
      </c>
      <c r="F25">
        <v>203779</v>
      </c>
      <c r="G25">
        <v>10927</v>
      </c>
      <c r="H25">
        <v>4138</v>
      </c>
      <c r="I25">
        <v>147465</v>
      </c>
      <c r="J25">
        <v>65255</v>
      </c>
      <c r="K25">
        <v>95920</v>
      </c>
      <c r="L25">
        <v>38489</v>
      </c>
      <c r="M25">
        <v>16358</v>
      </c>
      <c r="N25">
        <v>39780</v>
      </c>
    </row>
    <row r="26" spans="1:14" x14ac:dyDescent="0.3">
      <c r="A26" s="38" t="s">
        <v>72</v>
      </c>
      <c r="B26" s="39">
        <v>1999</v>
      </c>
      <c r="C26">
        <v>14304</v>
      </c>
      <c r="D26">
        <v>15820</v>
      </c>
      <c r="E26">
        <v>149465</v>
      </c>
      <c r="F26">
        <v>204726</v>
      </c>
      <c r="G26">
        <v>11524</v>
      </c>
      <c r="H26">
        <v>4274</v>
      </c>
      <c r="I26">
        <v>154392</v>
      </c>
      <c r="J26">
        <v>68524</v>
      </c>
      <c r="K26">
        <v>97858</v>
      </c>
      <c r="L26">
        <v>41116</v>
      </c>
      <c r="M26">
        <v>17152</v>
      </c>
      <c r="N26">
        <v>44690</v>
      </c>
    </row>
    <row r="27" spans="1:14" x14ac:dyDescent="0.3">
      <c r="A27" s="38" t="s">
        <v>73</v>
      </c>
      <c r="B27" s="39">
        <v>2000</v>
      </c>
      <c r="C27">
        <v>14651</v>
      </c>
      <c r="D27">
        <v>16289</v>
      </c>
      <c r="E27">
        <v>152049</v>
      </c>
      <c r="F27">
        <v>204940</v>
      </c>
      <c r="G27">
        <v>11643</v>
      </c>
      <c r="H27">
        <v>4349</v>
      </c>
      <c r="I27">
        <v>159561</v>
      </c>
      <c r="J27">
        <v>72207</v>
      </c>
      <c r="K27">
        <v>99946</v>
      </c>
      <c r="L27">
        <v>41886</v>
      </c>
      <c r="M27">
        <v>18671</v>
      </c>
      <c r="N27">
        <v>47705</v>
      </c>
    </row>
    <row r="28" spans="1:14" x14ac:dyDescent="0.3">
      <c r="A28" s="38" t="s">
        <v>74</v>
      </c>
      <c r="B28" s="39">
        <v>2001</v>
      </c>
      <c r="C28">
        <v>14831</v>
      </c>
      <c r="D28">
        <v>17013</v>
      </c>
      <c r="E28">
        <v>154589</v>
      </c>
      <c r="F28">
        <v>207294</v>
      </c>
      <c r="G28">
        <v>12575</v>
      </c>
      <c r="H28">
        <v>4441</v>
      </c>
      <c r="I28">
        <v>165204</v>
      </c>
      <c r="J28">
        <v>75897</v>
      </c>
      <c r="K28">
        <v>105247</v>
      </c>
      <c r="L28">
        <v>44701</v>
      </c>
      <c r="M28">
        <v>19444</v>
      </c>
      <c r="N28">
        <v>45572</v>
      </c>
    </row>
    <row r="29" spans="1:14" x14ac:dyDescent="0.3">
      <c r="A29" s="38" t="s">
        <v>75</v>
      </c>
      <c r="B29" s="39">
        <v>2002</v>
      </c>
      <c r="C29">
        <v>15033</v>
      </c>
      <c r="D29">
        <v>17297</v>
      </c>
      <c r="E29">
        <v>154715</v>
      </c>
      <c r="F29">
        <v>212300</v>
      </c>
      <c r="G29">
        <v>12873</v>
      </c>
      <c r="H29">
        <v>4395</v>
      </c>
      <c r="I29">
        <v>171133</v>
      </c>
      <c r="J29">
        <v>79064</v>
      </c>
      <c r="K29">
        <v>110185</v>
      </c>
      <c r="L29">
        <v>47626</v>
      </c>
      <c r="M29">
        <v>20225</v>
      </c>
      <c r="N29">
        <v>44578</v>
      </c>
    </row>
    <row r="30" spans="1:14" x14ac:dyDescent="0.3">
      <c r="A30" s="38" t="s">
        <v>76</v>
      </c>
      <c r="B30" s="39">
        <v>2003</v>
      </c>
      <c r="C30">
        <v>15387</v>
      </c>
      <c r="D30">
        <v>17752</v>
      </c>
      <c r="E30">
        <v>158446</v>
      </c>
      <c r="F30">
        <v>215532</v>
      </c>
      <c r="G30">
        <v>12961</v>
      </c>
      <c r="H30">
        <v>4414</v>
      </c>
      <c r="I30">
        <v>177701</v>
      </c>
      <c r="J30">
        <v>83104</v>
      </c>
      <c r="K30">
        <v>116627</v>
      </c>
      <c r="L30">
        <v>48246</v>
      </c>
      <c r="M30">
        <v>20629</v>
      </c>
      <c r="N30">
        <v>49573</v>
      </c>
    </row>
    <row r="31" spans="1:14" x14ac:dyDescent="0.3">
      <c r="A31" s="38" t="s">
        <v>77</v>
      </c>
      <c r="B31" s="39">
        <v>2004</v>
      </c>
      <c r="C31">
        <v>15860</v>
      </c>
      <c r="D31">
        <v>18602</v>
      </c>
      <c r="E31">
        <v>157031</v>
      </c>
      <c r="F31">
        <v>216667</v>
      </c>
      <c r="G31">
        <v>13462</v>
      </c>
      <c r="H31">
        <v>4526</v>
      </c>
      <c r="I31">
        <v>182912</v>
      </c>
      <c r="J31">
        <v>86067</v>
      </c>
      <c r="K31">
        <v>121221</v>
      </c>
      <c r="L31">
        <v>51849</v>
      </c>
      <c r="M31">
        <v>21232</v>
      </c>
      <c r="N31">
        <v>49349</v>
      </c>
    </row>
    <row r="32" spans="1:14" x14ac:dyDescent="0.3">
      <c r="A32" s="38" t="s">
        <v>78</v>
      </c>
      <c r="B32" s="39">
        <v>2005</v>
      </c>
      <c r="C32">
        <v>16562</v>
      </c>
      <c r="D32">
        <v>19268</v>
      </c>
      <c r="E32">
        <v>153757</v>
      </c>
      <c r="F32">
        <v>219132</v>
      </c>
      <c r="G32">
        <v>14179</v>
      </c>
      <c r="H32">
        <v>4929</v>
      </c>
      <c r="I32">
        <v>190199</v>
      </c>
      <c r="J32">
        <v>89308</v>
      </c>
      <c r="K32">
        <v>124363</v>
      </c>
      <c r="L32">
        <v>54222</v>
      </c>
      <c r="M32">
        <v>20595</v>
      </c>
      <c r="N32">
        <v>51127</v>
      </c>
    </row>
    <row r="33" spans="1:14" x14ac:dyDescent="0.3">
      <c r="A33" s="38" t="s">
        <v>79</v>
      </c>
      <c r="B33" s="39">
        <v>2006</v>
      </c>
      <c r="C33">
        <v>17261</v>
      </c>
      <c r="D33">
        <v>20120</v>
      </c>
      <c r="E33">
        <v>154991</v>
      </c>
      <c r="F33">
        <v>221516</v>
      </c>
      <c r="G33">
        <v>14876</v>
      </c>
      <c r="H33">
        <v>5629</v>
      </c>
      <c r="I33">
        <v>200055</v>
      </c>
      <c r="J33">
        <v>95232</v>
      </c>
      <c r="K33">
        <v>125975</v>
      </c>
      <c r="L33">
        <v>54895</v>
      </c>
      <c r="M33">
        <v>24686</v>
      </c>
      <c r="N33">
        <v>56845</v>
      </c>
    </row>
    <row r="34" spans="1:14" x14ac:dyDescent="0.3">
      <c r="A34" s="38" t="s">
        <v>80</v>
      </c>
      <c r="B34" s="39">
        <v>2007</v>
      </c>
      <c r="C34">
        <v>18091</v>
      </c>
      <c r="D34">
        <v>20909</v>
      </c>
      <c r="E34">
        <v>156684</v>
      </c>
      <c r="F34">
        <v>218440</v>
      </c>
      <c r="G34">
        <v>15758</v>
      </c>
      <c r="H34">
        <v>5854</v>
      </c>
      <c r="I34">
        <v>207388</v>
      </c>
      <c r="J34">
        <v>98536</v>
      </c>
      <c r="K34">
        <v>137606</v>
      </c>
      <c r="L34">
        <v>61672</v>
      </c>
      <c r="M34">
        <v>25898</v>
      </c>
      <c r="N34">
        <v>56070</v>
      </c>
    </row>
    <row r="35" spans="1:14" x14ac:dyDescent="0.3">
      <c r="A35" s="38" t="s">
        <v>81</v>
      </c>
      <c r="B35" s="39">
        <v>2008</v>
      </c>
      <c r="C35">
        <v>18855</v>
      </c>
      <c r="D35">
        <v>21902</v>
      </c>
      <c r="E35">
        <v>160170</v>
      </c>
      <c r="F35">
        <v>222104</v>
      </c>
      <c r="G35">
        <v>16723</v>
      </c>
      <c r="H35">
        <v>5836</v>
      </c>
      <c r="I35">
        <v>213406</v>
      </c>
      <c r="J35">
        <v>100612</v>
      </c>
      <c r="K35">
        <v>141380</v>
      </c>
      <c r="L35">
        <v>67708</v>
      </c>
      <c r="M35">
        <v>28413</v>
      </c>
      <c r="N35">
        <v>57373</v>
      </c>
    </row>
    <row r="36" spans="1:14" x14ac:dyDescent="0.3">
      <c r="A36" s="38" t="s">
        <v>82</v>
      </c>
      <c r="B36" s="39">
        <v>2009</v>
      </c>
      <c r="C36">
        <v>18947</v>
      </c>
      <c r="D36">
        <v>22319</v>
      </c>
      <c r="E36">
        <v>160129</v>
      </c>
      <c r="F36">
        <v>223930</v>
      </c>
      <c r="G36">
        <v>16300</v>
      </c>
      <c r="H36">
        <v>5975</v>
      </c>
      <c r="I36">
        <v>214363</v>
      </c>
      <c r="J36">
        <v>101390</v>
      </c>
      <c r="K36">
        <v>142792</v>
      </c>
      <c r="L36">
        <v>65321</v>
      </c>
      <c r="M36">
        <v>28242</v>
      </c>
      <c r="N36">
        <v>54980</v>
      </c>
    </row>
    <row r="37" spans="1:14" x14ac:dyDescent="0.3">
      <c r="A37" s="38" t="s">
        <v>83</v>
      </c>
      <c r="B37" s="39">
        <v>2010</v>
      </c>
      <c r="C37">
        <v>19421</v>
      </c>
      <c r="D37">
        <v>22681</v>
      </c>
      <c r="E37">
        <v>165469</v>
      </c>
      <c r="F37">
        <v>228316</v>
      </c>
      <c r="G37">
        <v>16078</v>
      </c>
      <c r="H37">
        <v>6824</v>
      </c>
      <c r="I37">
        <v>218810</v>
      </c>
      <c r="J37">
        <v>103268</v>
      </c>
      <c r="K37">
        <v>144316</v>
      </c>
      <c r="L37">
        <v>65313</v>
      </c>
      <c r="M37">
        <v>29327</v>
      </c>
      <c r="N37">
        <v>58547</v>
      </c>
    </row>
    <row r="38" spans="1:14" x14ac:dyDescent="0.3">
      <c r="A38" s="38" t="s">
        <v>84</v>
      </c>
      <c r="B38" s="39">
        <v>2011</v>
      </c>
      <c r="C38">
        <v>20302</v>
      </c>
      <c r="D38">
        <v>23735</v>
      </c>
      <c r="E38">
        <v>171557</v>
      </c>
      <c r="F38">
        <v>238089</v>
      </c>
      <c r="G38">
        <v>16969</v>
      </c>
      <c r="H38">
        <v>7068</v>
      </c>
      <c r="I38">
        <v>229079</v>
      </c>
      <c r="J38">
        <v>105849</v>
      </c>
      <c r="K38">
        <v>145588</v>
      </c>
      <c r="L38">
        <v>66605</v>
      </c>
      <c r="M38">
        <v>30264</v>
      </c>
      <c r="N38">
        <v>58933</v>
      </c>
    </row>
    <row r="39" spans="1:14" x14ac:dyDescent="0.3">
      <c r="A39" s="38" t="s">
        <v>85</v>
      </c>
      <c r="B39" s="39">
        <v>2012</v>
      </c>
      <c r="C39">
        <v>21082</v>
      </c>
      <c r="D39">
        <v>24528</v>
      </c>
      <c r="E39">
        <v>177271</v>
      </c>
      <c r="F39">
        <v>244382</v>
      </c>
      <c r="G39">
        <v>17708</v>
      </c>
      <c r="H39">
        <v>7820</v>
      </c>
      <c r="I39">
        <v>234732</v>
      </c>
      <c r="J39">
        <v>109729</v>
      </c>
      <c r="K39">
        <v>143340</v>
      </c>
      <c r="L39">
        <v>68351</v>
      </c>
      <c r="M39">
        <v>32642</v>
      </c>
      <c r="N39">
        <v>59902</v>
      </c>
    </row>
    <row r="40" spans="1:14" x14ac:dyDescent="0.3">
      <c r="A40" s="38" t="s">
        <v>86</v>
      </c>
      <c r="B40" s="39">
        <v>2013</v>
      </c>
      <c r="C40">
        <v>21922</v>
      </c>
      <c r="D40">
        <v>25617</v>
      </c>
      <c r="E40">
        <v>181765</v>
      </c>
      <c r="F40">
        <v>250095</v>
      </c>
      <c r="G40">
        <v>17921</v>
      </c>
      <c r="H40">
        <v>7981</v>
      </c>
      <c r="I40">
        <v>239865</v>
      </c>
      <c r="J40">
        <v>115369</v>
      </c>
      <c r="K40">
        <v>141645</v>
      </c>
      <c r="L40">
        <v>69505</v>
      </c>
      <c r="M40">
        <v>31616</v>
      </c>
      <c r="N40">
        <v>64351</v>
      </c>
    </row>
    <row r="41" spans="1:14" x14ac:dyDescent="0.3">
      <c r="A41" s="38" t="s">
        <v>87</v>
      </c>
      <c r="B41" s="39">
        <v>2014</v>
      </c>
      <c r="C41">
        <v>22667</v>
      </c>
      <c r="D41">
        <v>26406</v>
      </c>
      <c r="E41">
        <v>188861</v>
      </c>
      <c r="F41">
        <v>259375</v>
      </c>
      <c r="G41">
        <v>17914</v>
      </c>
      <c r="H41">
        <v>8374</v>
      </c>
      <c r="I41">
        <v>245529</v>
      </c>
      <c r="J41">
        <v>119067</v>
      </c>
      <c r="K41">
        <v>141173</v>
      </c>
      <c r="L41">
        <v>69154</v>
      </c>
      <c r="M41">
        <v>34996</v>
      </c>
      <c r="N41">
        <v>61547</v>
      </c>
    </row>
    <row r="42" spans="1:14" x14ac:dyDescent="0.3">
      <c r="A42" s="38" t="s">
        <v>88</v>
      </c>
      <c r="B42" s="39">
        <v>2015</v>
      </c>
      <c r="C42">
        <v>23379</v>
      </c>
      <c r="D42">
        <v>27322</v>
      </c>
      <c r="E42">
        <v>196665</v>
      </c>
      <c r="F42">
        <v>269959</v>
      </c>
      <c r="G42">
        <v>18259</v>
      </c>
      <c r="H42">
        <v>8683</v>
      </c>
      <c r="I42">
        <v>247372</v>
      </c>
      <c r="J42">
        <v>121288</v>
      </c>
      <c r="K42">
        <v>143303</v>
      </c>
      <c r="L42">
        <v>71751</v>
      </c>
      <c r="M42">
        <v>34614</v>
      </c>
      <c r="N42">
        <v>60865</v>
      </c>
    </row>
    <row r="43" spans="1:14" x14ac:dyDescent="0.3">
      <c r="A43" s="38" t="s">
        <v>89</v>
      </c>
      <c r="B43" s="39">
        <v>2016</v>
      </c>
      <c r="C43">
        <v>24275</v>
      </c>
      <c r="D43">
        <v>28307</v>
      </c>
      <c r="E43">
        <v>204558</v>
      </c>
      <c r="F43">
        <v>283653</v>
      </c>
      <c r="G43">
        <v>18788</v>
      </c>
      <c r="H43">
        <v>9150</v>
      </c>
      <c r="I43">
        <v>249809</v>
      </c>
      <c r="J43">
        <v>123595</v>
      </c>
      <c r="K43">
        <v>144199</v>
      </c>
      <c r="L43">
        <v>72562</v>
      </c>
      <c r="M43">
        <v>36595</v>
      </c>
      <c r="N43">
        <v>67292</v>
      </c>
    </row>
    <row r="44" spans="1:14" x14ac:dyDescent="0.3">
      <c r="A44" s="38" t="s">
        <v>90</v>
      </c>
      <c r="B44" s="39">
        <v>2017</v>
      </c>
      <c r="C44">
        <v>25285</v>
      </c>
      <c r="D44">
        <v>29398</v>
      </c>
      <c r="E44">
        <v>214095</v>
      </c>
      <c r="F44">
        <v>298332</v>
      </c>
      <c r="G44">
        <v>17602</v>
      </c>
      <c r="H44">
        <v>9698</v>
      </c>
      <c r="I44">
        <v>258112</v>
      </c>
      <c r="J44">
        <v>127703</v>
      </c>
      <c r="K44">
        <v>147622</v>
      </c>
      <c r="L44">
        <v>74184</v>
      </c>
      <c r="M44">
        <v>37720</v>
      </c>
      <c r="N44">
        <v>67093</v>
      </c>
    </row>
    <row r="45" spans="1:14" x14ac:dyDescent="0.3">
      <c r="A45" s="38" t="s">
        <v>91</v>
      </c>
      <c r="B45" s="39">
        <v>2018</v>
      </c>
      <c r="C45">
        <v>26710</v>
      </c>
      <c r="D45">
        <v>30750</v>
      </c>
      <c r="E45">
        <v>223521</v>
      </c>
      <c r="F45">
        <v>310885</v>
      </c>
      <c r="G45">
        <v>17642</v>
      </c>
      <c r="H45">
        <v>10274</v>
      </c>
      <c r="I45">
        <v>264286</v>
      </c>
      <c r="J45">
        <v>114824</v>
      </c>
      <c r="K45">
        <v>153712</v>
      </c>
      <c r="L45">
        <v>76414</v>
      </c>
      <c r="M45">
        <v>40702</v>
      </c>
      <c r="N45">
        <v>70730</v>
      </c>
    </row>
    <row r="46" spans="1:14" x14ac:dyDescent="0.3">
      <c r="A46" s="38" t="s">
        <v>92</v>
      </c>
      <c r="B46" s="39">
        <v>2019</v>
      </c>
      <c r="C46">
        <v>27826</v>
      </c>
      <c r="D46">
        <v>32079</v>
      </c>
      <c r="E46">
        <v>238336</v>
      </c>
      <c r="F46">
        <v>319830</v>
      </c>
      <c r="G46">
        <v>17786</v>
      </c>
      <c r="H46">
        <v>10755</v>
      </c>
      <c r="I46">
        <v>246386</v>
      </c>
      <c r="J46">
        <v>115502</v>
      </c>
      <c r="K46">
        <v>158442</v>
      </c>
      <c r="L46">
        <v>79342</v>
      </c>
      <c r="M46">
        <v>43693</v>
      </c>
      <c r="N46">
        <v>70938</v>
      </c>
    </row>
    <row r="47" spans="1:14" x14ac:dyDescent="0.3">
      <c r="A47" s="38" t="s">
        <v>93</v>
      </c>
      <c r="B47" s="39">
        <v>2020</v>
      </c>
      <c r="C47">
        <v>27709</v>
      </c>
      <c r="D47">
        <v>32190</v>
      </c>
      <c r="E47">
        <v>244759</v>
      </c>
      <c r="F47">
        <v>321954</v>
      </c>
      <c r="G47">
        <v>16712</v>
      </c>
      <c r="H47">
        <v>10849</v>
      </c>
      <c r="I47">
        <v>235532</v>
      </c>
      <c r="J47">
        <v>110563</v>
      </c>
      <c r="K47">
        <v>150246</v>
      </c>
      <c r="L47">
        <v>75809</v>
      </c>
      <c r="M47">
        <v>44135</v>
      </c>
      <c r="N47">
        <v>70178</v>
      </c>
    </row>
    <row r="48" spans="1:14" x14ac:dyDescent="0.3">
      <c r="A48" s="38" t="s">
        <v>94</v>
      </c>
      <c r="B48" s="39">
        <v>2021</v>
      </c>
      <c r="C48">
        <v>29184</v>
      </c>
      <c r="D48">
        <v>34003</v>
      </c>
      <c r="E48">
        <v>253465</v>
      </c>
      <c r="F48">
        <v>336355</v>
      </c>
      <c r="G48">
        <v>18898</v>
      </c>
      <c r="H48">
        <v>11549</v>
      </c>
      <c r="I48">
        <v>254127</v>
      </c>
      <c r="J48">
        <v>118682</v>
      </c>
      <c r="K48">
        <v>162110</v>
      </c>
      <c r="L48">
        <v>80802</v>
      </c>
      <c r="M48">
        <v>45071</v>
      </c>
      <c r="N48">
        <v>71770</v>
      </c>
    </row>
    <row r="49" spans="1:14" x14ac:dyDescent="0.3">
      <c r="A49" s="38" t="s">
        <v>95</v>
      </c>
      <c r="B49" s="39">
        <v>2022</v>
      </c>
      <c r="C49">
        <v>31080</v>
      </c>
      <c r="D49">
        <v>35731</v>
      </c>
      <c r="E49">
        <v>266727</v>
      </c>
      <c r="F49">
        <v>356442</v>
      </c>
      <c r="G49">
        <v>20291</v>
      </c>
      <c r="H49">
        <v>11909</v>
      </c>
      <c r="I49">
        <v>268220</v>
      </c>
      <c r="J49">
        <v>127575</v>
      </c>
      <c r="K49">
        <v>170790</v>
      </c>
      <c r="L49">
        <v>85212</v>
      </c>
      <c r="M49">
        <v>49303</v>
      </c>
      <c r="N49">
        <v>75160</v>
      </c>
    </row>
    <row r="50" spans="1:14" x14ac:dyDescent="0.3">
      <c r="A50" s="38" t="s">
        <v>96</v>
      </c>
      <c r="B50" s="39">
        <v>2023</v>
      </c>
      <c r="C50">
        <v>33442</v>
      </c>
      <c r="D50">
        <v>38299</v>
      </c>
      <c r="E50">
        <v>283901</v>
      </c>
      <c r="F50">
        <v>380354</v>
      </c>
      <c r="G50">
        <v>21241</v>
      </c>
      <c r="H50">
        <v>12746</v>
      </c>
      <c r="I50">
        <v>280955</v>
      </c>
      <c r="J50">
        <v>132535</v>
      </c>
      <c r="K50">
        <v>179736</v>
      </c>
      <c r="L50">
        <v>84150</v>
      </c>
      <c r="M50">
        <v>53538</v>
      </c>
      <c r="N50">
        <v>75664</v>
      </c>
    </row>
    <row r="51" spans="1:14" x14ac:dyDescent="0.3">
      <c r="A51" s="38" t="s">
        <v>97</v>
      </c>
      <c r="B51" s="39">
        <v>2024</v>
      </c>
      <c r="C51">
        <v>36137</v>
      </c>
      <c r="D51">
        <v>41367</v>
      </c>
      <c r="E51">
        <v>301034</v>
      </c>
      <c r="F51">
        <v>406353</v>
      </c>
      <c r="G51">
        <v>20594</v>
      </c>
      <c r="H51">
        <v>12077</v>
      </c>
      <c r="I51">
        <v>293148</v>
      </c>
      <c r="J51">
        <v>137917</v>
      </c>
      <c r="K51">
        <v>188639</v>
      </c>
      <c r="L51">
        <v>86554</v>
      </c>
      <c r="M51">
        <v>58450</v>
      </c>
      <c r="N51">
        <v>76891</v>
      </c>
    </row>
  </sheetData>
  <hyperlinks>
    <hyperlink ref="A1" r:id="rId1" xr:uid="{00000000-0004-0000-0000-000000000000}"/>
    <hyperlink ref="A1" r:id="rId2" xr:uid="{00000000-0004-0000-0000-000001000000}"/>
    <hyperlink ref="C6" r:id="rId3" xr:uid="{00000000-0004-0000-0000-000002000000}"/>
    <hyperlink ref="D6" r:id="rId4" xr:uid="{00000000-0004-0000-0000-000003000000}"/>
    <hyperlink ref="E6" r:id="rId5" xr:uid="{00000000-0004-0000-0000-000004000000}"/>
    <hyperlink ref="F6" r:id="rId6" xr:uid="{00000000-0004-0000-0000-000005000000}"/>
    <hyperlink ref="G6" r:id="rId7" xr:uid="{00000000-0004-0000-0000-000006000000}"/>
    <hyperlink ref="H6" r:id="rId8" xr:uid="{00000000-0004-0000-0000-000007000000}"/>
    <hyperlink ref="I6" r:id="rId9" xr:uid="{00000000-0004-0000-0000-000008000000}"/>
    <hyperlink ref="J6" r:id="rId10" xr:uid="{00000000-0004-0000-0000-000009000000}"/>
    <hyperlink ref="K6" r:id="rId11" xr:uid="{00000000-0004-0000-0000-00000A000000}"/>
    <hyperlink ref="L6" r:id="rId12" xr:uid="{00000000-0004-0000-0000-00000B000000}"/>
    <hyperlink ref="M6" r:id="rId13" xr:uid="{00000000-0004-0000-0000-00000C000000}"/>
    <hyperlink ref="N6" r:id="rId14" xr:uid="{00000000-0004-0000-0000-00000D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9DB5BA5E-43B6-4D20-940C-8CFB6FD96367}"/>
</file>

<file path=customXml/itemProps2.xml><?xml version="1.0" encoding="utf-8"?>
<ds:datastoreItem xmlns:ds="http://schemas.openxmlformats.org/officeDocument/2006/customXml" ds:itemID="{A9A062F3-F5C5-43E7-9FE4-EBB4DCC35B4A}"/>
</file>

<file path=customXml/itemProps3.xml><?xml version="1.0" encoding="utf-8"?>
<ds:datastoreItem xmlns:ds="http://schemas.openxmlformats.org/officeDocument/2006/customXml" ds:itemID="{A7C15BED-C063-4BC3-B89B-CC944E5810F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Sven von Wangenheim</cp:lastModifiedBy>
  <dcterms:created xsi:type="dcterms:W3CDTF">2025-08-12T14:32:22Z</dcterms:created>
  <dcterms:modified xsi:type="dcterms:W3CDTF">2025-08-12T15:32:20Z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