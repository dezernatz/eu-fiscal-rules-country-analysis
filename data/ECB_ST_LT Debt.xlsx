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zernatzukunft.sharepoint.com/sites/DZ-Schalte/Freigegebene Dokumente/2_Projekte/Fiskalpolitik/F48_EUCAM_DSA_Reformvorschlag/02_Daten/"/>
    </mc:Choice>
  </mc:AlternateContent>
  <xr:revisionPtr revIDLastSave="0" documentId="8_{B9CF1BF3-C7DE-4773-B5B2-957BB1581F2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" i="1" l="1"/>
  <c r="T16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C15" i="1"/>
  <c r="C16" i="1"/>
</calcChain>
</file>

<file path=xl/sharedStrings.xml><?xml version="1.0" encoding="utf-8"?>
<sst xmlns="http://schemas.openxmlformats.org/spreadsheetml/2006/main" count="246" uniqueCount="117">
  <si>
    <t>ECB Data Portal</t>
  </si>
  <si>
    <t>Downloaded on: 2025-08-12 16:39:32</t>
  </si>
  <si>
    <t>TITLE</t>
  </si>
  <si>
    <t>Long-term Government debt</t>
  </si>
  <si>
    <t>Short-term Government debt</t>
  </si>
  <si>
    <t>Government debt with short-term residual maturity</t>
  </si>
  <si>
    <t>SERIES KEY</t>
  </si>
  <si>
    <t>GFS.A.N.AT.W0.S13.S1.C.L.LE.GD.L._Z.XDC._T.F.V.N._T</t>
  </si>
  <si>
    <t>GFS.A.N.AT.W0.S13.S1.C.L.LE.GD.S._Z.XDC._T.F.V.N._T</t>
  </si>
  <si>
    <t>GFS.A.N.AT.W0.S13.S1.C.L.LE.GD.TS._Z.XDC._T.F.V.N._T</t>
  </si>
  <si>
    <t>GFS.A.N.DE.W0.S13.S1.C.L.LE.GD.L._Z.XDC._T.F.V.N._T</t>
  </si>
  <si>
    <t>GFS.A.N.DE.W0.S13.S1.C.L.LE.GD.S._Z.XDC._T.F.V.N._T</t>
  </si>
  <si>
    <t>GFS.A.N.DE.W0.S13.S1.C.L.LE.GD.TS._Z.XDC._T.F.V.N._T</t>
  </si>
  <si>
    <t>GFS.A.N.FI.W0.S13.S1.C.L.LE.GD.L._Z.XDC._T.F.V.N._T</t>
  </si>
  <si>
    <t>GFS.A.N.FI.W0.S13.S1.C.L.LE.GD.S._Z.XDC._T.F.V.N._T</t>
  </si>
  <si>
    <t>GFS.A.N.FI.W0.S13.S1.C.L.LE.GD.TS._Z.XDC._T.F.V.N._T</t>
  </si>
  <si>
    <t>GFS.A.N.FR.W0.S13.S1.C.L.LE.GD.L._Z.XDC._T.F.V.N._T</t>
  </si>
  <si>
    <t>GFS.A.N.FR.W0.S13.S1.C.L.LE.GD.S._Z.XDC._T.F.V.N._T</t>
  </si>
  <si>
    <t>GFS.A.N.FR.W0.S13.S1.C.L.LE.GD.TS._Z.XDC._T.F.V.N._T</t>
  </si>
  <si>
    <t>GFS.A.N.IT.W0.S13.S1.C.L.LE.GD.L._Z.XDC._T.F.V.N._T</t>
  </si>
  <si>
    <t>GFS.A.N.IT.W0.S13.S1.C.L.LE.GD.S._Z.XDC._T.F.V.N._T</t>
  </si>
  <si>
    <t>GFS.A.N.IT.W0.S13.S1.C.L.LE.GD.TS._Z.XDC._T.F.V.N._T</t>
  </si>
  <si>
    <t>GFS.A.N.NL.W0.S13.S1.C.L.LE.GD.L._Z.XDC._T.F.V.N._T</t>
  </si>
  <si>
    <t>GFS.A.N.NL.W0.S13.S1.C.L.LE.GD.S._Z.XDC._T.F.V.N._T</t>
  </si>
  <si>
    <t>GFS.A.N.NL.W0.S13.S1.C.L.LE.GD.TS._Z.XDC._T.F.V.N._T</t>
  </si>
  <si>
    <t>TIME SERIES PAGE</t>
  </si>
  <si>
    <t>https://data.ecb.europa.eu/data/datasets/GFS/GFS.A.N.AT.W0.S13.S1.C.L.LE.GD.L._Z.XDC._T.F.V.N._T</t>
  </si>
  <si>
    <t>https://data.ecb.europa.eu/data/datasets/GFS/GFS.A.N.AT.W0.S13.S1.C.L.LE.GD.S._Z.XDC._T.F.V.N._T</t>
  </si>
  <si>
    <t>https://data.ecb.europa.eu/data/datasets/GFS/GFS.A.N.AT.W0.S13.S1.C.L.LE.GD.TS._Z.XDC._T.F.V.N._T</t>
  </si>
  <si>
    <t>https://data.ecb.europa.eu/data/datasets/GFS/GFS.A.N.DE.W0.S13.S1.C.L.LE.GD.L._Z.XDC._T.F.V.N._T</t>
  </si>
  <si>
    <t>https://data.ecb.europa.eu/data/datasets/GFS/GFS.A.N.DE.W0.S13.S1.C.L.LE.GD.S._Z.XDC._T.F.V.N._T</t>
  </si>
  <si>
    <t>https://data.ecb.europa.eu/data/datasets/GFS/GFS.A.N.DE.W0.S13.S1.C.L.LE.GD.TS._Z.XDC._T.F.V.N._T</t>
  </si>
  <si>
    <t>https://data.ecb.europa.eu/data/datasets/GFS/GFS.A.N.FI.W0.S13.S1.C.L.LE.GD.L._Z.XDC._T.F.V.N._T</t>
  </si>
  <si>
    <t>https://data.ecb.europa.eu/data/datasets/GFS/GFS.A.N.FI.W0.S13.S1.C.L.LE.GD.S._Z.XDC._T.F.V.N._T</t>
  </si>
  <si>
    <t>https://data.ecb.europa.eu/data/datasets/GFS/GFS.A.N.FI.W0.S13.S1.C.L.LE.GD.TS._Z.XDC._T.F.V.N._T</t>
  </si>
  <si>
    <t>https://data.ecb.europa.eu/data/datasets/GFS/GFS.A.N.FR.W0.S13.S1.C.L.LE.GD.L._Z.XDC._T.F.V.N._T</t>
  </si>
  <si>
    <t>https://data.ecb.europa.eu/data/datasets/GFS/GFS.A.N.FR.W0.S13.S1.C.L.LE.GD.S._Z.XDC._T.F.V.N._T</t>
  </si>
  <si>
    <t>https://data.ecb.europa.eu/data/datasets/GFS/GFS.A.N.FR.W0.S13.S1.C.L.LE.GD.TS._Z.XDC._T.F.V.N._T</t>
  </si>
  <si>
    <t>https://data.ecb.europa.eu/data/datasets/GFS/GFS.A.N.IT.W0.S13.S1.C.L.LE.GD.L._Z.XDC._T.F.V.N._T</t>
  </si>
  <si>
    <t>https://data.ecb.europa.eu/data/datasets/GFS/GFS.A.N.IT.W0.S13.S1.C.L.LE.GD.S._Z.XDC._T.F.V.N._T</t>
  </si>
  <si>
    <t>https://data.ecb.europa.eu/data/datasets/GFS/GFS.A.N.IT.W0.S13.S1.C.L.LE.GD.TS._Z.XDC._T.F.V.N._T</t>
  </si>
  <si>
    <t>https://data.ecb.europa.eu/data/datasets/GFS/GFS.A.N.NL.W0.S13.S1.C.L.LE.GD.L._Z.XDC._T.F.V.N._T</t>
  </si>
  <si>
    <t>https://data.ecb.europa.eu/data/datasets/GFS/GFS.A.N.NL.W0.S13.S1.C.L.LE.GD.S._Z.XDC._T.F.V.N._T</t>
  </si>
  <si>
    <t>https://data.ecb.europa.eu/data/datasets/GFS/GFS.A.N.NL.W0.S13.S1.C.L.LE.GD.TS._Z.XDC._T.F.V.N._T</t>
  </si>
  <si>
    <t>GEOGRAPHICAL AREA</t>
  </si>
  <si>
    <t>Austria (AT)</t>
  </si>
  <si>
    <t>Germany (DE)</t>
  </si>
  <si>
    <t>Finland (FI)</t>
  </si>
  <si>
    <t>France (FR)</t>
  </si>
  <si>
    <t>Italy (IT)</t>
  </si>
  <si>
    <t>Netherlands (NL)</t>
  </si>
  <si>
    <t>FREQUENCY</t>
  </si>
  <si>
    <t>Annual</t>
  </si>
  <si>
    <t>DATASET</t>
  </si>
  <si>
    <t>GFS</t>
  </si>
  <si>
    <t>DATA SOURCE</t>
  </si>
  <si>
    <t>EU 28 central banks (B52)</t>
  </si>
  <si>
    <t>COLLECTION TYPE</t>
  </si>
  <si>
    <t>End of period (E)</t>
  </si>
  <si>
    <t>UNIT</t>
  </si>
  <si>
    <t>Millions of Domestic currency (incl. conversion to current currency made using a fixed parity)</t>
  </si>
  <si>
    <t>LAST UPDATED</t>
  </si>
  <si>
    <t>2025-04-25 13:00:00</t>
  </si>
  <si>
    <t>DATE</t>
  </si>
  <si>
    <t>TIME PERIOD</t>
  </si>
  <si>
    <t>Long-term Government debt (GFS.A.N.AT.W0.S13.S1.C.L.LE.GD.L._Z.XDC._T.F.V.N._T)</t>
  </si>
  <si>
    <t>Short-term Government debt (GFS.A.N.AT.W0.S13.S1.C.L.LE.GD.S._Z.XDC._T.F.V.N._T)</t>
  </si>
  <si>
    <t>Government debt with short-term residual maturity (GFS.A.N.AT.W0.S13.S1.C.L.LE.GD.TS._Z.XDC._T.F.V.N._T)</t>
  </si>
  <si>
    <t>Long-term Government debt (GFS.A.N.DE.W0.S13.S1.C.L.LE.GD.L._Z.XDC._T.F.V.N._T)</t>
  </si>
  <si>
    <t>Short-term Government debt (GFS.A.N.DE.W0.S13.S1.C.L.LE.GD.S._Z.XDC._T.F.V.N._T)</t>
  </si>
  <si>
    <t>Government debt with short-term residual maturity (GFS.A.N.DE.W0.S13.S1.C.L.LE.GD.TS._Z.XDC._T.F.V.N._T)</t>
  </si>
  <si>
    <t>Long-term Government debt (GFS.A.N.FI.W0.S13.S1.C.L.LE.GD.L._Z.XDC._T.F.V.N._T)</t>
  </si>
  <si>
    <t>Short-term Government debt (GFS.A.N.FI.W0.S13.S1.C.L.LE.GD.S._Z.XDC._T.F.V.N._T)</t>
  </si>
  <si>
    <t>Government debt with short-term residual maturity (GFS.A.N.FI.W0.S13.S1.C.L.LE.GD.TS._Z.XDC._T.F.V.N._T)</t>
  </si>
  <si>
    <t>Long-term Government debt (GFS.A.N.FR.W0.S13.S1.C.L.LE.GD.L._Z.XDC._T.F.V.N._T)</t>
  </si>
  <si>
    <t>Short-term Government debt (GFS.A.N.FR.W0.S13.S1.C.L.LE.GD.S._Z.XDC._T.F.V.N._T)</t>
  </si>
  <si>
    <t>Government debt with short-term residual maturity (GFS.A.N.FR.W0.S13.S1.C.L.LE.GD.TS._Z.XDC._T.F.V.N._T)</t>
  </si>
  <si>
    <t>Long-term Government debt (GFS.A.N.IT.W0.S13.S1.C.L.LE.GD.L._Z.XDC._T.F.V.N._T)</t>
  </si>
  <si>
    <t>Short-term Government debt (GFS.A.N.IT.W0.S13.S1.C.L.LE.GD.S._Z.XDC._T.F.V.N._T)</t>
  </si>
  <si>
    <t>Government debt with short-term residual maturity (GFS.A.N.IT.W0.S13.S1.C.L.LE.GD.TS._Z.XDC._T.F.V.N._T)</t>
  </si>
  <si>
    <t>Long-term Government debt (GFS.A.N.NL.W0.S13.S1.C.L.LE.GD.L._Z.XDC._T.F.V.N._T)</t>
  </si>
  <si>
    <t>Short-term Government debt (GFS.A.N.NL.W0.S13.S1.C.L.LE.GD.S._Z.XDC._T.F.V.N._T)</t>
  </si>
  <si>
    <t>Government debt with short-term residual maturity (GFS.A.N.NL.W0.S13.S1.C.L.LE.GD.TS._Z.XDC._T.F.V.N._T)</t>
  </si>
  <si>
    <t>1991-12-31</t>
  </si>
  <si>
    <t>1992-12-31</t>
  </si>
  <si>
    <t>1993-12-31</t>
  </si>
  <si>
    <t>1994-12-31</t>
  </si>
  <si>
    <t>1995-12-31</t>
  </si>
  <si>
    <t>1996-12-31</t>
  </si>
  <si>
    <t>1997-12-31</t>
  </si>
  <si>
    <t>1998-12-31</t>
  </si>
  <si>
    <t>1999-12-31</t>
  </si>
  <si>
    <t>2000-12-31</t>
  </si>
  <si>
    <t>2001-12-31</t>
  </si>
  <si>
    <t>2002-12-31</t>
  </si>
  <si>
    <t>2003-12-31</t>
  </si>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</sst>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0" x14ac:knownFonts="1">
    <font>
      <sz val="11"/>
      <color indexed="8"/>
      <name val="Aptos Narrow"/>
      <family val="2"/>
      <scheme val="minor"/>
    </font>
    <font>
      <u/>
      <sz val="11"/>
      <color indexed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u/>
      <sz val="11"/>
      <color indexed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ecb.europa.eu/data/datasets/GFS/GFS.A.N.DE.W0.S13.S1.C.L.LE.GD.TS._Z.XDC._T.F.V.N._T" TargetMode="External"/><Relationship Id="rId13" Type="http://schemas.openxmlformats.org/officeDocument/2006/relationships/hyperlink" Target="https://data.ecb.europa.eu/data/datasets/GFS/GFS.A.N.FR.W0.S13.S1.C.L.LE.GD.S._Z.XDC._T.F.V.N._T" TargetMode="External"/><Relationship Id="rId18" Type="http://schemas.openxmlformats.org/officeDocument/2006/relationships/hyperlink" Target="https://data.ecb.europa.eu/data/datasets/GFS/GFS.A.N.NL.W0.S13.S1.C.L.LE.GD.L._Z.XDC._T.F.V.N._T" TargetMode="External"/><Relationship Id="rId3" Type="http://schemas.openxmlformats.org/officeDocument/2006/relationships/hyperlink" Target="https://data.ecb.europa.eu/data/datasets/GFS/GFS.A.N.AT.W0.S13.S1.C.L.LE.GD.L._Z.XDC._T.F.V.N._T" TargetMode="External"/><Relationship Id="rId7" Type="http://schemas.openxmlformats.org/officeDocument/2006/relationships/hyperlink" Target="https://data.ecb.europa.eu/data/datasets/GFS/GFS.A.N.DE.W0.S13.S1.C.L.LE.GD.S._Z.XDC._T.F.V.N._T" TargetMode="External"/><Relationship Id="rId12" Type="http://schemas.openxmlformats.org/officeDocument/2006/relationships/hyperlink" Target="https://data.ecb.europa.eu/data/datasets/GFS/GFS.A.N.FR.W0.S13.S1.C.L.LE.GD.L._Z.XDC._T.F.V.N._T" TargetMode="External"/><Relationship Id="rId17" Type="http://schemas.openxmlformats.org/officeDocument/2006/relationships/hyperlink" Target="https://data.ecb.europa.eu/data/datasets/GFS/GFS.A.N.IT.W0.S13.S1.C.L.LE.GD.TS._Z.XDC._T.F.V.N._T" TargetMode="External"/><Relationship Id="rId2" Type="http://schemas.openxmlformats.org/officeDocument/2006/relationships/hyperlink" Target="https://data.ecb.europa.eu/" TargetMode="External"/><Relationship Id="rId16" Type="http://schemas.openxmlformats.org/officeDocument/2006/relationships/hyperlink" Target="https://data.ecb.europa.eu/data/datasets/GFS/GFS.A.N.IT.W0.S13.S1.C.L.LE.GD.S._Z.XDC._T.F.V.N._T" TargetMode="External"/><Relationship Id="rId20" Type="http://schemas.openxmlformats.org/officeDocument/2006/relationships/hyperlink" Target="https://data.ecb.europa.eu/data/datasets/GFS/GFS.A.N.NL.W0.S13.S1.C.L.LE.GD.TS._Z.XDC._T.F.V.N._T" TargetMode="External"/><Relationship Id="rId1" Type="http://schemas.openxmlformats.org/officeDocument/2006/relationships/hyperlink" Target="https://data.ecb.europa.eu/" TargetMode="External"/><Relationship Id="rId6" Type="http://schemas.openxmlformats.org/officeDocument/2006/relationships/hyperlink" Target="https://data.ecb.europa.eu/data/datasets/GFS/GFS.A.N.DE.W0.S13.S1.C.L.LE.GD.L._Z.XDC._T.F.V.N._T" TargetMode="External"/><Relationship Id="rId11" Type="http://schemas.openxmlformats.org/officeDocument/2006/relationships/hyperlink" Target="https://data.ecb.europa.eu/data/datasets/GFS/GFS.A.N.FI.W0.S13.S1.C.L.LE.GD.TS._Z.XDC._T.F.V.N._T" TargetMode="External"/><Relationship Id="rId5" Type="http://schemas.openxmlformats.org/officeDocument/2006/relationships/hyperlink" Target="https://data.ecb.europa.eu/data/datasets/GFS/GFS.A.N.AT.W0.S13.S1.C.L.LE.GD.TS._Z.XDC._T.F.V.N._T" TargetMode="External"/><Relationship Id="rId15" Type="http://schemas.openxmlformats.org/officeDocument/2006/relationships/hyperlink" Target="https://data.ecb.europa.eu/data/datasets/GFS/GFS.A.N.IT.W0.S13.S1.C.L.LE.GD.L._Z.XDC._T.F.V.N._T" TargetMode="External"/><Relationship Id="rId10" Type="http://schemas.openxmlformats.org/officeDocument/2006/relationships/hyperlink" Target="https://data.ecb.europa.eu/data/datasets/GFS/GFS.A.N.FI.W0.S13.S1.C.L.LE.GD.S._Z.XDC._T.F.V.N._T" TargetMode="External"/><Relationship Id="rId19" Type="http://schemas.openxmlformats.org/officeDocument/2006/relationships/hyperlink" Target="https://data.ecb.europa.eu/data/datasets/GFS/GFS.A.N.NL.W0.S13.S1.C.L.LE.GD.S._Z.XDC._T.F.V.N._T" TargetMode="External"/><Relationship Id="rId4" Type="http://schemas.openxmlformats.org/officeDocument/2006/relationships/hyperlink" Target="https://data.ecb.europa.eu/data/datasets/GFS/GFS.A.N.AT.W0.S13.S1.C.L.LE.GD.S._Z.XDC._T.F.V.N._T" TargetMode="External"/><Relationship Id="rId9" Type="http://schemas.openxmlformats.org/officeDocument/2006/relationships/hyperlink" Target="https://data.ecb.europa.eu/data/datasets/GFS/GFS.A.N.FI.W0.S13.S1.C.L.LE.GD.L._Z.XDC._T.F.V.N._T" TargetMode="External"/><Relationship Id="rId14" Type="http://schemas.openxmlformats.org/officeDocument/2006/relationships/hyperlink" Target="https://data.ecb.europa.eu/data/datasets/GFS/GFS.A.N.FR.W0.S13.S1.C.L.LE.GD.TS._Z.XDC._T.F.V.N._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workbookViewId="0">
      <selection activeCell="K20" sqref="K20"/>
    </sheetView>
  </sheetViews>
  <sheetFormatPr defaultRowHeight="14.4" x14ac:dyDescent="0.3"/>
  <sheetData>
    <row r="1" spans="1:20" x14ac:dyDescent="0.3">
      <c r="A1" s="1" t="s">
        <v>0</v>
      </c>
    </row>
    <row r="2" spans="1:20" x14ac:dyDescent="0.3">
      <c r="A2" t="s">
        <v>1</v>
      </c>
    </row>
    <row r="4" spans="1:20" x14ac:dyDescent="0.3">
      <c r="A4" s="2" t="s">
        <v>2</v>
      </c>
      <c r="C4" t="s">
        <v>3</v>
      </c>
      <c r="D4" t="s">
        <v>4</v>
      </c>
      <c r="E4" t="s">
        <v>5</v>
      </c>
      <c r="F4" t="s">
        <v>3</v>
      </c>
      <c r="G4" t="s">
        <v>4</v>
      </c>
      <c r="H4" t="s">
        <v>5</v>
      </c>
      <c r="I4" t="s">
        <v>3</v>
      </c>
      <c r="J4" t="s">
        <v>4</v>
      </c>
      <c r="K4" t="s">
        <v>5</v>
      </c>
      <c r="L4" t="s">
        <v>3</v>
      </c>
      <c r="M4" t="s">
        <v>4</v>
      </c>
      <c r="N4" t="s">
        <v>5</v>
      </c>
      <c r="O4" t="s">
        <v>3</v>
      </c>
      <c r="P4" t="s">
        <v>4</v>
      </c>
      <c r="Q4" t="s">
        <v>5</v>
      </c>
      <c r="R4" t="s">
        <v>3</v>
      </c>
      <c r="S4" t="s">
        <v>4</v>
      </c>
      <c r="T4" t="s">
        <v>5</v>
      </c>
    </row>
    <row r="5" spans="1:20" x14ac:dyDescent="0.3">
      <c r="A5" s="3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</row>
    <row r="6" spans="1:20" x14ac:dyDescent="0.3">
      <c r="A6" s="4" t="s">
        <v>25</v>
      </c>
      <c r="C6" s="12" t="s">
        <v>26</v>
      </c>
      <c r="D6" s="13" t="s">
        <v>27</v>
      </c>
      <c r="E6" s="14" t="s">
        <v>28</v>
      </c>
      <c r="F6" s="15" t="s">
        <v>29</v>
      </c>
      <c r="G6" s="16" t="s">
        <v>30</v>
      </c>
      <c r="H6" s="17" t="s">
        <v>31</v>
      </c>
      <c r="I6" s="18" t="s">
        <v>32</v>
      </c>
      <c r="J6" s="19" t="s">
        <v>33</v>
      </c>
      <c r="K6" s="20" t="s">
        <v>34</v>
      </c>
      <c r="L6" s="21" t="s">
        <v>35</v>
      </c>
      <c r="M6" s="22" t="s">
        <v>36</v>
      </c>
      <c r="N6" s="23" t="s">
        <v>37</v>
      </c>
      <c r="O6" s="24" t="s">
        <v>38</v>
      </c>
      <c r="P6" s="25" t="s">
        <v>39</v>
      </c>
      <c r="Q6" s="26" t="s">
        <v>40</v>
      </c>
      <c r="R6" s="27" t="s">
        <v>41</v>
      </c>
      <c r="S6" s="28" t="s">
        <v>42</v>
      </c>
      <c r="T6" s="29" t="s">
        <v>43</v>
      </c>
    </row>
    <row r="7" spans="1:20" x14ac:dyDescent="0.3">
      <c r="A7" s="5" t="s">
        <v>44</v>
      </c>
      <c r="C7" t="s">
        <v>45</v>
      </c>
      <c r="D7" t="s">
        <v>45</v>
      </c>
      <c r="E7" t="s">
        <v>45</v>
      </c>
      <c r="F7" t="s">
        <v>46</v>
      </c>
      <c r="G7" t="s">
        <v>46</v>
      </c>
      <c r="H7" t="s">
        <v>46</v>
      </c>
      <c r="I7" t="s">
        <v>47</v>
      </c>
      <c r="J7" t="s">
        <v>47</v>
      </c>
      <c r="K7" t="s">
        <v>47</v>
      </c>
      <c r="L7" t="s">
        <v>48</v>
      </c>
      <c r="M7" t="s">
        <v>48</v>
      </c>
      <c r="N7" t="s">
        <v>48</v>
      </c>
      <c r="O7" t="s">
        <v>49</v>
      </c>
      <c r="P7" t="s">
        <v>49</v>
      </c>
      <c r="Q7" t="s">
        <v>49</v>
      </c>
      <c r="R7" t="s">
        <v>50</v>
      </c>
      <c r="S7" t="s">
        <v>50</v>
      </c>
      <c r="T7" t="s">
        <v>50</v>
      </c>
    </row>
    <row r="8" spans="1:20" x14ac:dyDescent="0.3">
      <c r="A8" s="6" t="s">
        <v>51</v>
      </c>
      <c r="C8" t="s">
        <v>52</v>
      </c>
      <c r="D8" t="s">
        <v>52</v>
      </c>
      <c r="E8" t="s">
        <v>52</v>
      </c>
      <c r="F8" t="s">
        <v>52</v>
      </c>
      <c r="G8" t="s">
        <v>52</v>
      </c>
      <c r="H8" t="s">
        <v>52</v>
      </c>
      <c r="I8" t="s">
        <v>52</v>
      </c>
      <c r="J8" t="s">
        <v>52</v>
      </c>
      <c r="K8" t="s">
        <v>52</v>
      </c>
      <c r="L8" t="s">
        <v>52</v>
      </c>
      <c r="M8" t="s">
        <v>52</v>
      </c>
      <c r="N8" t="s">
        <v>52</v>
      </c>
      <c r="O8" t="s">
        <v>52</v>
      </c>
      <c r="P8" t="s">
        <v>52</v>
      </c>
      <c r="Q8" t="s">
        <v>52</v>
      </c>
      <c r="R8" t="s">
        <v>52</v>
      </c>
      <c r="S8" t="s">
        <v>52</v>
      </c>
      <c r="T8" t="s">
        <v>52</v>
      </c>
    </row>
    <row r="9" spans="1:20" x14ac:dyDescent="0.3">
      <c r="A9" s="7" t="s">
        <v>53</v>
      </c>
      <c r="C9" t="s">
        <v>54</v>
      </c>
      <c r="D9" t="s">
        <v>54</v>
      </c>
      <c r="E9" t="s">
        <v>54</v>
      </c>
      <c r="F9" t="s">
        <v>54</v>
      </c>
      <c r="G9" t="s">
        <v>54</v>
      </c>
      <c r="H9" t="s">
        <v>54</v>
      </c>
      <c r="I9" t="s">
        <v>54</v>
      </c>
      <c r="J9" t="s">
        <v>54</v>
      </c>
      <c r="K9" t="s">
        <v>54</v>
      </c>
      <c r="L9" t="s">
        <v>54</v>
      </c>
      <c r="M9" t="s">
        <v>54</v>
      </c>
      <c r="N9" t="s">
        <v>54</v>
      </c>
      <c r="O9" t="s">
        <v>54</v>
      </c>
      <c r="P9" t="s">
        <v>54</v>
      </c>
      <c r="Q9" t="s">
        <v>54</v>
      </c>
      <c r="R9" t="s">
        <v>54</v>
      </c>
      <c r="S9" t="s">
        <v>54</v>
      </c>
      <c r="T9" t="s">
        <v>54</v>
      </c>
    </row>
    <row r="10" spans="1:20" x14ac:dyDescent="0.3">
      <c r="A10" s="8" t="s">
        <v>55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</row>
    <row r="11" spans="1:20" x14ac:dyDescent="0.3">
      <c r="A11" s="9" t="s">
        <v>57</v>
      </c>
      <c r="C11" t="s">
        <v>58</v>
      </c>
      <c r="D11" t="s">
        <v>58</v>
      </c>
      <c r="E11" t="s">
        <v>58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58</v>
      </c>
      <c r="L11" t="s">
        <v>58</v>
      </c>
      <c r="M11" t="s">
        <v>58</v>
      </c>
      <c r="N11" t="s">
        <v>58</v>
      </c>
      <c r="O11" t="s">
        <v>58</v>
      </c>
      <c r="P11" t="s">
        <v>58</v>
      </c>
      <c r="Q11" t="s">
        <v>58</v>
      </c>
      <c r="R11" t="s">
        <v>58</v>
      </c>
      <c r="S11" t="s">
        <v>58</v>
      </c>
      <c r="T11" t="s">
        <v>58</v>
      </c>
    </row>
    <row r="12" spans="1:20" x14ac:dyDescent="0.3">
      <c r="A12" s="10" t="s">
        <v>59</v>
      </c>
      <c r="C12" t="s">
        <v>60</v>
      </c>
      <c r="D12" t="s">
        <v>60</v>
      </c>
      <c r="E12" t="s">
        <v>60</v>
      </c>
      <c r="F12" t="s">
        <v>60</v>
      </c>
      <c r="G12" t="s">
        <v>60</v>
      </c>
      <c r="H12" t="s">
        <v>60</v>
      </c>
      <c r="I12" t="s">
        <v>60</v>
      </c>
      <c r="J12" t="s">
        <v>60</v>
      </c>
      <c r="K12" t="s">
        <v>60</v>
      </c>
      <c r="L12" t="s">
        <v>60</v>
      </c>
      <c r="M12" t="s">
        <v>60</v>
      </c>
      <c r="N12" t="s">
        <v>60</v>
      </c>
      <c r="O12" t="s">
        <v>60</v>
      </c>
      <c r="P12" t="s">
        <v>60</v>
      </c>
      <c r="Q12" t="s">
        <v>60</v>
      </c>
      <c r="R12" t="s">
        <v>60</v>
      </c>
      <c r="S12" t="s">
        <v>60</v>
      </c>
      <c r="T12" t="s">
        <v>60</v>
      </c>
    </row>
    <row r="13" spans="1:20" x14ac:dyDescent="0.3">
      <c r="A13" s="11" t="s">
        <v>61</v>
      </c>
      <c r="C13" t="s">
        <v>62</v>
      </c>
      <c r="D13" t="s">
        <v>62</v>
      </c>
      <c r="E13" t="s">
        <v>62</v>
      </c>
      <c r="F13" t="s">
        <v>62</v>
      </c>
      <c r="G13" t="s">
        <v>62</v>
      </c>
      <c r="H13" t="s">
        <v>62</v>
      </c>
      <c r="I13" t="s">
        <v>62</v>
      </c>
      <c r="J13" t="s">
        <v>62</v>
      </c>
      <c r="K13" t="s">
        <v>62</v>
      </c>
      <c r="L13" t="s">
        <v>62</v>
      </c>
      <c r="M13" t="s">
        <v>62</v>
      </c>
      <c r="N13" t="s">
        <v>62</v>
      </c>
      <c r="O13" t="s">
        <v>62</v>
      </c>
      <c r="P13" t="s">
        <v>62</v>
      </c>
      <c r="Q13" t="s">
        <v>62</v>
      </c>
      <c r="R13" t="s">
        <v>62</v>
      </c>
      <c r="S13" t="s">
        <v>62</v>
      </c>
      <c r="T13" t="s">
        <v>62</v>
      </c>
    </row>
    <row r="14" spans="1:20" x14ac:dyDescent="0.3">
      <c r="A14" s="11"/>
    </row>
    <row r="15" spans="1:20" x14ac:dyDescent="0.3">
      <c r="A15" s="11"/>
      <c r="C15" t="str">
        <f>_xlfn.TEXTBEFORE(C7," ")</f>
        <v>Austria</v>
      </c>
      <c r="D15" t="str">
        <f t="shared" ref="D15:S15" si="0">_xlfn.TEXTBEFORE(D7," ")</f>
        <v>Austria</v>
      </c>
      <c r="E15" t="str">
        <f t="shared" si="0"/>
        <v>Austria</v>
      </c>
      <c r="F15" t="str">
        <f t="shared" si="0"/>
        <v>Germany</v>
      </c>
      <c r="G15" t="str">
        <f t="shared" si="0"/>
        <v>Germany</v>
      </c>
      <c r="H15" t="str">
        <f t="shared" si="0"/>
        <v>Germany</v>
      </c>
      <c r="I15" t="str">
        <f t="shared" si="0"/>
        <v>Finland</v>
      </c>
      <c r="J15" t="str">
        <f t="shared" si="0"/>
        <v>Finland</v>
      </c>
      <c r="K15" t="str">
        <f t="shared" si="0"/>
        <v>Finland</v>
      </c>
      <c r="L15" t="str">
        <f t="shared" si="0"/>
        <v>France</v>
      </c>
      <c r="M15" t="str">
        <f t="shared" si="0"/>
        <v>France</v>
      </c>
      <c r="N15" t="str">
        <f t="shared" si="0"/>
        <v>France</v>
      </c>
      <c r="O15" t="str">
        <f t="shared" si="0"/>
        <v>Italy</v>
      </c>
      <c r="P15" t="str">
        <f t="shared" si="0"/>
        <v>Italy</v>
      </c>
      <c r="Q15" t="str">
        <f t="shared" si="0"/>
        <v>Italy</v>
      </c>
      <c r="R15" t="str">
        <f t="shared" si="0"/>
        <v>Netherlands</v>
      </c>
      <c r="S15" t="str">
        <f t="shared" si="0"/>
        <v>Netherlands</v>
      </c>
      <c r="T15" t="str">
        <f t="shared" ref="T15" si="1">_xlfn.TEXTBEFORE(T7," ")</f>
        <v>Netherlands</v>
      </c>
    </row>
    <row r="16" spans="1:20" x14ac:dyDescent="0.3">
      <c r="C16" t="str">
        <f>IF(C4=$C$4,"D_LT",IF(C4=$D$4, "D_ST", "D_residual_maturity_ST"))</f>
        <v>D_LT</v>
      </c>
      <c r="D16" t="str">
        <f t="shared" ref="D16:S16" si="2">IF(D4=$C$4,"D_LT",IF(D4=$D$4, "D_ST", "D_residual_maturity_ST"))</f>
        <v>D_ST</v>
      </c>
      <c r="E16" t="str">
        <f t="shared" si="2"/>
        <v>D_residual_maturity_ST</v>
      </c>
      <c r="F16" t="str">
        <f t="shared" si="2"/>
        <v>D_LT</v>
      </c>
      <c r="G16" t="str">
        <f t="shared" si="2"/>
        <v>D_ST</v>
      </c>
      <c r="H16" t="str">
        <f t="shared" si="2"/>
        <v>D_residual_maturity_ST</v>
      </c>
      <c r="I16" t="str">
        <f t="shared" si="2"/>
        <v>D_LT</v>
      </c>
      <c r="J16" t="str">
        <f t="shared" si="2"/>
        <v>D_ST</v>
      </c>
      <c r="K16" t="str">
        <f t="shared" si="2"/>
        <v>D_residual_maturity_ST</v>
      </c>
      <c r="L16" t="str">
        <f t="shared" si="2"/>
        <v>D_LT</v>
      </c>
      <c r="M16" t="str">
        <f t="shared" si="2"/>
        <v>D_ST</v>
      </c>
      <c r="N16" t="str">
        <f t="shared" si="2"/>
        <v>D_residual_maturity_ST</v>
      </c>
      <c r="O16" t="str">
        <f t="shared" si="2"/>
        <v>D_LT</v>
      </c>
      <c r="P16" t="str">
        <f t="shared" si="2"/>
        <v>D_ST</v>
      </c>
      <c r="Q16" t="str">
        <f t="shared" si="2"/>
        <v>D_residual_maturity_ST</v>
      </c>
      <c r="R16" t="str">
        <f t="shared" si="2"/>
        <v>D_LT</v>
      </c>
      <c r="S16" t="str">
        <f t="shared" si="2"/>
        <v>D_ST</v>
      </c>
      <c r="T16" t="str">
        <f t="shared" ref="T16" si="3">IF(T4=$C$4,"D_LT",IF(T4=$D$4, "D_ST", "D_residual_maturity_ST"))</f>
        <v>D_residual_maturity_ST</v>
      </c>
    </row>
    <row r="17" spans="1:20" x14ac:dyDescent="0.3">
      <c r="A17" s="30" t="s">
        <v>63</v>
      </c>
      <c r="B17" s="31" t="s">
        <v>64</v>
      </c>
      <c r="C17" s="32" t="s">
        <v>65</v>
      </c>
      <c r="D17" s="33" t="s">
        <v>66</v>
      </c>
      <c r="E17" s="34" t="s">
        <v>67</v>
      </c>
      <c r="F17" s="35" t="s">
        <v>68</v>
      </c>
      <c r="G17" s="36" t="s">
        <v>69</v>
      </c>
      <c r="H17" s="37" t="s">
        <v>70</v>
      </c>
      <c r="I17" s="38" t="s">
        <v>71</v>
      </c>
      <c r="J17" s="39" t="s">
        <v>72</v>
      </c>
      <c r="K17" s="40" t="s">
        <v>73</v>
      </c>
      <c r="L17" s="41" t="s">
        <v>74</v>
      </c>
      <c r="M17" s="42" t="s">
        <v>75</v>
      </c>
      <c r="N17" s="43" t="s">
        <v>76</v>
      </c>
      <c r="O17" s="44" t="s">
        <v>77</v>
      </c>
      <c r="P17" s="45" t="s">
        <v>78</v>
      </c>
      <c r="Q17" s="46" t="s">
        <v>79</v>
      </c>
      <c r="R17" s="47" t="s">
        <v>80</v>
      </c>
      <c r="S17" s="48" t="s">
        <v>81</v>
      </c>
      <c r="T17" s="49" t="s">
        <v>82</v>
      </c>
    </row>
    <row r="18" spans="1:20" x14ac:dyDescent="0.3">
      <c r="A18" s="50" t="s">
        <v>83</v>
      </c>
      <c r="B18">
        <v>1991</v>
      </c>
      <c r="F18">
        <v>589891</v>
      </c>
      <c r="G18">
        <v>28327</v>
      </c>
      <c r="H18">
        <v>79971</v>
      </c>
    </row>
    <row r="19" spans="1:20" x14ac:dyDescent="0.3">
      <c r="A19" s="50" t="s">
        <v>84</v>
      </c>
      <c r="B19">
        <v>1992</v>
      </c>
      <c r="F19">
        <v>678017</v>
      </c>
      <c r="G19">
        <v>27550</v>
      </c>
      <c r="H19">
        <v>112169</v>
      </c>
    </row>
    <row r="20" spans="1:20" x14ac:dyDescent="0.3">
      <c r="A20" s="50" t="s">
        <v>85</v>
      </c>
      <c r="B20">
        <v>1993</v>
      </c>
      <c r="F20">
        <v>763133</v>
      </c>
      <c r="G20">
        <v>26437</v>
      </c>
      <c r="H20">
        <v>125455</v>
      </c>
    </row>
    <row r="21" spans="1:20" x14ac:dyDescent="0.3">
      <c r="A21" s="50" t="s">
        <v>86</v>
      </c>
      <c r="B21">
        <v>1994</v>
      </c>
      <c r="F21">
        <v>836050</v>
      </c>
      <c r="G21">
        <v>33663</v>
      </c>
      <c r="H21">
        <v>158948</v>
      </c>
    </row>
    <row r="22" spans="1:20" x14ac:dyDescent="0.3">
      <c r="A22" s="50" t="s">
        <v>87</v>
      </c>
      <c r="B22">
        <v>1995</v>
      </c>
      <c r="C22">
        <v>119016</v>
      </c>
      <c r="D22">
        <v>1634</v>
      </c>
      <c r="E22">
        <v>10067</v>
      </c>
      <c r="F22">
        <v>1017471</v>
      </c>
      <c r="G22">
        <v>25464</v>
      </c>
      <c r="H22">
        <v>172492</v>
      </c>
      <c r="I22">
        <v>48822</v>
      </c>
      <c r="J22">
        <v>5531</v>
      </c>
      <c r="K22">
        <v>10601</v>
      </c>
      <c r="L22">
        <v>589815</v>
      </c>
      <c r="M22">
        <v>111823</v>
      </c>
      <c r="N22">
        <v>186426</v>
      </c>
      <c r="O22">
        <v>890299</v>
      </c>
      <c r="P22">
        <v>289290</v>
      </c>
      <c r="Q22">
        <v>416467</v>
      </c>
      <c r="R22">
        <v>226000</v>
      </c>
      <c r="S22">
        <v>15459</v>
      </c>
    </row>
    <row r="23" spans="1:20" x14ac:dyDescent="0.3">
      <c r="A23" s="50" t="s">
        <v>88</v>
      </c>
      <c r="B23">
        <v>1996</v>
      </c>
      <c r="C23">
        <v>122800</v>
      </c>
      <c r="D23">
        <v>1797</v>
      </c>
      <c r="E23">
        <v>10712</v>
      </c>
      <c r="F23">
        <v>1070870</v>
      </c>
      <c r="G23">
        <v>42319</v>
      </c>
      <c r="H23">
        <v>202764</v>
      </c>
      <c r="I23">
        <v>50976</v>
      </c>
      <c r="J23">
        <v>5482</v>
      </c>
      <c r="K23">
        <v>13063</v>
      </c>
      <c r="L23">
        <v>650231</v>
      </c>
      <c r="M23">
        <v>105354</v>
      </c>
      <c r="N23">
        <v>187371</v>
      </c>
      <c r="O23">
        <v>967901</v>
      </c>
      <c r="P23">
        <v>277830</v>
      </c>
      <c r="Q23">
        <v>438157</v>
      </c>
      <c r="R23">
        <v>228015</v>
      </c>
      <c r="S23">
        <v>18434</v>
      </c>
    </row>
    <row r="24" spans="1:20" x14ac:dyDescent="0.3">
      <c r="A24" s="50" t="s">
        <v>89</v>
      </c>
      <c r="B24">
        <v>1997</v>
      </c>
      <c r="C24">
        <v>117147</v>
      </c>
      <c r="D24">
        <v>2851</v>
      </c>
      <c r="E24">
        <v>12846</v>
      </c>
      <c r="F24">
        <v>1118881</v>
      </c>
      <c r="G24">
        <v>38328</v>
      </c>
      <c r="H24">
        <v>208388</v>
      </c>
      <c r="I24">
        <v>52841</v>
      </c>
      <c r="J24">
        <v>5017</v>
      </c>
      <c r="K24">
        <v>9731</v>
      </c>
      <c r="L24">
        <v>689750</v>
      </c>
      <c r="M24">
        <v>109629</v>
      </c>
      <c r="N24">
        <v>196289</v>
      </c>
      <c r="O24">
        <v>1036700</v>
      </c>
      <c r="P24">
        <v>238978</v>
      </c>
      <c r="Q24">
        <v>452430</v>
      </c>
      <c r="R24">
        <v>228363</v>
      </c>
      <c r="S24">
        <v>14907</v>
      </c>
    </row>
    <row r="25" spans="1:20" x14ac:dyDescent="0.3">
      <c r="A25" s="50" t="s">
        <v>90</v>
      </c>
      <c r="B25">
        <v>1998</v>
      </c>
      <c r="C25">
        <v>124929</v>
      </c>
      <c r="D25">
        <v>722</v>
      </c>
      <c r="E25">
        <v>12207</v>
      </c>
      <c r="F25">
        <v>1158593</v>
      </c>
      <c r="G25">
        <v>43433</v>
      </c>
      <c r="H25">
        <v>155234</v>
      </c>
      <c r="I25">
        <v>53556</v>
      </c>
      <c r="J25">
        <v>2858</v>
      </c>
      <c r="K25">
        <v>5398</v>
      </c>
      <c r="L25">
        <v>736693</v>
      </c>
      <c r="M25">
        <v>99367</v>
      </c>
      <c r="N25">
        <v>191607</v>
      </c>
      <c r="O25">
        <v>1071635</v>
      </c>
      <c r="P25">
        <v>228106</v>
      </c>
      <c r="Q25">
        <v>454433</v>
      </c>
      <c r="R25">
        <v>231637</v>
      </c>
      <c r="S25">
        <v>16238</v>
      </c>
    </row>
    <row r="26" spans="1:20" x14ac:dyDescent="0.3">
      <c r="A26" s="50" t="s">
        <v>91</v>
      </c>
      <c r="B26">
        <v>1999</v>
      </c>
      <c r="C26">
        <v>130537</v>
      </c>
      <c r="D26">
        <v>5679</v>
      </c>
      <c r="E26">
        <v>12031</v>
      </c>
      <c r="F26">
        <v>1211525</v>
      </c>
      <c r="G26">
        <v>42073</v>
      </c>
      <c r="H26">
        <v>170470</v>
      </c>
      <c r="I26">
        <v>54082</v>
      </c>
      <c r="J26">
        <v>1830</v>
      </c>
      <c r="K26">
        <v>8405</v>
      </c>
      <c r="L26">
        <v>772207</v>
      </c>
      <c r="M26">
        <v>84736</v>
      </c>
      <c r="N26">
        <v>181213</v>
      </c>
      <c r="O26">
        <v>1105436</v>
      </c>
      <c r="P26">
        <v>225885</v>
      </c>
      <c r="Q26">
        <v>366021</v>
      </c>
      <c r="R26">
        <v>232245</v>
      </c>
      <c r="S26">
        <v>14355</v>
      </c>
    </row>
    <row r="27" spans="1:20" x14ac:dyDescent="0.3">
      <c r="A27" s="50" t="s">
        <v>92</v>
      </c>
      <c r="B27">
        <v>2000</v>
      </c>
      <c r="C27">
        <v>133724</v>
      </c>
      <c r="D27">
        <v>7820</v>
      </c>
      <c r="E27">
        <v>13154</v>
      </c>
      <c r="F27">
        <v>1224063</v>
      </c>
      <c r="G27">
        <v>37521</v>
      </c>
      <c r="H27">
        <v>169010</v>
      </c>
      <c r="I27">
        <v>56004</v>
      </c>
      <c r="J27">
        <v>5560</v>
      </c>
      <c r="K27">
        <v>11772</v>
      </c>
      <c r="L27">
        <v>796901</v>
      </c>
      <c r="M27">
        <v>83103</v>
      </c>
      <c r="N27">
        <v>182632</v>
      </c>
      <c r="O27">
        <v>1138117</v>
      </c>
      <c r="P27">
        <v>215452</v>
      </c>
      <c r="Q27">
        <v>406996</v>
      </c>
      <c r="R27">
        <v>220689</v>
      </c>
      <c r="S27">
        <v>15544</v>
      </c>
    </row>
    <row r="28" spans="1:20" x14ac:dyDescent="0.3">
      <c r="A28" s="50" t="s">
        <v>93</v>
      </c>
      <c r="B28">
        <v>2001</v>
      </c>
      <c r="C28">
        <v>141603</v>
      </c>
      <c r="D28">
        <v>5899</v>
      </c>
      <c r="E28">
        <v>15757</v>
      </c>
      <c r="F28">
        <v>1220457</v>
      </c>
      <c r="G28">
        <v>54302</v>
      </c>
      <c r="H28">
        <v>203883</v>
      </c>
      <c r="I28">
        <v>55495</v>
      </c>
      <c r="J28">
        <v>7329</v>
      </c>
      <c r="K28">
        <v>11977</v>
      </c>
      <c r="L28">
        <v>828466</v>
      </c>
      <c r="M28">
        <v>79207</v>
      </c>
      <c r="N28">
        <v>182669</v>
      </c>
      <c r="O28">
        <v>1167225</v>
      </c>
      <c r="P28">
        <v>252802</v>
      </c>
      <c r="Q28">
        <v>438889</v>
      </c>
      <c r="R28">
        <v>220195</v>
      </c>
      <c r="S28">
        <v>18842</v>
      </c>
    </row>
    <row r="29" spans="1:20" x14ac:dyDescent="0.3">
      <c r="A29" s="50" t="s">
        <v>94</v>
      </c>
      <c r="B29">
        <v>2002</v>
      </c>
      <c r="C29">
        <v>147675</v>
      </c>
      <c r="D29">
        <v>4125</v>
      </c>
      <c r="E29">
        <v>18695</v>
      </c>
      <c r="F29">
        <v>1266197</v>
      </c>
      <c r="G29">
        <v>63886</v>
      </c>
      <c r="H29">
        <v>224631</v>
      </c>
      <c r="I29">
        <v>55504</v>
      </c>
      <c r="J29">
        <v>7794</v>
      </c>
      <c r="K29">
        <v>15347</v>
      </c>
      <c r="L29">
        <v>850906</v>
      </c>
      <c r="M29">
        <v>115917</v>
      </c>
      <c r="N29">
        <v>222372</v>
      </c>
      <c r="O29">
        <v>1166638</v>
      </c>
      <c r="P29">
        <v>269504</v>
      </c>
      <c r="Q29">
        <v>486445</v>
      </c>
      <c r="R29">
        <v>216945</v>
      </c>
      <c r="S29">
        <v>28308</v>
      </c>
    </row>
    <row r="30" spans="1:20" x14ac:dyDescent="0.3">
      <c r="A30" s="50" t="s">
        <v>95</v>
      </c>
      <c r="B30">
        <v>2003</v>
      </c>
      <c r="C30">
        <v>149463</v>
      </c>
      <c r="D30">
        <v>3644</v>
      </c>
      <c r="E30">
        <v>18834</v>
      </c>
      <c r="F30">
        <v>1344075</v>
      </c>
      <c r="G30">
        <v>75351</v>
      </c>
      <c r="H30">
        <v>215446</v>
      </c>
      <c r="I30">
        <v>59260</v>
      </c>
      <c r="J30">
        <v>9248</v>
      </c>
      <c r="K30">
        <v>15738</v>
      </c>
      <c r="L30">
        <v>916858</v>
      </c>
      <c r="M30">
        <v>143548</v>
      </c>
      <c r="N30">
        <v>258076</v>
      </c>
      <c r="O30">
        <v>1222081</v>
      </c>
      <c r="P30">
        <v>249244</v>
      </c>
      <c r="Q30">
        <v>410442</v>
      </c>
      <c r="R30">
        <v>226232</v>
      </c>
      <c r="S30">
        <v>30590</v>
      </c>
    </row>
    <row r="31" spans="1:20" x14ac:dyDescent="0.3">
      <c r="A31" s="50" t="s">
        <v>96</v>
      </c>
      <c r="B31">
        <v>2004</v>
      </c>
      <c r="C31">
        <v>153893</v>
      </c>
      <c r="D31">
        <v>4653</v>
      </c>
      <c r="E31">
        <v>19581</v>
      </c>
      <c r="F31">
        <v>1416311</v>
      </c>
      <c r="G31">
        <v>73360</v>
      </c>
      <c r="H31">
        <v>232233</v>
      </c>
      <c r="I31">
        <v>60822</v>
      </c>
      <c r="J31">
        <v>10513</v>
      </c>
      <c r="K31">
        <v>11454</v>
      </c>
      <c r="L31">
        <v>991624</v>
      </c>
      <c r="M31">
        <v>142724</v>
      </c>
      <c r="N31">
        <v>266498</v>
      </c>
      <c r="O31">
        <v>1254765</v>
      </c>
      <c r="P31">
        <v>271700</v>
      </c>
      <c r="Q31">
        <v>435338</v>
      </c>
      <c r="R31">
        <v>241373</v>
      </c>
      <c r="S31">
        <v>25288</v>
      </c>
    </row>
    <row r="32" spans="1:20" x14ac:dyDescent="0.3">
      <c r="A32" s="50" t="s">
        <v>97</v>
      </c>
      <c r="B32">
        <v>2005</v>
      </c>
      <c r="C32">
        <v>169667</v>
      </c>
      <c r="D32">
        <v>5537</v>
      </c>
      <c r="E32">
        <v>19681</v>
      </c>
      <c r="F32">
        <v>1482672</v>
      </c>
      <c r="G32">
        <v>78348</v>
      </c>
      <c r="H32">
        <v>238618</v>
      </c>
      <c r="I32">
        <v>63188</v>
      </c>
      <c r="J32">
        <v>6207</v>
      </c>
      <c r="K32">
        <v>13152</v>
      </c>
      <c r="L32">
        <v>1062160</v>
      </c>
      <c r="M32">
        <v>139311</v>
      </c>
      <c r="N32">
        <v>271786</v>
      </c>
      <c r="O32">
        <v>1288336</v>
      </c>
      <c r="P32">
        <v>303331</v>
      </c>
      <c r="Q32">
        <v>468798</v>
      </c>
      <c r="R32">
        <v>248303</v>
      </c>
      <c r="S32">
        <v>26295</v>
      </c>
    </row>
    <row r="33" spans="1:19" x14ac:dyDescent="0.3">
      <c r="A33" s="50" t="s">
        <v>98</v>
      </c>
      <c r="B33">
        <v>2006</v>
      </c>
      <c r="C33">
        <v>175174</v>
      </c>
      <c r="D33">
        <v>6130</v>
      </c>
      <c r="E33">
        <v>23218</v>
      </c>
      <c r="F33">
        <v>1525789</v>
      </c>
      <c r="G33">
        <v>85115</v>
      </c>
      <c r="H33">
        <v>264674</v>
      </c>
      <c r="I33">
        <v>62233</v>
      </c>
      <c r="J33">
        <v>7299</v>
      </c>
      <c r="K33">
        <v>15180</v>
      </c>
      <c r="L33">
        <v>1103746</v>
      </c>
      <c r="M33">
        <v>103568</v>
      </c>
      <c r="N33">
        <v>241111</v>
      </c>
      <c r="O33">
        <v>1332679</v>
      </c>
      <c r="P33">
        <v>324785</v>
      </c>
      <c r="Q33">
        <v>491090</v>
      </c>
      <c r="R33">
        <v>243295</v>
      </c>
      <c r="S33">
        <v>21177</v>
      </c>
    </row>
    <row r="34" spans="1:19" x14ac:dyDescent="0.3">
      <c r="A34" s="50" t="s">
        <v>99</v>
      </c>
      <c r="B34">
        <v>2007</v>
      </c>
      <c r="C34">
        <v>179084</v>
      </c>
      <c r="D34">
        <v>6646</v>
      </c>
      <c r="E34">
        <v>10395</v>
      </c>
      <c r="F34">
        <v>1531036</v>
      </c>
      <c r="G34">
        <v>88029</v>
      </c>
      <c r="H34">
        <v>274639</v>
      </c>
      <c r="I34">
        <v>59601</v>
      </c>
      <c r="J34">
        <v>7739</v>
      </c>
      <c r="K34">
        <v>14276</v>
      </c>
      <c r="L34">
        <v>1144115</v>
      </c>
      <c r="M34">
        <v>124744</v>
      </c>
      <c r="N34">
        <v>267294</v>
      </c>
      <c r="O34">
        <v>1358749</v>
      </c>
      <c r="P34">
        <v>319133</v>
      </c>
      <c r="Q34">
        <v>477013</v>
      </c>
      <c r="R34">
        <v>236942</v>
      </c>
      <c r="S34">
        <v>29603</v>
      </c>
    </row>
    <row r="35" spans="1:19" x14ac:dyDescent="0.3">
      <c r="A35" s="50" t="s">
        <v>100</v>
      </c>
      <c r="B35">
        <v>2008</v>
      </c>
      <c r="C35">
        <v>190290</v>
      </c>
      <c r="D35">
        <v>12625</v>
      </c>
      <c r="E35">
        <v>25929</v>
      </c>
      <c r="F35">
        <v>1569380</v>
      </c>
      <c r="G35">
        <v>118062</v>
      </c>
      <c r="H35">
        <v>282093</v>
      </c>
      <c r="I35">
        <v>58592</v>
      </c>
      <c r="J35">
        <v>8843</v>
      </c>
      <c r="K35">
        <v>14644</v>
      </c>
      <c r="L35">
        <v>1193264</v>
      </c>
      <c r="M35">
        <v>196138</v>
      </c>
      <c r="N35">
        <v>345379</v>
      </c>
      <c r="O35">
        <v>1386731</v>
      </c>
      <c r="P35">
        <v>352349</v>
      </c>
      <c r="Q35">
        <v>534164</v>
      </c>
      <c r="R35">
        <v>256264</v>
      </c>
      <c r="S35">
        <v>97602</v>
      </c>
    </row>
    <row r="36" spans="1:19" x14ac:dyDescent="0.3">
      <c r="A36" s="50" t="s">
        <v>101</v>
      </c>
      <c r="B36">
        <v>2009</v>
      </c>
      <c r="C36">
        <v>218822</v>
      </c>
      <c r="D36">
        <v>12350</v>
      </c>
      <c r="E36">
        <v>20148</v>
      </c>
      <c r="F36">
        <v>1640903</v>
      </c>
      <c r="G36">
        <v>163793</v>
      </c>
      <c r="H36">
        <v>323991</v>
      </c>
      <c r="I36">
        <v>65519</v>
      </c>
      <c r="J36">
        <v>14681</v>
      </c>
      <c r="K36">
        <v>18860</v>
      </c>
      <c r="L36">
        <v>1349217</v>
      </c>
      <c r="M36">
        <v>277965</v>
      </c>
      <c r="N36">
        <v>411347</v>
      </c>
      <c r="O36">
        <v>1481868</v>
      </c>
      <c r="P36">
        <v>357896</v>
      </c>
      <c r="Q36">
        <v>546936</v>
      </c>
      <c r="R36">
        <v>284856</v>
      </c>
      <c r="S36">
        <v>70201</v>
      </c>
    </row>
    <row r="37" spans="1:19" x14ac:dyDescent="0.3">
      <c r="A37" s="50" t="s">
        <v>102</v>
      </c>
      <c r="B37">
        <v>2010</v>
      </c>
      <c r="C37">
        <v>233770</v>
      </c>
      <c r="D37">
        <v>12215</v>
      </c>
      <c r="E37">
        <v>17652</v>
      </c>
      <c r="F37">
        <v>1807879</v>
      </c>
      <c r="G37">
        <v>311363</v>
      </c>
      <c r="H37">
        <v>587716</v>
      </c>
      <c r="I37">
        <v>79611</v>
      </c>
      <c r="J37">
        <v>14675</v>
      </c>
      <c r="K37">
        <v>20929</v>
      </c>
      <c r="L37">
        <v>1456366</v>
      </c>
      <c r="M37">
        <v>265804</v>
      </c>
      <c r="N37">
        <v>411245</v>
      </c>
      <c r="O37">
        <v>1566817</v>
      </c>
      <c r="P37">
        <v>354582</v>
      </c>
      <c r="Q37">
        <v>530234</v>
      </c>
      <c r="R37">
        <v>311575</v>
      </c>
      <c r="S37">
        <v>67468</v>
      </c>
    </row>
    <row r="38" spans="1:19" x14ac:dyDescent="0.3">
      <c r="A38" s="50" t="s">
        <v>103</v>
      </c>
      <c r="B38">
        <v>2011</v>
      </c>
      <c r="C38">
        <v>246140</v>
      </c>
      <c r="D38">
        <v>10736</v>
      </c>
      <c r="E38">
        <v>23708</v>
      </c>
      <c r="F38">
        <v>1855625</v>
      </c>
      <c r="G38">
        <v>300250</v>
      </c>
      <c r="H38">
        <v>575131</v>
      </c>
      <c r="I38">
        <v>90488</v>
      </c>
      <c r="J38">
        <v>12341</v>
      </c>
      <c r="K38">
        <v>15888</v>
      </c>
      <c r="L38">
        <v>1562045</v>
      </c>
      <c r="M38">
        <v>268089</v>
      </c>
      <c r="N38">
        <v>420854</v>
      </c>
      <c r="O38">
        <v>1618293</v>
      </c>
      <c r="P38">
        <v>356072</v>
      </c>
      <c r="Q38">
        <v>557769</v>
      </c>
      <c r="R38">
        <v>338359</v>
      </c>
      <c r="S38">
        <v>63220</v>
      </c>
    </row>
    <row r="39" spans="1:19" x14ac:dyDescent="0.3">
      <c r="A39" s="50" t="s">
        <v>104</v>
      </c>
      <c r="B39">
        <v>2012</v>
      </c>
      <c r="C39">
        <v>252111</v>
      </c>
      <c r="D39">
        <v>10454</v>
      </c>
      <c r="E39">
        <v>27157</v>
      </c>
      <c r="F39">
        <v>1991117</v>
      </c>
      <c r="G39">
        <v>243686</v>
      </c>
      <c r="H39">
        <v>532958</v>
      </c>
      <c r="I39">
        <v>102865</v>
      </c>
      <c r="J39">
        <v>13066</v>
      </c>
      <c r="K39">
        <v>13385</v>
      </c>
      <c r="L39">
        <v>1676167</v>
      </c>
      <c r="M39">
        <v>239666</v>
      </c>
      <c r="N39">
        <v>406795</v>
      </c>
      <c r="O39">
        <v>1669248</v>
      </c>
      <c r="P39">
        <v>386551</v>
      </c>
      <c r="Q39">
        <v>556757</v>
      </c>
      <c r="R39">
        <v>372127</v>
      </c>
      <c r="S39">
        <v>60596</v>
      </c>
    </row>
    <row r="40" spans="1:19" x14ac:dyDescent="0.3">
      <c r="A40" s="50" t="s">
        <v>105</v>
      </c>
      <c r="B40">
        <v>2013</v>
      </c>
      <c r="C40">
        <v>253950</v>
      </c>
      <c r="D40">
        <v>10811</v>
      </c>
      <c r="E40">
        <v>32420</v>
      </c>
      <c r="F40">
        <v>2021050</v>
      </c>
      <c r="G40">
        <v>199231</v>
      </c>
      <c r="H40">
        <v>491130</v>
      </c>
      <c r="I40">
        <v>113439</v>
      </c>
      <c r="J40">
        <v>10311</v>
      </c>
      <c r="K40">
        <v>12406</v>
      </c>
      <c r="L40">
        <v>1761435</v>
      </c>
      <c r="M40">
        <v>243523</v>
      </c>
      <c r="N40">
        <v>410516</v>
      </c>
      <c r="O40">
        <v>1766314</v>
      </c>
      <c r="P40">
        <v>371352</v>
      </c>
      <c r="Q40">
        <v>574639</v>
      </c>
      <c r="R40">
        <v>394396</v>
      </c>
      <c r="S40">
        <v>52897</v>
      </c>
    </row>
    <row r="41" spans="1:19" x14ac:dyDescent="0.3">
      <c r="A41" s="50" t="s">
        <v>106</v>
      </c>
      <c r="B41">
        <v>2014</v>
      </c>
      <c r="C41">
        <v>268319</v>
      </c>
      <c r="D41">
        <v>12971</v>
      </c>
      <c r="E41">
        <v>26372</v>
      </c>
      <c r="F41">
        <v>2040940</v>
      </c>
      <c r="G41">
        <v>183619</v>
      </c>
      <c r="H41">
        <v>483814</v>
      </c>
      <c r="I41">
        <v>122149</v>
      </c>
      <c r="J41">
        <v>11271</v>
      </c>
      <c r="K41">
        <v>13603</v>
      </c>
      <c r="L41">
        <v>1826933</v>
      </c>
      <c r="M41">
        <v>244191</v>
      </c>
      <c r="N41">
        <v>426582</v>
      </c>
      <c r="O41">
        <v>1836755</v>
      </c>
      <c r="P41">
        <v>368320</v>
      </c>
      <c r="Q41">
        <v>581229</v>
      </c>
      <c r="R41">
        <v>405451</v>
      </c>
      <c r="S41">
        <v>50632</v>
      </c>
    </row>
    <row r="42" spans="1:19" x14ac:dyDescent="0.3">
      <c r="A42" s="50" t="s">
        <v>107</v>
      </c>
      <c r="B42">
        <v>2015</v>
      </c>
      <c r="C42">
        <v>281577</v>
      </c>
      <c r="D42">
        <v>11296</v>
      </c>
      <c r="E42">
        <v>28716</v>
      </c>
      <c r="F42">
        <v>2025584</v>
      </c>
      <c r="G42">
        <v>171890</v>
      </c>
      <c r="H42">
        <v>475643</v>
      </c>
      <c r="I42">
        <v>129948</v>
      </c>
      <c r="J42">
        <v>14589</v>
      </c>
      <c r="K42">
        <v>16918</v>
      </c>
      <c r="L42">
        <v>1905744</v>
      </c>
      <c r="M42">
        <v>229127</v>
      </c>
      <c r="N42">
        <v>416548</v>
      </c>
      <c r="O42">
        <v>1876056</v>
      </c>
      <c r="P42">
        <v>365846</v>
      </c>
      <c r="Q42">
        <v>557146</v>
      </c>
      <c r="R42">
        <v>403959</v>
      </c>
      <c r="S42">
        <v>42315</v>
      </c>
    </row>
    <row r="43" spans="1:19" x14ac:dyDescent="0.3">
      <c r="A43" s="50" t="s">
        <v>108</v>
      </c>
      <c r="B43">
        <v>2016</v>
      </c>
      <c r="C43">
        <v>283494</v>
      </c>
      <c r="D43">
        <v>13199</v>
      </c>
      <c r="E43">
        <v>31400</v>
      </c>
      <c r="F43">
        <v>1999835</v>
      </c>
      <c r="G43">
        <v>182540</v>
      </c>
      <c r="H43">
        <v>452970</v>
      </c>
      <c r="I43">
        <v>136299</v>
      </c>
      <c r="J43">
        <v>11789</v>
      </c>
      <c r="K43">
        <v>19493</v>
      </c>
      <c r="L43">
        <v>1974886</v>
      </c>
      <c r="M43">
        <v>215639</v>
      </c>
      <c r="N43">
        <v>388091</v>
      </c>
      <c r="O43">
        <v>1937900</v>
      </c>
      <c r="P43">
        <v>350695</v>
      </c>
      <c r="Q43">
        <v>573567</v>
      </c>
      <c r="R43">
        <v>394073</v>
      </c>
      <c r="S43">
        <v>44422</v>
      </c>
    </row>
    <row r="44" spans="1:19" x14ac:dyDescent="0.3">
      <c r="A44" s="50" t="s">
        <v>109</v>
      </c>
      <c r="B44">
        <v>2017</v>
      </c>
      <c r="C44">
        <v>283418</v>
      </c>
      <c r="D44">
        <v>6955</v>
      </c>
      <c r="E44">
        <v>27777</v>
      </c>
      <c r="F44">
        <v>1980588</v>
      </c>
      <c r="G44">
        <v>152196</v>
      </c>
      <c r="H44">
        <v>432028</v>
      </c>
      <c r="I44">
        <v>135331</v>
      </c>
      <c r="J44">
        <v>14280</v>
      </c>
      <c r="K44">
        <v>17304</v>
      </c>
      <c r="L44">
        <v>2052007</v>
      </c>
      <c r="M44">
        <v>211278</v>
      </c>
      <c r="N44">
        <v>385929</v>
      </c>
      <c r="O44">
        <v>1983418</v>
      </c>
      <c r="P44">
        <v>349684</v>
      </c>
      <c r="Q44">
        <v>541928</v>
      </c>
      <c r="R44">
        <v>381838</v>
      </c>
      <c r="S44">
        <v>38606</v>
      </c>
    </row>
    <row r="45" spans="1:19" x14ac:dyDescent="0.3">
      <c r="A45" s="50" t="s">
        <v>110</v>
      </c>
      <c r="B45">
        <v>2018</v>
      </c>
      <c r="C45">
        <v>277244</v>
      </c>
      <c r="D45">
        <v>8596</v>
      </c>
      <c r="E45">
        <v>39493</v>
      </c>
      <c r="F45">
        <v>1939692</v>
      </c>
      <c r="G45">
        <v>146740</v>
      </c>
      <c r="H45">
        <v>417043</v>
      </c>
      <c r="I45">
        <v>140410</v>
      </c>
      <c r="J45">
        <v>11159</v>
      </c>
      <c r="K45">
        <v>15853</v>
      </c>
      <c r="L45">
        <v>2128841</v>
      </c>
      <c r="M45">
        <v>191896</v>
      </c>
      <c r="N45">
        <v>386416</v>
      </c>
      <c r="O45">
        <v>2030101</v>
      </c>
      <c r="P45">
        <v>355602</v>
      </c>
      <c r="Q45">
        <v>563457</v>
      </c>
      <c r="R45">
        <v>367061</v>
      </c>
      <c r="S45">
        <v>38979</v>
      </c>
    </row>
    <row r="46" spans="1:19" x14ac:dyDescent="0.3">
      <c r="A46" s="50" t="s">
        <v>111</v>
      </c>
      <c r="B46">
        <v>2019</v>
      </c>
      <c r="C46">
        <v>270739</v>
      </c>
      <c r="D46">
        <v>10236</v>
      </c>
      <c r="E46">
        <v>34743</v>
      </c>
      <c r="F46">
        <v>1937183</v>
      </c>
      <c r="G46">
        <v>138560</v>
      </c>
      <c r="H46">
        <v>423720</v>
      </c>
      <c r="I46">
        <v>142618</v>
      </c>
      <c r="J46">
        <v>13209</v>
      </c>
      <c r="K46">
        <v>23834</v>
      </c>
      <c r="L46">
        <v>2188507</v>
      </c>
      <c r="M46">
        <v>198891</v>
      </c>
      <c r="N46">
        <v>401974</v>
      </c>
      <c r="O46">
        <v>2064310</v>
      </c>
      <c r="P46">
        <v>351303</v>
      </c>
      <c r="Q46">
        <v>559007</v>
      </c>
      <c r="R46">
        <v>360312</v>
      </c>
      <c r="S46">
        <v>35129</v>
      </c>
    </row>
    <row r="47" spans="1:19" x14ac:dyDescent="0.3">
      <c r="A47" s="50" t="s">
        <v>112</v>
      </c>
      <c r="B47">
        <v>2020</v>
      </c>
      <c r="C47">
        <v>290640</v>
      </c>
      <c r="D47">
        <v>25720</v>
      </c>
      <c r="E47">
        <v>60926</v>
      </c>
      <c r="F47">
        <v>2070285</v>
      </c>
      <c r="G47">
        <v>277473</v>
      </c>
      <c r="H47">
        <v>534736</v>
      </c>
      <c r="I47">
        <v>152429</v>
      </c>
      <c r="J47">
        <v>25611</v>
      </c>
      <c r="K47">
        <v>26549</v>
      </c>
      <c r="L47">
        <v>2341937</v>
      </c>
      <c r="M47">
        <v>321915</v>
      </c>
      <c r="N47">
        <v>504590</v>
      </c>
      <c r="O47">
        <v>2211626</v>
      </c>
      <c r="P47">
        <v>366526</v>
      </c>
      <c r="Q47">
        <v>589362</v>
      </c>
      <c r="R47">
        <v>388416</v>
      </c>
      <c r="S47">
        <v>47707</v>
      </c>
    </row>
    <row r="48" spans="1:19" x14ac:dyDescent="0.3">
      <c r="A48" s="50" t="s">
        <v>113</v>
      </c>
      <c r="B48">
        <v>2021</v>
      </c>
      <c r="C48">
        <v>313224</v>
      </c>
      <c r="D48">
        <v>21489</v>
      </c>
      <c r="E48">
        <v>69460</v>
      </c>
      <c r="F48">
        <v>2197576</v>
      </c>
      <c r="G48">
        <v>306080</v>
      </c>
      <c r="H48">
        <v>565424</v>
      </c>
      <c r="I48">
        <v>164300</v>
      </c>
      <c r="J48">
        <v>17796</v>
      </c>
      <c r="K48">
        <v>24632</v>
      </c>
      <c r="L48">
        <v>2538396</v>
      </c>
      <c r="M48">
        <v>290385</v>
      </c>
      <c r="N48">
        <v>497720</v>
      </c>
      <c r="O48">
        <v>2335164</v>
      </c>
      <c r="P48">
        <v>351441</v>
      </c>
      <c r="Q48">
        <v>583310</v>
      </c>
      <c r="R48">
        <v>415351</v>
      </c>
      <c r="S48">
        <v>34888</v>
      </c>
    </row>
    <row r="49" spans="1:19" x14ac:dyDescent="0.3">
      <c r="A49" s="50" t="s">
        <v>114</v>
      </c>
      <c r="B49">
        <v>2022</v>
      </c>
      <c r="C49">
        <v>327974</v>
      </c>
      <c r="D49">
        <v>23157</v>
      </c>
      <c r="E49">
        <v>55472</v>
      </c>
      <c r="F49">
        <v>2286804</v>
      </c>
      <c r="G49">
        <v>284043</v>
      </c>
      <c r="H49">
        <v>573176</v>
      </c>
      <c r="I49">
        <v>173446</v>
      </c>
      <c r="J49">
        <v>23569</v>
      </c>
      <c r="K49">
        <v>30399</v>
      </c>
      <c r="L49">
        <v>2713596</v>
      </c>
      <c r="M49">
        <v>242043</v>
      </c>
      <c r="N49">
        <v>459452</v>
      </c>
      <c r="O49">
        <v>2402285</v>
      </c>
      <c r="P49">
        <v>361952</v>
      </c>
      <c r="Q49">
        <v>625152</v>
      </c>
      <c r="R49">
        <v>428227</v>
      </c>
      <c r="S49">
        <v>52918</v>
      </c>
    </row>
    <row r="50" spans="1:19" x14ac:dyDescent="0.3">
      <c r="A50" s="50" t="s">
        <v>115</v>
      </c>
      <c r="B50">
        <v>2023</v>
      </c>
      <c r="C50">
        <v>348453</v>
      </c>
      <c r="D50">
        <v>23067</v>
      </c>
      <c r="E50">
        <v>50204</v>
      </c>
      <c r="F50">
        <v>2400108</v>
      </c>
      <c r="G50">
        <v>231996</v>
      </c>
      <c r="H50">
        <v>515175</v>
      </c>
      <c r="I50">
        <v>184196</v>
      </c>
      <c r="J50">
        <v>27343</v>
      </c>
      <c r="K50">
        <v>33164</v>
      </c>
      <c r="L50">
        <v>2854402</v>
      </c>
      <c r="M50">
        <v>248139</v>
      </c>
      <c r="N50">
        <v>476267</v>
      </c>
      <c r="O50">
        <v>2512990</v>
      </c>
      <c r="P50">
        <v>356658</v>
      </c>
      <c r="Q50">
        <v>626343</v>
      </c>
      <c r="R50">
        <v>440135</v>
      </c>
      <c r="S50">
        <v>42093</v>
      </c>
    </row>
    <row r="51" spans="1:19" x14ac:dyDescent="0.3">
      <c r="A51" s="50" t="s">
        <v>116</v>
      </c>
      <c r="B51">
        <v>2024</v>
      </c>
      <c r="C51">
        <v>371911</v>
      </c>
      <c r="D51">
        <v>22220</v>
      </c>
      <c r="E51">
        <v>52508</v>
      </c>
      <c r="F51">
        <v>2492041</v>
      </c>
      <c r="G51">
        <v>196839</v>
      </c>
      <c r="H51">
        <v>477415</v>
      </c>
      <c r="I51">
        <v>203380</v>
      </c>
      <c r="J51">
        <v>23321</v>
      </c>
      <c r="K51">
        <v>32910</v>
      </c>
      <c r="L51">
        <v>2997726</v>
      </c>
      <c r="M51">
        <v>307561</v>
      </c>
      <c r="N51">
        <v>546669</v>
      </c>
      <c r="O51">
        <v>2622408</v>
      </c>
      <c r="P51">
        <v>344189</v>
      </c>
      <c r="Q51">
        <v>583293</v>
      </c>
      <c r="R51">
        <v>442208</v>
      </c>
      <c r="S51">
        <v>49377</v>
      </c>
    </row>
  </sheetData>
  <hyperlinks>
    <hyperlink ref="A1" r:id="rId1" xr:uid="{00000000-0004-0000-0000-000000000000}"/>
    <hyperlink ref="A1" r:id="rId2" xr:uid="{00000000-0004-0000-0000-000001000000}"/>
    <hyperlink ref="C6" r:id="rId3" xr:uid="{00000000-0004-0000-0000-000002000000}"/>
    <hyperlink ref="D6" r:id="rId4" xr:uid="{00000000-0004-0000-0000-000003000000}"/>
    <hyperlink ref="E6" r:id="rId5" xr:uid="{00000000-0004-0000-0000-000004000000}"/>
    <hyperlink ref="F6" r:id="rId6" xr:uid="{00000000-0004-0000-0000-000005000000}"/>
    <hyperlink ref="G6" r:id="rId7" xr:uid="{00000000-0004-0000-0000-000006000000}"/>
    <hyperlink ref="H6" r:id="rId8" xr:uid="{00000000-0004-0000-0000-000007000000}"/>
    <hyperlink ref="I6" r:id="rId9" xr:uid="{00000000-0004-0000-0000-000008000000}"/>
    <hyperlink ref="J6" r:id="rId10" xr:uid="{00000000-0004-0000-0000-000009000000}"/>
    <hyperlink ref="K6" r:id="rId11" xr:uid="{00000000-0004-0000-0000-00000A000000}"/>
    <hyperlink ref="L6" r:id="rId12" xr:uid="{00000000-0004-0000-0000-00000B000000}"/>
    <hyperlink ref="M6" r:id="rId13" xr:uid="{00000000-0004-0000-0000-00000C000000}"/>
    <hyperlink ref="N6" r:id="rId14" xr:uid="{00000000-0004-0000-0000-00000D000000}"/>
    <hyperlink ref="O6" r:id="rId15" xr:uid="{00000000-0004-0000-0000-00000E000000}"/>
    <hyperlink ref="P6" r:id="rId16" xr:uid="{00000000-0004-0000-0000-00000F000000}"/>
    <hyperlink ref="Q6" r:id="rId17" xr:uid="{00000000-0004-0000-0000-000010000000}"/>
    <hyperlink ref="R6" r:id="rId18" xr:uid="{00000000-0004-0000-0000-000011000000}"/>
    <hyperlink ref="S6" r:id="rId19" xr:uid="{00000000-0004-0000-0000-000012000000}"/>
    <hyperlink ref="T6" r:id="rId20" xr:uid="{00000000-0004-0000-0000-000013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343564E0-87B6-4D1B-BAD8-4F5F5855E800}"/>
</file>

<file path=customXml/itemProps2.xml><?xml version="1.0" encoding="utf-8"?>
<ds:datastoreItem xmlns:ds="http://schemas.openxmlformats.org/officeDocument/2006/customXml" ds:itemID="{6CE658FF-50DB-4F31-8CAF-3340FB8C7A4F}"/>
</file>

<file path=customXml/itemProps3.xml><?xml version="1.0" encoding="utf-8"?>
<ds:datastoreItem xmlns:ds="http://schemas.openxmlformats.org/officeDocument/2006/customXml" ds:itemID="{7182CC89-6766-4347-A701-0A3B171E2DB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Sven von Wangenheim</cp:lastModifiedBy>
  <dcterms:created xsi:type="dcterms:W3CDTF">2025-08-12T14:39:32Z</dcterms:created>
  <dcterms:modified xsi:type="dcterms:W3CDTF">2025-08-12T14:59:14Z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