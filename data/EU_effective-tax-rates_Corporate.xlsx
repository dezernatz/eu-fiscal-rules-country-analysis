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0" documentId="8_{76C25712-CF82-404A-BB25-355ECB139AE5}" xr6:coauthVersionLast="47" xr6:coauthVersionMax="47" xr10:uidLastSave="{00000000-0000-0000-0000-000000000000}"/>
  <bookViews>
    <workbookView minimized="1" xWindow="348" yWindow="348" windowWidth="23736" windowHeight="16560" xr2:uid="{00000000-000D-0000-FFFF-FFFF00000000}"/>
  </bookViews>
  <sheets>
    <sheet name="Table 8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/>
  <c r="G5" i="1"/>
  <c r="H5" i="1"/>
  <c r="I5" i="1"/>
  <c r="J5" i="1"/>
  <c r="K5" i="1"/>
  <c r="L5" i="1"/>
  <c r="M5" i="1"/>
  <c r="N5" i="1"/>
  <c r="C5" i="1"/>
  <c r="B5" i="1"/>
  <c r="C4" i="1"/>
  <c r="D4" i="1"/>
  <c r="E4" i="1"/>
  <c r="F4" i="1"/>
  <c r="G4" i="1"/>
  <c r="H4" i="1"/>
  <c r="I4" i="1"/>
  <c r="J4" i="1"/>
  <c r="K4" i="1"/>
  <c r="L4" i="1"/>
  <c r="M4" i="1"/>
  <c r="N4" i="1"/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B4" i="1" l="1"/>
  <c r="O4" i="1" l="1"/>
  <c r="O5" i="1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0">
    <s v="ThisWorkbookDataModel"/>
    <s v="[Annex_A_TTR_data].[TIME].&amp;[2018]"/>
    <s v="[geo - TTR].[description].&amp;[EU-28]"/>
    <s v="[Annex_A_TTR_data].[Indicator].&amp;[TC]"/>
    <s v="[Measures].[Sum of Value]"/>
    <s v="[geo - TTR].[description].&amp;[EA-19]"/>
    <s v="[geo - TTR].[protocol order].&amp;[1.]"/>
    <s v="[geo - TTR].[description].&amp;[Belgium]"/>
    <s v="[geo - TTR].[protocol order].&amp;[2.]"/>
    <s v="[geo - TTR].[description].&amp;[Bulgaria]"/>
    <s v="[geo - TTR].[protocol order].&amp;[3.]"/>
    <s v="[geo - TTR].[description].&amp;[Czechia]"/>
    <s v="[geo - TTR].[protocol order].&amp;[4.]"/>
    <s v="[geo - TTR].[description].&amp;[Denmark]"/>
    <s v="[geo - TTR].[protocol order].&amp;[5.]"/>
    <s v="[geo - TTR].[description].&amp;[Germany]"/>
    <s v="[geo - TTR].[protocol order].&amp;[6.]"/>
    <s v="[geo - TTR].[description].&amp;[Estonia]"/>
    <s v="[geo - TTR].[protocol order].&amp;[7.]"/>
    <s v="[geo - TTR].[description].&amp;[Ireland]"/>
    <s v="[geo - TTR].[protocol order].&amp;[8.]"/>
    <s v="[geo - TTR].[description].&amp;[Greece]"/>
    <s v="[geo - TTR].[protocol order].&amp;[9.]"/>
    <s v="[geo - TTR].[description].&amp;[Spain]"/>
    <s v="[geo - TTR].[protocol order].&amp;[1.E1]"/>
    <s v="[geo - TTR].[description].&amp;[France]"/>
    <s v="[geo - TTR].[protocol order].&amp;[1.1E1]"/>
    <s v="[geo - TTR].[description].&amp;[Croatia]"/>
    <s v="[geo - TTR].[protocol order].&amp;[1.2E1]"/>
    <s v="[geo - TTR].[description].&amp;[Italy]"/>
    <s v="[geo - TTR].[protocol order].&amp;[1.3E1]"/>
    <s v="[geo - TTR].[description].&amp;[Cyprus]"/>
    <s v="[geo - TTR].[protocol order].&amp;[1.4E1]"/>
    <s v="[geo - TTR].[description].&amp;[Latvia]"/>
    <s v="[geo - TTR].[protocol order].&amp;[1.5E1]"/>
    <s v="[geo - TTR].[description].&amp;[Lithuania]"/>
    <s v="[geo - TTR].[protocol order].&amp;[1.6E1]"/>
    <s v="[geo - TTR].[description].&amp;[Luxembourg]"/>
    <s v="[geo - TTR].[protocol order].&amp;[1.7E1]"/>
    <s v="[geo - TTR].[description].&amp;[Hungary]"/>
    <s v="[geo - TTR].[protocol order].&amp;[1.8E1]"/>
    <s v="[geo - TTR].[description].&amp;[Malta]"/>
    <s v="[geo - TTR].[protocol order].&amp;[1.9E1]"/>
    <s v="[geo - TTR].[description].&amp;[Netherlands]"/>
    <s v="[geo - TTR].[protocol order].&amp;[2.E1]"/>
    <s v="[geo - TTR].[description].&amp;[Austria]"/>
    <s v="[geo - TTR].[protocol order].&amp;[2.1E1]"/>
    <s v="[geo - TTR].[description].&amp;[Poland]"/>
    <s v="[geo - TTR].[protocol order].&amp;[2.2E1]"/>
    <s v="[geo - TTR].[description].&amp;[Portugal]"/>
    <s v="[geo - TTR].[protocol order].&amp;[2.3E1]"/>
    <s v="[geo - TTR].[description].&amp;[Romania]"/>
    <s v="[geo - TTR].[protocol order].&amp;[2.4E1]"/>
    <s v="[geo - TTR].[description].&amp;[Slovenia]"/>
    <s v="[geo - TTR].[protocol order].&amp;[2.5E1]"/>
    <s v="[geo - TTR].[description].&amp;[Slovakia]"/>
    <s v="[geo - TTR].[protocol order].&amp;[2.6E1]"/>
    <s v="[geo - TTR].[description].&amp;[Finland]"/>
    <s v="[geo - TTR].[protocol order].&amp;[2.7E1]"/>
    <s v="[geo - TTR].[description].&amp;[Sweden]"/>
  </metadataStrings>
  <mdxMetadata count="29">
    <mdx n="0" f="v">
      <t c="4">
        <n x="3"/>
        <n x="4"/>
        <n x="2"/>
        <n x="1"/>
      </t>
    </mdx>
    <mdx n="0" f="v">
      <t c="4">
        <n x="3"/>
        <n x="4"/>
        <n x="5"/>
        <n x="1"/>
      </t>
    </mdx>
    <mdx n="0" f="m">
      <t c="2">
        <n x="6"/>
        <n x="7"/>
      </t>
    </mdx>
    <mdx n="0" f="m">
      <t c="2">
        <n x="8"/>
        <n x="9"/>
      </t>
    </mdx>
    <mdx n="0" f="m">
      <t c="2">
        <n x="10"/>
        <n x="11"/>
      </t>
    </mdx>
    <mdx n="0" f="m">
      <t c="2">
        <n x="12"/>
        <n x="13"/>
      </t>
    </mdx>
    <mdx n="0" f="m">
      <t c="2">
        <n x="14"/>
        <n x="15"/>
      </t>
    </mdx>
    <mdx n="0" f="m">
      <t c="2">
        <n x="16"/>
        <n x="17"/>
      </t>
    </mdx>
    <mdx n="0" f="m">
      <t c="2">
        <n x="18"/>
        <n x="19"/>
      </t>
    </mdx>
    <mdx n="0" f="m">
      <t c="2">
        <n x="20"/>
        <n x="21"/>
      </t>
    </mdx>
    <mdx n="0" f="m">
      <t c="2">
        <n x="22"/>
        <n x="23"/>
      </t>
    </mdx>
    <mdx n="0" f="m">
      <t c="2">
        <n x="24"/>
        <n x="25"/>
      </t>
    </mdx>
    <mdx n="0" f="m">
      <t c="2">
        <n x="26"/>
        <n x="27"/>
      </t>
    </mdx>
    <mdx n="0" f="m">
      <t c="2">
        <n x="28"/>
        <n x="29"/>
      </t>
    </mdx>
    <mdx n="0" f="m">
      <t c="2">
        <n x="30"/>
        <n x="31"/>
      </t>
    </mdx>
    <mdx n="0" f="m">
      <t c="2">
        <n x="32"/>
        <n x="33"/>
      </t>
    </mdx>
    <mdx n="0" f="m">
      <t c="2">
        <n x="34"/>
        <n x="35"/>
      </t>
    </mdx>
    <mdx n="0" f="m">
      <t c="2">
        <n x="36"/>
        <n x="37"/>
      </t>
    </mdx>
    <mdx n="0" f="m">
      <t c="2">
        <n x="38"/>
        <n x="39"/>
      </t>
    </mdx>
    <mdx n="0" f="m">
      <t c="2">
        <n x="40"/>
        <n x="41"/>
      </t>
    </mdx>
    <mdx n="0" f="m">
      <t c="2">
        <n x="42"/>
        <n x="43"/>
      </t>
    </mdx>
    <mdx n="0" f="m">
      <t c="2">
        <n x="44"/>
        <n x="45"/>
      </t>
    </mdx>
    <mdx n="0" f="m">
      <t c="2">
        <n x="46"/>
        <n x="47"/>
      </t>
    </mdx>
    <mdx n="0" f="m">
      <t c="2">
        <n x="48"/>
        <n x="49"/>
      </t>
    </mdx>
    <mdx n="0" f="m">
      <t c="2">
        <n x="50"/>
        <n x="51"/>
      </t>
    </mdx>
    <mdx n="0" f="m">
      <t c="2">
        <n x="52"/>
        <n x="53"/>
      </t>
    </mdx>
    <mdx n="0" f="m">
      <t c="2">
        <n x="54"/>
        <n x="55"/>
      </t>
    </mdx>
    <mdx n="0" f="m">
      <t c="2">
        <n x="56"/>
        <n x="57"/>
      </t>
    </mdx>
    <mdx n="0" f="m">
      <t c="2">
        <n x="58"/>
        <n x="59"/>
      </t>
    </mdx>
  </mdxMetadata>
  <valueMetadata count="2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</valueMetadata>
</metadata>
</file>

<file path=xl/sharedStrings.xml><?xml version="1.0" encoding="utf-8"?>
<sst xmlns="http://schemas.openxmlformats.org/spreadsheetml/2006/main" count="37" uniqueCount="36">
  <si>
    <t/>
  </si>
  <si>
    <t>EU-27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</si>
  <si>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</si>
  <si>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</si>
  <si>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</si>
  <si>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</si>
  <si>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</si>
  <si>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</si>
  <si>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</si>
  <si>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</si>
  <si>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</si>
  <si>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</si>
  <si>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</si>
  <si>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</si>
  <si>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</si>
  <si>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</si>
  <si>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</si>
  <si>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</si>
  <si>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</si>
  <si>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</si>
  <si>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</si>
  <si>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</si>
  <si>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</si>
  <si>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</si>
  <si>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</si>
  <si>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</si>
  <si>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</si>
  <si>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</si>
  <si>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</si>
  <si>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Table 83: Effective average tax rates, large corporations in non-financial sector (computed at corporate level, for average asset composition and funding sources), %</t>
  </si>
  <si>
    <t>Ranking 2023</t>
  </si>
  <si>
    <t xml:space="preserve">Methodology: The values presented are the Effective Average Tax Rates, for large corporations in non-financial sector, computed at corporate level, for average asset composition and funding sources, using the Devereux/Griffith methodology. </t>
  </si>
  <si>
    <t xml:space="preserve">Note:  EU-27 and EA-19 figures are simple averages. Detailed methodology available upon request. </t>
  </si>
  <si>
    <t>Source: KPMG</t>
  </si>
  <si>
    <t>Difference
 2013-2023 (pp)</t>
  </si>
  <si>
    <t>EA-20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</si>
</sst>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\ ###\ 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1"/>
      <color theme="1"/>
      <name val="Calibri"/>
      <family val="2"/>
    </font>
    <font>
      <sz val="9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7D4D6"/>
        <bgColor rgb="FF000000"/>
      </patternFill>
    </fill>
    <fill>
      <patternFill patternType="solid">
        <fgColor rgb="FFCCF3F4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D9D9D9"/>
      </bottom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164" fontId="0" fillId="0" borderId="0" xfId="0" applyNumberFormat="1"/>
    <xf numFmtId="0" fontId="5" fillId="2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/>
    </xf>
    <xf numFmtId="164" fontId="5" fillId="3" borderId="3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vertical="center"/>
    </xf>
    <xf numFmtId="164" fontId="5" fillId="4" borderId="4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164" fontId="5" fillId="4" borderId="5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/>
    </xf>
    <xf numFmtId="164" fontId="5" fillId="4" borderId="6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164" fontId="5" fillId="4" borderId="2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4" borderId="5" xfId="0" applyNumberFormat="1" applyFont="1" applyFill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164" fontId="5" fillId="4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zoomScale="69" workbookViewId="0">
      <selection activeCell="G26" sqref="G26:H33"/>
    </sheetView>
  </sheetViews>
  <sheetFormatPr defaultRowHeight="14.4" x14ac:dyDescent="0.3"/>
  <cols>
    <col min="1" max="1" width="19.44140625" customWidth="1"/>
    <col min="2" max="10" width="12.5546875" customWidth="1"/>
    <col min="11" max="14" width="12.44140625" customWidth="1"/>
    <col min="15" max="15" width="14.44140625" bestFit="1" customWidth="1"/>
  </cols>
  <sheetData>
    <row r="1" spans="1:16" ht="21" x14ac:dyDescent="0.4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ht="28.5" customHeight="1" x14ac:dyDescent="0.3">
      <c r="A3" s="6"/>
      <c r="B3" s="26">
        <v>2011</v>
      </c>
      <c r="C3" s="26">
        <v>2012</v>
      </c>
      <c r="D3" s="26">
        <v>2013</v>
      </c>
      <c r="E3" s="26">
        <v>2014</v>
      </c>
      <c r="F3" s="26">
        <v>2015</v>
      </c>
      <c r="G3" s="26">
        <v>2016</v>
      </c>
      <c r="H3" s="26">
        <v>2017</v>
      </c>
      <c r="I3" s="26">
        <v>2018</v>
      </c>
      <c r="J3" s="26">
        <v>2019</v>
      </c>
      <c r="K3" s="26">
        <v>2020</v>
      </c>
      <c r="L3" s="26">
        <v>2021</v>
      </c>
      <c r="M3" s="26">
        <v>2022</v>
      </c>
      <c r="N3" s="26">
        <v>2023</v>
      </c>
      <c r="O3" s="7" t="s">
        <v>34</v>
      </c>
      <c r="P3" s="7" t="s">
        <v>30</v>
      </c>
    </row>
    <row r="4" spans="1:16" ht="15.6" x14ac:dyDescent="0.3">
      <c r="A4" s="8" t="s">
        <v>1</v>
      </c>
      <c r="B4" s="9">
        <f>AVERAGE(B6:B32)</f>
        <v>21.110148148148149</v>
      </c>
      <c r="C4" s="9">
        <f t="shared" ref="C4:N4" si="0">AVERAGE(C6:C32)</f>
        <v>21.292259259259268</v>
      </c>
      <c r="D4" s="9">
        <f t="shared" si="0"/>
        <v>21.986407407407409</v>
      </c>
      <c r="E4" s="9">
        <f t="shared" si="0"/>
        <v>22.041185185185189</v>
      </c>
      <c r="F4" s="9">
        <f t="shared" si="0"/>
        <v>21.795148148148147</v>
      </c>
      <c r="G4" s="9">
        <f t="shared" si="0"/>
        <v>21.771259259259256</v>
      </c>
      <c r="H4" s="9">
        <f t="shared" si="0"/>
        <v>20.113592592592589</v>
      </c>
      <c r="I4" s="9">
        <f t="shared" si="0"/>
        <v>20.093962962962959</v>
      </c>
      <c r="J4" s="9">
        <f t="shared" si="0"/>
        <v>19.890444444444441</v>
      </c>
      <c r="K4" s="9">
        <f t="shared" si="0"/>
        <v>19.624111111111112</v>
      </c>
      <c r="L4" s="9">
        <f t="shared" si="0"/>
        <v>19.332185185185185</v>
      </c>
      <c r="M4" s="9">
        <f t="shared" si="0"/>
        <v>19.13148148148148</v>
      </c>
      <c r="N4" s="9">
        <f t="shared" si="0"/>
        <v>18.909962962962961</v>
      </c>
      <c r="O4" s="9">
        <f>N4-D4</f>
        <v>-3.0764444444444479</v>
      </c>
      <c r="P4" s="10" t="s" vm="1">
        <v>0</v>
      </c>
    </row>
    <row r="5" spans="1:16" ht="15.6" x14ac:dyDescent="0.3">
      <c r="A5" s="11" t="s">
        <v>35</v>
      </c>
      <c r="B5" s="12">
        <f>AVERAGE(B6,B10,B11,B12,B13,B14,B15,B16,B17,B18,B19,B20,B21,B23,B24,B25,B27,B29,B30,B31)</f>
        <v>22.192499999999999</v>
      </c>
      <c r="C5" s="12">
        <f>AVERAGE(C6,C10,C11,C12,C13,C14,C15,C16,C17,C18,C19,C20,C21,C23,C24,C25,C27,C29,C30,C31)</f>
        <v>22.455450000000006</v>
      </c>
      <c r="D5" s="12">
        <f t="shared" ref="D5:N5" si="1">AVERAGE(D6,D10,D11,D12,D13,D14,D15,D16,D17,D18,D19,D20,D21,D23,D24,D25,D27,D29,D30,D31)</f>
        <v>23.558500000000002</v>
      </c>
      <c r="E5" s="12">
        <f t="shared" si="1"/>
        <v>23.640300000000003</v>
      </c>
      <c r="F5" s="12">
        <f t="shared" si="1"/>
        <v>23.350649999999998</v>
      </c>
      <c r="G5" s="12">
        <f t="shared" si="1"/>
        <v>23.401850000000003</v>
      </c>
      <c r="H5" s="12">
        <f t="shared" si="1"/>
        <v>21.609500000000001</v>
      </c>
      <c r="I5" s="12">
        <f t="shared" si="1"/>
        <v>21.579500000000003</v>
      </c>
      <c r="J5" s="12">
        <f t="shared" si="1"/>
        <v>21.319899999999997</v>
      </c>
      <c r="K5" s="12">
        <f t="shared" si="1"/>
        <v>21.061350000000001</v>
      </c>
      <c r="L5" s="12">
        <f t="shared" si="1"/>
        <v>20.661800000000003</v>
      </c>
      <c r="M5" s="12">
        <f t="shared" si="1"/>
        <v>20.427950000000003</v>
      </c>
      <c r="N5" s="12">
        <f t="shared" si="1"/>
        <v>20.261649999999999</v>
      </c>
      <c r="O5" s="12">
        <f>N5-D5</f>
        <v>-3.2968500000000027</v>
      </c>
      <c r="P5" s="13" t="s" vm="2">
        <v>0</v>
      </c>
    </row>
    <row r="6" spans="1:16" ht="15.6" x14ac:dyDescent="0.3">
      <c r="A6" s="14" t="s" vm="3">
        <v>2</v>
      </c>
      <c r="B6" s="15">
        <v>27.241</v>
      </c>
      <c r="C6" s="15">
        <v>27.702000000000002</v>
      </c>
      <c r="D6" s="15">
        <v>27.984000000000002</v>
      </c>
      <c r="E6" s="15">
        <v>28.103000000000002</v>
      </c>
      <c r="F6" s="15">
        <v>29.189</v>
      </c>
      <c r="G6" s="15">
        <v>29.731999999999999</v>
      </c>
      <c r="H6" s="15">
        <v>30.701000000000001</v>
      </c>
      <c r="I6" s="15">
        <v>26.466000000000001</v>
      </c>
      <c r="J6" s="15">
        <v>26.484000000000002</v>
      </c>
      <c r="K6" s="15">
        <v>23.812000000000001</v>
      </c>
      <c r="L6" s="15">
        <v>23.812000000000001</v>
      </c>
      <c r="M6" s="15">
        <v>23.812000000000001</v>
      </c>
      <c r="N6" s="15">
        <v>23.812000000000001</v>
      </c>
      <c r="O6" s="17">
        <f t="shared" ref="O6:O32" si="2">N6-D6</f>
        <v>-4.1720000000000006</v>
      </c>
      <c r="P6" s="22">
        <v>7</v>
      </c>
    </row>
    <row r="7" spans="1:16" ht="15.6" x14ac:dyDescent="0.3">
      <c r="A7" s="16" t="s" vm="4">
        <v>3</v>
      </c>
      <c r="B7" s="17">
        <v>9.4489999999999998</v>
      </c>
      <c r="C7" s="17">
        <v>9.4489999999999998</v>
      </c>
      <c r="D7" s="17">
        <v>9.4489999999999998</v>
      </c>
      <c r="E7" s="17">
        <v>9.4489999999999998</v>
      </c>
      <c r="F7" s="17">
        <v>9.4489999999999998</v>
      </c>
      <c r="G7" s="17">
        <v>9.4489999999999998</v>
      </c>
      <c r="H7" s="17">
        <v>9.4489999999999998</v>
      </c>
      <c r="I7" s="17">
        <v>9.4489999999999998</v>
      </c>
      <c r="J7" s="17">
        <v>9.4489999999999998</v>
      </c>
      <c r="K7" s="17">
        <v>9.4489999999999998</v>
      </c>
      <c r="L7" s="17">
        <v>9.4489999999999998</v>
      </c>
      <c r="M7" s="17">
        <v>9.4489999999999998</v>
      </c>
      <c r="N7" s="17">
        <v>9.4489999999999998</v>
      </c>
      <c r="O7" s="17">
        <f t="shared" si="2"/>
        <v>0</v>
      </c>
      <c r="P7" s="23">
        <v>27</v>
      </c>
    </row>
    <row r="8" spans="1:16" ht="15.6" x14ac:dyDescent="0.3">
      <c r="A8" s="16" t="s" vm="5">
        <v>4</v>
      </c>
      <c r="B8" s="17">
        <v>18.224</v>
      </c>
      <c r="C8" s="17">
        <v>17.861000000000001</v>
      </c>
      <c r="D8" s="17">
        <v>18.503</v>
      </c>
      <c r="E8" s="17">
        <v>18.760000000000002</v>
      </c>
      <c r="F8" s="17">
        <v>18.753</v>
      </c>
      <c r="G8" s="17">
        <v>18.503</v>
      </c>
      <c r="H8" s="17">
        <v>17.832999999999998</v>
      </c>
      <c r="I8" s="17">
        <v>18.09</v>
      </c>
      <c r="J8" s="17">
        <v>18.34</v>
      </c>
      <c r="K8" s="17">
        <v>17.832999999999998</v>
      </c>
      <c r="L8" s="17">
        <v>17.832999999999998</v>
      </c>
      <c r="M8" s="17">
        <v>18.09</v>
      </c>
      <c r="N8" s="17">
        <v>18.34</v>
      </c>
      <c r="O8" s="17">
        <f t="shared" si="2"/>
        <v>-0.16300000000000026</v>
      </c>
      <c r="P8" s="23">
        <v>16</v>
      </c>
    </row>
    <row r="9" spans="1:16" ht="15.6" x14ac:dyDescent="0.3">
      <c r="A9" s="16" t="s" vm="6">
        <v>5</v>
      </c>
      <c r="B9" s="17">
        <v>21.956</v>
      </c>
      <c r="C9" s="17">
        <v>21.956</v>
      </c>
      <c r="D9" s="17">
        <v>21.956</v>
      </c>
      <c r="E9" s="17">
        <v>21.533999999999999</v>
      </c>
      <c r="F9" s="17">
        <v>20.690999999999999</v>
      </c>
      <c r="G9" s="17">
        <v>19.425999999999998</v>
      </c>
      <c r="H9" s="17">
        <v>19.425999999999998</v>
      </c>
      <c r="I9" s="17">
        <v>19.425999999999998</v>
      </c>
      <c r="J9" s="17">
        <v>19.425999999999998</v>
      </c>
      <c r="K9" s="17">
        <v>19.425999999999998</v>
      </c>
      <c r="L9" s="17">
        <v>19.425999999999998</v>
      </c>
      <c r="M9" s="17">
        <v>19.425999999999998</v>
      </c>
      <c r="N9" s="17">
        <v>19.548999999999999</v>
      </c>
      <c r="O9" s="17">
        <f t="shared" si="2"/>
        <v>-2.407</v>
      </c>
      <c r="P9" s="23">
        <v>13</v>
      </c>
    </row>
    <row r="10" spans="1:16" ht="15.6" x14ac:dyDescent="0.3">
      <c r="A10" s="16" t="s" vm="7">
        <v>6</v>
      </c>
      <c r="B10" s="17">
        <v>29.792999999999999</v>
      </c>
      <c r="C10" s="17">
        <v>29.837</v>
      </c>
      <c r="D10" s="17">
        <v>29.914000000000001</v>
      </c>
      <c r="E10" s="17">
        <v>29.991</v>
      </c>
      <c r="F10" s="17">
        <v>30.068999999999999</v>
      </c>
      <c r="G10" s="17">
        <v>30.102</v>
      </c>
      <c r="H10" s="17">
        <v>30.157</v>
      </c>
      <c r="I10" s="17">
        <v>30.157</v>
      </c>
      <c r="J10" s="17">
        <v>30.273</v>
      </c>
      <c r="K10" s="17">
        <v>30.157</v>
      </c>
      <c r="L10" s="17">
        <v>29.699000000000002</v>
      </c>
      <c r="M10" s="17">
        <v>29.699000000000002</v>
      </c>
      <c r="N10" s="17">
        <v>29.699000000000002</v>
      </c>
      <c r="O10" s="17">
        <f t="shared" si="2"/>
        <v>-0.21499999999999986</v>
      </c>
      <c r="P10" s="23">
        <v>1</v>
      </c>
    </row>
    <row r="11" spans="1:16" ht="15.6" x14ac:dyDescent="0.3">
      <c r="A11" s="16" t="s" vm="8">
        <v>7</v>
      </c>
      <c r="B11" s="17">
        <v>16.481000000000002</v>
      </c>
      <c r="C11" s="17">
        <v>16.481000000000002</v>
      </c>
      <c r="D11" s="17">
        <v>16.481000000000002</v>
      </c>
      <c r="E11" s="17">
        <v>16.481000000000002</v>
      </c>
      <c r="F11" s="17">
        <v>15.696</v>
      </c>
      <c r="G11" s="17">
        <v>15.696</v>
      </c>
      <c r="H11" s="17">
        <v>15.696</v>
      </c>
      <c r="I11" s="17">
        <v>15.696</v>
      </c>
      <c r="J11" s="17">
        <v>15.696</v>
      </c>
      <c r="K11" s="17">
        <v>15.696</v>
      </c>
      <c r="L11" s="17">
        <v>15.696</v>
      </c>
      <c r="M11" s="17">
        <v>15.696</v>
      </c>
      <c r="N11" s="17">
        <v>15.696</v>
      </c>
      <c r="O11" s="17">
        <f t="shared" si="2"/>
        <v>-0.78500000000000192</v>
      </c>
      <c r="P11" s="23">
        <v>20</v>
      </c>
    </row>
    <row r="12" spans="1:16" ht="15.6" x14ac:dyDescent="0.3">
      <c r="A12" s="16" t="s" vm="9">
        <v>8</v>
      </c>
      <c r="B12" s="17">
        <v>12.919</v>
      </c>
      <c r="C12" s="17">
        <v>12.912000000000001</v>
      </c>
      <c r="D12" s="17">
        <v>12.912000000000001</v>
      </c>
      <c r="E12" s="17">
        <v>12.698</v>
      </c>
      <c r="F12" s="17">
        <v>12.698</v>
      </c>
      <c r="G12" s="17">
        <v>12.698</v>
      </c>
      <c r="H12" s="17">
        <v>12.698</v>
      </c>
      <c r="I12" s="17">
        <v>12.698</v>
      </c>
      <c r="J12" s="17">
        <v>12.706</v>
      </c>
      <c r="K12" s="17">
        <v>12.706</v>
      </c>
      <c r="L12" s="17">
        <v>12.706</v>
      </c>
      <c r="M12" s="17">
        <v>12.706</v>
      </c>
      <c r="N12" s="17">
        <v>12.706</v>
      </c>
      <c r="O12" s="17">
        <f t="shared" si="2"/>
        <v>-0.20600000000000129</v>
      </c>
      <c r="P12" s="23">
        <v>22</v>
      </c>
    </row>
    <row r="13" spans="1:16" ht="15.6" x14ac:dyDescent="0.3">
      <c r="A13" s="16" t="s" vm="10">
        <v>9</v>
      </c>
      <c r="B13" s="17">
        <v>18.263000000000002</v>
      </c>
      <c r="C13" s="17">
        <v>18.263000000000002</v>
      </c>
      <c r="D13" s="17">
        <v>24.596</v>
      </c>
      <c r="E13" s="17">
        <v>25.452000000000002</v>
      </c>
      <c r="F13" s="17">
        <v>28.373999999999999</v>
      </c>
      <c r="G13" s="17">
        <v>28.373999999999999</v>
      </c>
      <c r="H13" s="17">
        <v>28.373999999999999</v>
      </c>
      <c r="I13" s="17">
        <v>28.373999999999999</v>
      </c>
      <c r="J13" s="17">
        <v>23.504999999999999</v>
      </c>
      <c r="K13" s="17">
        <v>23.504999999999999</v>
      </c>
      <c r="L13" s="17">
        <v>21.556999999999999</v>
      </c>
      <c r="M13" s="17">
        <v>21.556999999999999</v>
      </c>
      <c r="N13" s="17">
        <v>21.556999999999999</v>
      </c>
      <c r="O13" s="17">
        <f t="shared" si="2"/>
        <v>-3.0390000000000015</v>
      </c>
      <c r="P13" s="23">
        <v>11</v>
      </c>
    </row>
    <row r="14" spans="1:16" ht="15.6" x14ac:dyDescent="0.3">
      <c r="A14" s="16" t="s" vm="11">
        <v>10</v>
      </c>
      <c r="B14" s="17">
        <v>29.01</v>
      </c>
      <c r="C14" s="17">
        <v>29.035</v>
      </c>
      <c r="D14" s="17">
        <v>29.035</v>
      </c>
      <c r="E14" s="17">
        <v>29.035</v>
      </c>
      <c r="F14" s="17">
        <v>25.664000000000001</v>
      </c>
      <c r="G14" s="17">
        <v>25.664000000000001</v>
      </c>
      <c r="H14" s="17">
        <v>25.664000000000001</v>
      </c>
      <c r="I14" s="17">
        <v>25.664000000000001</v>
      </c>
      <c r="J14" s="17">
        <v>25.664000000000001</v>
      </c>
      <c r="K14" s="17">
        <v>25.664000000000001</v>
      </c>
      <c r="L14" s="17">
        <v>25.664000000000001</v>
      </c>
      <c r="M14" s="17">
        <v>25.664000000000001</v>
      </c>
      <c r="N14" s="17">
        <v>25.664000000000001</v>
      </c>
      <c r="O14" s="17">
        <f t="shared" si="2"/>
        <v>-3.3709999999999987</v>
      </c>
      <c r="P14" s="23">
        <v>2</v>
      </c>
    </row>
    <row r="15" spans="1:16" ht="15.6" x14ac:dyDescent="0.3">
      <c r="A15" s="16" t="s" vm="12">
        <v>11</v>
      </c>
      <c r="B15" s="17">
        <v>32.695</v>
      </c>
      <c r="C15" s="17">
        <v>34.154000000000003</v>
      </c>
      <c r="D15" s="17">
        <v>34.209000000000003</v>
      </c>
      <c r="E15" s="17">
        <v>38.529000000000003</v>
      </c>
      <c r="F15" s="17">
        <v>38.533999999999999</v>
      </c>
      <c r="G15" s="17">
        <v>38.564</v>
      </c>
      <c r="H15" s="17">
        <v>32.799999999999997</v>
      </c>
      <c r="I15" s="17">
        <v>32.805999999999997</v>
      </c>
      <c r="J15" s="17">
        <v>32.838999999999999</v>
      </c>
      <c r="K15" s="17">
        <v>30.745999999999999</v>
      </c>
      <c r="L15" s="17">
        <v>25.161000000000001</v>
      </c>
      <c r="M15" s="17">
        <v>22.643000000000001</v>
      </c>
      <c r="N15" s="17">
        <v>22.643000000000001</v>
      </c>
      <c r="O15" s="17">
        <f t="shared" si="2"/>
        <v>-11.566000000000003</v>
      </c>
      <c r="P15" s="23">
        <v>9</v>
      </c>
    </row>
    <row r="16" spans="1:16" ht="15.6" x14ac:dyDescent="0.3">
      <c r="A16" s="16" t="s" vm="13">
        <v>12</v>
      </c>
      <c r="B16" s="17">
        <v>16.466000000000001</v>
      </c>
      <c r="C16" s="17">
        <v>16.466000000000001</v>
      </c>
      <c r="D16" s="17">
        <v>16.466000000000001</v>
      </c>
      <c r="E16" s="17">
        <v>16.466000000000001</v>
      </c>
      <c r="F16" s="17">
        <v>16.466000000000001</v>
      </c>
      <c r="G16" s="17">
        <v>16.466000000000001</v>
      </c>
      <c r="H16" s="17">
        <v>14.819000000000001</v>
      </c>
      <c r="I16" s="17">
        <v>14.819000000000001</v>
      </c>
      <c r="J16" s="17">
        <v>14.819000000000001</v>
      </c>
      <c r="K16" s="17">
        <v>14.819000000000001</v>
      </c>
      <c r="L16" s="17">
        <v>14.819000000000001</v>
      </c>
      <c r="M16" s="17">
        <v>14.819000000000001</v>
      </c>
      <c r="N16" s="17">
        <v>14.819000000000001</v>
      </c>
      <c r="O16" s="17">
        <f t="shared" si="2"/>
        <v>-1.6470000000000002</v>
      </c>
      <c r="P16" s="23">
        <v>21</v>
      </c>
    </row>
    <row r="17" spans="1:16" ht="15.6" x14ac:dyDescent="0.3">
      <c r="A17" s="16" t="s" vm="14">
        <v>13</v>
      </c>
      <c r="B17" s="17">
        <v>25.141999999999999</v>
      </c>
      <c r="C17" s="17">
        <v>25.260999999999999</v>
      </c>
      <c r="D17" s="17">
        <v>25.260999999999999</v>
      </c>
      <c r="E17" s="17">
        <v>24.388000000000002</v>
      </c>
      <c r="F17" s="17">
        <v>23.951000000000001</v>
      </c>
      <c r="G17" s="17">
        <v>23.757000000000001</v>
      </c>
      <c r="H17" s="17">
        <v>23.811</v>
      </c>
      <c r="I17" s="17">
        <v>23.887</v>
      </c>
      <c r="J17" s="17">
        <v>23.954999999999998</v>
      </c>
      <c r="K17" s="17">
        <v>23.936</v>
      </c>
      <c r="L17" s="17">
        <v>23.936</v>
      </c>
      <c r="M17" s="17">
        <v>23.936</v>
      </c>
      <c r="N17" s="17">
        <v>23.936</v>
      </c>
      <c r="O17" s="17">
        <f t="shared" si="2"/>
        <v>-1.3249999999999993</v>
      </c>
      <c r="P17" s="23">
        <v>5</v>
      </c>
    </row>
    <row r="18" spans="1:16" ht="15.6" x14ac:dyDescent="0.3">
      <c r="A18" s="16" t="s" vm="15">
        <v>14</v>
      </c>
      <c r="B18" s="17">
        <v>12.86</v>
      </c>
      <c r="C18" s="17">
        <v>16.091999999999999</v>
      </c>
      <c r="D18" s="17">
        <v>27.934000000000001</v>
      </c>
      <c r="E18" s="17">
        <v>27.911000000000001</v>
      </c>
      <c r="F18" s="17">
        <v>24.588999999999999</v>
      </c>
      <c r="G18" s="17">
        <v>25.128</v>
      </c>
      <c r="H18" s="17">
        <v>11.039</v>
      </c>
      <c r="I18" s="17">
        <v>11.667</v>
      </c>
      <c r="J18" s="17">
        <v>11.938000000000001</v>
      </c>
      <c r="K18" s="17">
        <v>11.845000000000001</v>
      </c>
      <c r="L18" s="17">
        <v>12.009</v>
      </c>
      <c r="M18" s="17">
        <v>11.802</v>
      </c>
      <c r="N18" s="17">
        <v>10.422000000000001</v>
      </c>
      <c r="O18" s="17">
        <f t="shared" si="2"/>
        <v>-17.512</v>
      </c>
      <c r="P18" s="23">
        <v>25</v>
      </c>
    </row>
    <row r="19" spans="1:16" ht="15.6" x14ac:dyDescent="0.3">
      <c r="A19" s="16" t="s" vm="16">
        <v>15</v>
      </c>
      <c r="B19" s="17">
        <v>12.223000000000001</v>
      </c>
      <c r="C19" s="17">
        <v>12.448</v>
      </c>
      <c r="D19" s="17">
        <v>12.17</v>
      </c>
      <c r="E19" s="17">
        <v>14.316000000000001</v>
      </c>
      <c r="F19" s="17">
        <v>14.316000000000001</v>
      </c>
      <c r="G19" s="17">
        <v>14.316000000000001</v>
      </c>
      <c r="H19" s="17">
        <v>14.316000000000001</v>
      </c>
      <c r="I19" s="17">
        <v>16.536999999999999</v>
      </c>
      <c r="J19" s="17">
        <v>16.536999999999999</v>
      </c>
      <c r="K19" s="17">
        <v>16.536999999999999</v>
      </c>
      <c r="L19" s="17">
        <v>16.536999999999999</v>
      </c>
      <c r="M19" s="17">
        <v>16.536999999999999</v>
      </c>
      <c r="N19" s="17">
        <v>16.536999999999999</v>
      </c>
      <c r="O19" s="17">
        <f t="shared" si="2"/>
        <v>4.3669999999999991</v>
      </c>
      <c r="P19" s="23">
        <v>18</v>
      </c>
    </row>
    <row r="20" spans="1:16" ht="15.6" x14ac:dyDescent="0.3">
      <c r="A20" s="16" t="s" vm="17">
        <v>16</v>
      </c>
      <c r="B20" s="17">
        <v>12.432</v>
      </c>
      <c r="C20" s="17">
        <v>12.432</v>
      </c>
      <c r="D20" s="17">
        <v>13.173</v>
      </c>
      <c r="E20" s="17">
        <v>13.173</v>
      </c>
      <c r="F20" s="17">
        <v>13.173</v>
      </c>
      <c r="G20" s="17">
        <v>13.173</v>
      </c>
      <c r="H20" s="17">
        <v>13.173</v>
      </c>
      <c r="I20" s="17">
        <v>13.173</v>
      </c>
      <c r="J20" s="17">
        <v>12.432</v>
      </c>
      <c r="K20" s="17">
        <v>12.432</v>
      </c>
      <c r="L20" s="17">
        <v>12.432</v>
      </c>
      <c r="M20" s="17">
        <v>12.432</v>
      </c>
      <c r="N20" s="17">
        <v>12.432</v>
      </c>
      <c r="O20" s="17">
        <f t="shared" si="2"/>
        <v>-0.74099999999999966</v>
      </c>
      <c r="P20" s="23">
        <v>23</v>
      </c>
    </row>
    <row r="21" spans="1:16" ht="15.6" x14ac:dyDescent="0.3">
      <c r="A21" s="16" t="s" vm="18">
        <v>17</v>
      </c>
      <c r="B21" s="17">
        <v>27.887</v>
      </c>
      <c r="C21" s="17">
        <v>27.887</v>
      </c>
      <c r="D21" s="17">
        <v>28.245999999999999</v>
      </c>
      <c r="E21" s="17">
        <v>28.245999999999999</v>
      </c>
      <c r="F21" s="17">
        <v>28.245999999999999</v>
      </c>
      <c r="G21" s="17">
        <v>28.245999999999999</v>
      </c>
      <c r="H21" s="17">
        <v>26.417999999999999</v>
      </c>
      <c r="I21" s="17">
        <v>25.504000000000001</v>
      </c>
      <c r="J21" s="17">
        <v>24.588999999999999</v>
      </c>
      <c r="K21" s="17">
        <v>24.588999999999999</v>
      </c>
      <c r="L21" s="17">
        <v>24.588999999999999</v>
      </c>
      <c r="M21" s="17">
        <v>24.588999999999999</v>
      </c>
      <c r="N21" s="17">
        <v>24.588999999999999</v>
      </c>
      <c r="O21" s="17">
        <f t="shared" si="2"/>
        <v>-3.657</v>
      </c>
      <c r="P21" s="23">
        <v>4</v>
      </c>
    </row>
    <row r="22" spans="1:16" ht="15.6" x14ac:dyDescent="0.3">
      <c r="A22" s="16" t="s" vm="19">
        <v>18</v>
      </c>
      <c r="B22" s="17">
        <v>18.466999999999999</v>
      </c>
      <c r="C22" s="17">
        <v>18.466999999999999</v>
      </c>
      <c r="D22" s="17">
        <v>18.466999999999999</v>
      </c>
      <c r="E22" s="17">
        <v>18.466999999999999</v>
      </c>
      <c r="F22" s="17">
        <v>18.466999999999999</v>
      </c>
      <c r="G22" s="17">
        <v>18.466999999999999</v>
      </c>
      <c r="H22" s="17">
        <v>10.227</v>
      </c>
      <c r="I22" s="17">
        <v>10.227</v>
      </c>
      <c r="J22" s="17">
        <v>10.227</v>
      </c>
      <c r="K22" s="17">
        <v>10.227</v>
      </c>
      <c r="L22" s="17">
        <v>10.227</v>
      </c>
      <c r="M22" s="17">
        <v>10.227</v>
      </c>
      <c r="N22" s="17">
        <v>10.227</v>
      </c>
      <c r="O22" s="17">
        <f t="shared" si="2"/>
        <v>-8.2399999999999984</v>
      </c>
      <c r="P22" s="23">
        <v>26</v>
      </c>
    </row>
    <row r="23" spans="1:16" ht="15.6" x14ac:dyDescent="0.3">
      <c r="A23" s="16" t="s" vm="20">
        <v>19</v>
      </c>
      <c r="B23" s="17">
        <v>35.140999999999998</v>
      </c>
      <c r="C23" s="17">
        <v>35.140999999999998</v>
      </c>
      <c r="D23" s="17">
        <v>35.140999999999998</v>
      </c>
      <c r="E23" s="17">
        <v>35.140999999999998</v>
      </c>
      <c r="F23" s="17">
        <v>35.140999999999998</v>
      </c>
      <c r="G23" s="17">
        <v>35.140999999999998</v>
      </c>
      <c r="H23" s="17">
        <v>27.19</v>
      </c>
      <c r="I23" s="17">
        <v>27.324000000000002</v>
      </c>
      <c r="J23" s="17">
        <v>28.149000000000001</v>
      </c>
      <c r="K23" s="17">
        <v>27.971</v>
      </c>
      <c r="L23" s="17">
        <v>28.126999999999999</v>
      </c>
      <c r="M23" s="17">
        <v>26.175000000000001</v>
      </c>
      <c r="N23" s="17">
        <v>25.126999999999999</v>
      </c>
      <c r="O23" s="17">
        <f t="shared" si="2"/>
        <v>-10.013999999999999</v>
      </c>
      <c r="P23" s="23">
        <v>3</v>
      </c>
    </row>
    <row r="24" spans="1:16" ht="15.6" x14ac:dyDescent="0.3">
      <c r="A24" s="16" t="s" vm="21">
        <v>20</v>
      </c>
      <c r="B24" s="17">
        <v>22.376000000000001</v>
      </c>
      <c r="C24" s="17">
        <v>22.826000000000001</v>
      </c>
      <c r="D24" s="17">
        <v>22.457000000000001</v>
      </c>
      <c r="E24" s="17">
        <v>22.838999999999999</v>
      </c>
      <c r="F24" s="17">
        <v>22.812999999999999</v>
      </c>
      <c r="G24" s="17">
        <v>22.812999999999999</v>
      </c>
      <c r="H24" s="17">
        <v>22.806000000000001</v>
      </c>
      <c r="I24" s="17">
        <v>22.792999999999999</v>
      </c>
      <c r="J24" s="17">
        <v>22.786999999999999</v>
      </c>
      <c r="K24" s="17">
        <v>22.786999999999999</v>
      </c>
      <c r="L24" s="17">
        <v>22.786999999999999</v>
      </c>
      <c r="M24" s="17">
        <v>22.786999999999999</v>
      </c>
      <c r="N24" s="17">
        <v>22.786999999999999</v>
      </c>
      <c r="O24" s="17">
        <f t="shared" si="2"/>
        <v>0.32999999999999829</v>
      </c>
      <c r="P24" s="23">
        <v>8</v>
      </c>
    </row>
    <row r="25" spans="1:16" ht="15.6" x14ac:dyDescent="0.3">
      <c r="A25" s="16" t="s" vm="22">
        <v>21</v>
      </c>
      <c r="B25" s="17">
        <v>22.907</v>
      </c>
      <c r="C25" s="17">
        <v>22.907</v>
      </c>
      <c r="D25" s="17">
        <v>22.907</v>
      </c>
      <c r="E25" s="17">
        <v>22.907</v>
      </c>
      <c r="F25" s="17">
        <v>22.907</v>
      </c>
      <c r="G25" s="17">
        <v>22.992000000000001</v>
      </c>
      <c r="H25" s="17">
        <v>22.992000000000001</v>
      </c>
      <c r="I25" s="17">
        <v>22.992000000000001</v>
      </c>
      <c r="J25" s="17">
        <v>22.992000000000001</v>
      </c>
      <c r="K25" s="17">
        <v>22.992000000000001</v>
      </c>
      <c r="L25" s="17">
        <v>22.672000000000001</v>
      </c>
      <c r="M25" s="17">
        <v>22.672000000000001</v>
      </c>
      <c r="N25" s="17">
        <v>21.774000000000001</v>
      </c>
      <c r="O25" s="17">
        <f t="shared" si="2"/>
        <v>-1.1329999999999991</v>
      </c>
      <c r="P25" s="23">
        <v>10</v>
      </c>
    </row>
    <row r="26" spans="1:16" ht="15.6" x14ac:dyDescent="0.3">
      <c r="A26" s="16" t="s" vm="23">
        <v>22</v>
      </c>
      <c r="B26" s="17">
        <v>17.021000000000001</v>
      </c>
      <c r="C26" s="17">
        <v>17.042000000000002</v>
      </c>
      <c r="D26" s="17">
        <v>17.048999999999999</v>
      </c>
      <c r="E26" s="17">
        <v>17.056999999999999</v>
      </c>
      <c r="F26" s="17">
        <v>17.056999999999999</v>
      </c>
      <c r="G26" s="17">
        <v>17.048999999999999</v>
      </c>
      <c r="H26" s="17">
        <v>17.048999999999999</v>
      </c>
      <c r="I26" s="17">
        <v>16.861999999999998</v>
      </c>
      <c r="J26" s="17">
        <v>16.861999999999998</v>
      </c>
      <c r="K26" s="17">
        <v>15.349</v>
      </c>
      <c r="L26" s="17">
        <v>16.196999999999999</v>
      </c>
      <c r="M26" s="17">
        <v>15.198</v>
      </c>
      <c r="N26" s="17">
        <v>12.17</v>
      </c>
      <c r="O26" s="17">
        <f t="shared" si="2"/>
        <v>-4.8789999999999996</v>
      </c>
      <c r="P26" s="23">
        <v>24</v>
      </c>
    </row>
    <row r="27" spans="1:16" ht="15.6" x14ac:dyDescent="0.3">
      <c r="A27" s="16" t="s" vm="24">
        <v>23</v>
      </c>
      <c r="B27" s="17">
        <v>28.445</v>
      </c>
      <c r="C27" s="17">
        <v>30.898</v>
      </c>
      <c r="D27" s="17">
        <v>30.898</v>
      </c>
      <c r="E27" s="17">
        <v>30.898</v>
      </c>
      <c r="F27" s="17">
        <v>28.954999999999998</v>
      </c>
      <c r="G27" s="17">
        <v>28.943000000000001</v>
      </c>
      <c r="H27" s="17">
        <v>22.361000000000001</v>
      </c>
      <c r="I27" s="17">
        <v>23.858000000000001</v>
      </c>
      <c r="J27" s="17">
        <v>23.858000000000001</v>
      </c>
      <c r="K27" s="17">
        <v>23.858000000000001</v>
      </c>
      <c r="L27" s="17">
        <v>23.858000000000001</v>
      </c>
      <c r="M27" s="17">
        <v>23.858000000000001</v>
      </c>
      <c r="N27" s="17">
        <v>23.858000000000001</v>
      </c>
      <c r="O27" s="17">
        <f t="shared" si="2"/>
        <v>-7.0399999999999991</v>
      </c>
      <c r="P27" s="23">
        <v>6</v>
      </c>
    </row>
    <row r="28" spans="1:16" ht="15.6" x14ac:dyDescent="0.3">
      <c r="A28" s="16" t="s" vm="25">
        <v>24</v>
      </c>
      <c r="B28" s="17">
        <v>16.408000000000001</v>
      </c>
      <c r="C28" s="17">
        <v>16.408000000000001</v>
      </c>
      <c r="D28" s="17">
        <v>16.408000000000001</v>
      </c>
      <c r="E28" s="17">
        <v>16.408000000000001</v>
      </c>
      <c r="F28" s="17">
        <v>16.408000000000001</v>
      </c>
      <c r="G28" s="17">
        <v>16.262</v>
      </c>
      <c r="H28" s="17">
        <v>16.262</v>
      </c>
      <c r="I28" s="17">
        <v>16.262</v>
      </c>
      <c r="J28" s="17">
        <v>16.262</v>
      </c>
      <c r="K28" s="17">
        <v>16.262</v>
      </c>
      <c r="L28" s="17">
        <v>16.262</v>
      </c>
      <c r="M28" s="17">
        <v>16.262</v>
      </c>
      <c r="N28" s="17">
        <v>16.262</v>
      </c>
      <c r="O28" s="17">
        <f t="shared" si="2"/>
        <v>-0.1460000000000008</v>
      </c>
      <c r="P28" s="23">
        <v>19</v>
      </c>
    </row>
    <row r="29" spans="1:16" ht="15.6" x14ac:dyDescent="0.3">
      <c r="A29" s="16" t="s" vm="26">
        <v>25</v>
      </c>
      <c r="B29" s="17">
        <v>18.114000000000001</v>
      </c>
      <c r="C29" s="17">
        <v>16.303000000000001</v>
      </c>
      <c r="D29" s="17">
        <v>15.397</v>
      </c>
      <c r="E29" s="17">
        <v>15.397</v>
      </c>
      <c r="F29" s="17">
        <v>15.397</v>
      </c>
      <c r="G29" s="17">
        <v>15.397</v>
      </c>
      <c r="H29" s="17">
        <v>17.207999999999998</v>
      </c>
      <c r="I29" s="17">
        <v>17.207999999999998</v>
      </c>
      <c r="J29" s="17">
        <v>17.207999999999998</v>
      </c>
      <c r="K29" s="17">
        <v>17.207999999999998</v>
      </c>
      <c r="L29" s="17">
        <v>17.207999999999998</v>
      </c>
      <c r="M29" s="17">
        <v>17.207999999999998</v>
      </c>
      <c r="N29" s="17">
        <v>17.207999999999998</v>
      </c>
      <c r="O29" s="17">
        <f t="shared" si="2"/>
        <v>1.8109999999999982</v>
      </c>
      <c r="P29" s="23">
        <v>17</v>
      </c>
    </row>
    <row r="30" spans="1:16" ht="15.6" x14ac:dyDescent="0.3">
      <c r="A30" s="16" t="s" vm="27">
        <v>26</v>
      </c>
      <c r="B30" s="17">
        <v>18.641999999999999</v>
      </c>
      <c r="C30" s="17">
        <v>18.641999999999999</v>
      </c>
      <c r="D30" s="17">
        <v>22.567</v>
      </c>
      <c r="E30" s="17">
        <v>21.585999999999999</v>
      </c>
      <c r="F30" s="17">
        <v>21.585999999999999</v>
      </c>
      <c r="G30" s="17">
        <v>21.585999999999999</v>
      </c>
      <c r="H30" s="17">
        <v>20.605</v>
      </c>
      <c r="I30" s="17">
        <v>20.605</v>
      </c>
      <c r="J30" s="17">
        <v>20.605</v>
      </c>
      <c r="K30" s="17">
        <v>20.605</v>
      </c>
      <c r="L30" s="17">
        <v>20.605</v>
      </c>
      <c r="M30" s="17">
        <v>20.605</v>
      </c>
      <c r="N30" s="17">
        <v>20.605</v>
      </c>
      <c r="O30" s="17">
        <f t="shared" si="2"/>
        <v>-1.9619999999999997</v>
      </c>
      <c r="P30" s="23">
        <v>12</v>
      </c>
    </row>
    <row r="31" spans="1:16" ht="15.6" x14ac:dyDescent="0.3">
      <c r="A31" s="18" t="s" vm="28">
        <v>27</v>
      </c>
      <c r="B31" s="19">
        <v>24.812999999999999</v>
      </c>
      <c r="C31" s="19">
        <v>23.422000000000001</v>
      </c>
      <c r="D31" s="19">
        <v>23.422000000000001</v>
      </c>
      <c r="E31" s="19">
        <v>19.248999999999999</v>
      </c>
      <c r="F31" s="19">
        <v>19.248999999999999</v>
      </c>
      <c r="G31" s="19">
        <v>19.248999999999999</v>
      </c>
      <c r="H31" s="19">
        <v>19.361999999999998</v>
      </c>
      <c r="I31" s="19">
        <v>19.361999999999998</v>
      </c>
      <c r="J31" s="19">
        <v>19.361999999999998</v>
      </c>
      <c r="K31" s="19">
        <v>19.361999999999998</v>
      </c>
      <c r="L31" s="19">
        <v>19.361999999999998</v>
      </c>
      <c r="M31" s="19">
        <v>19.361999999999998</v>
      </c>
      <c r="N31" s="19">
        <v>19.361999999999998</v>
      </c>
      <c r="O31" s="17">
        <f t="shared" si="2"/>
        <v>-4.0600000000000023</v>
      </c>
      <c r="P31" s="24">
        <v>14</v>
      </c>
    </row>
    <row r="32" spans="1:16" ht="15.6" x14ac:dyDescent="0.3">
      <c r="A32" s="20" t="s" vm="29">
        <v>28</v>
      </c>
      <c r="B32" s="21">
        <v>24.599</v>
      </c>
      <c r="C32" s="21">
        <v>24.599</v>
      </c>
      <c r="D32" s="21">
        <v>20.631</v>
      </c>
      <c r="E32" s="21">
        <v>20.631</v>
      </c>
      <c r="F32" s="21">
        <v>20.631</v>
      </c>
      <c r="G32" s="21">
        <v>20.631</v>
      </c>
      <c r="H32" s="21">
        <v>20.631</v>
      </c>
      <c r="I32" s="21">
        <v>20.631</v>
      </c>
      <c r="J32" s="21">
        <v>20.077999999999999</v>
      </c>
      <c r="K32" s="21">
        <v>20.077999999999999</v>
      </c>
      <c r="L32" s="21">
        <v>19.338999999999999</v>
      </c>
      <c r="M32" s="21">
        <v>19.338999999999999</v>
      </c>
      <c r="N32" s="21">
        <v>19.338999999999999</v>
      </c>
      <c r="O32" s="28">
        <f t="shared" si="2"/>
        <v>-1.2920000000000016</v>
      </c>
      <c r="P32" s="25">
        <v>15</v>
      </c>
    </row>
    <row r="33" spans="1:15" ht="15.6" x14ac:dyDescent="0.3">
      <c r="A33" s="27" t="s">
        <v>33</v>
      </c>
    </row>
    <row r="34" spans="1:15" x14ac:dyDescent="0.3">
      <c r="A34" s="4" t="s">
        <v>31</v>
      </c>
      <c r="G34" s="3"/>
    </row>
    <row r="35" spans="1:15" x14ac:dyDescent="0.3">
      <c r="A35" s="3" t="s">
        <v>32</v>
      </c>
      <c r="G35" s="3"/>
    </row>
    <row r="39" spans="1:15" x14ac:dyDescent="0.3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3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3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3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3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3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3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3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3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3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3:15" x14ac:dyDescent="0.3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3:15" x14ac:dyDescent="0.3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3:15" x14ac:dyDescent="0.3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3:15" x14ac:dyDescent="0.3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3:15" x14ac:dyDescent="0.3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3:15" x14ac:dyDescent="0.3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3:15" x14ac:dyDescent="0.3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3:15" x14ac:dyDescent="0.3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3:15" x14ac:dyDescent="0.3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3:15" x14ac:dyDescent="0.3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3:15" x14ac:dyDescent="0.3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3:15" x14ac:dyDescent="0.3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3:15" x14ac:dyDescent="0.3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3:15" x14ac:dyDescent="0.3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62E2388C-70F3-49CC-8EA3-BD6D89DE7177}"/>
</file>

<file path=customXml/itemProps2.xml><?xml version="1.0" encoding="utf-8"?>
<ds:datastoreItem xmlns:ds="http://schemas.openxmlformats.org/officeDocument/2006/customXml" ds:itemID="{F86A3D47-A866-42F5-9EEE-5F3CFB948273}"/>
</file>

<file path=customXml/itemProps3.xml><?xml version="1.0" encoding="utf-8"?>
<ds:datastoreItem xmlns:ds="http://schemas.openxmlformats.org/officeDocument/2006/customXml" ds:itemID="{265D02D0-C8CE-439D-816C-347A2B659FF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83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ARRANZ David (TAXUD)</dc:creator>
  <cp:lastModifiedBy>Sven von Wangenheim</cp:lastModifiedBy>
  <dcterms:created xsi:type="dcterms:W3CDTF">2020-02-20T16:31:10Z</dcterms:created>
  <dcterms:modified xsi:type="dcterms:W3CDTF">2025-08-28T11:18:48Z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2025-02-14T17:22:21Z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a3054b98-ea35-4029-9ac4-d9730f53bf33</vt:lpwstr>
  </property>
  <property fmtid="{D5CDD505-2E9C-101B-9397-08002B2CF9AE}" pid="8" name="MSIP_Label_6bd9ddd1-4d20-43f6-abfa-fc3c07406f94_ContentBits">
    <vt:lpwstr>0</vt:lpwstr>
  </property>
  <property fmtid="{D5CDD505-2E9C-101B-9397-08002B2CF9AE}" pid="9" name="ContentTypeId">
    <vt:lpwstr>0x010100CBE255276945314790992D07276A2E9C</vt:lpwstr>
  </property>
</Properties>
</file>