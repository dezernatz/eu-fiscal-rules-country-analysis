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15" documentId="8_{F9F9D691-CC66-4733-82A1-3AE27E5C2FB1}" xr6:coauthVersionLast="47" xr6:coauthVersionMax="47" xr10:uidLastSave="{CDCBF9E1-E5E5-4CBE-AFBC-ADF13612A244}"/>
  <bookViews>
    <workbookView xWindow="-108" yWindow="-108" windowWidth="23256" windowHeight="13896" xr2:uid="{A1AEE53B-02DD-488E-ACA0-AC4E83BC9E4D}"/>
  </bookViews>
  <sheets>
    <sheet name="Sheet1" sheetId="1" r:id="rId1"/>
    <sheet name="Sheet3" sheetId="3" r:id="rId2"/>
    <sheet name="Sheet2" sheetId="2" r:id="rId3"/>
  </sheets>
  <definedNames>
    <definedName name="Macrobond_Object1" localSheetId="0">Sheet1!$B$4:$CY$72</definedName>
    <definedName name="Macrobond_Object1" localSheetId="1">Sheet3!$A$3:$B$53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2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1" i="1"/>
  <c r="B2" i="2" l="1" a="1"/>
  <c r="B2" i="2" s="1"/>
  <c r="D2" i="2" s="1" a="1"/>
  <c r="D2" i="2" s="1"/>
  <c r="BO3" i="1" s="1"/>
  <c r="CV3" i="1" l="1"/>
  <c r="CP3" i="1"/>
  <c r="CQ3" i="1"/>
  <c r="AJ3" i="1"/>
  <c r="AW3" i="1"/>
  <c r="BK3" i="1"/>
  <c r="W3" i="1"/>
  <c r="BT3" i="1"/>
  <c r="AK3" i="1"/>
  <c r="BR3" i="1"/>
  <c r="BG3" i="1"/>
  <c r="CE3" i="1"/>
  <c r="BH3" i="1"/>
  <c r="CF3" i="1"/>
  <c r="M3" i="1"/>
  <c r="CG3" i="1"/>
  <c r="AY3" i="1"/>
  <c r="K3" i="1"/>
  <c r="CD3" i="1"/>
  <c r="AU3" i="1"/>
  <c r="AV3" i="1"/>
  <c r="Y3" i="1"/>
  <c r="CS3" i="1"/>
  <c r="CU3" i="1"/>
  <c r="AI3" i="1"/>
  <c r="X3" i="1"/>
  <c r="BU3" i="1"/>
  <c r="BW3" i="1"/>
  <c r="J3" i="1"/>
  <c r="V3" i="1"/>
  <c r="AH3" i="1"/>
  <c r="AT3" i="1"/>
  <c r="BF3" i="1"/>
  <c r="BS3" i="1"/>
  <c r="L3" i="1"/>
  <c r="CR3" i="1"/>
  <c r="BI3" i="1"/>
  <c r="CI3" i="1"/>
  <c r="Z3" i="1"/>
  <c r="AL3" i="1"/>
  <c r="AX3" i="1"/>
  <c r="BJ3" i="1"/>
  <c r="BV3" i="1"/>
  <c r="CH3" i="1"/>
  <c r="CT3" i="1"/>
  <c r="AM3" i="1"/>
  <c r="AA3" i="1"/>
  <c r="Q3" i="1"/>
  <c r="CY3" i="1"/>
  <c r="CJ3" i="1"/>
  <c r="CK3" i="1"/>
  <c r="CO3" i="1"/>
  <c r="AR3" i="1"/>
  <c r="H3" i="1"/>
  <c r="BC3" i="1"/>
  <c r="AO3" i="1"/>
  <c r="BZ3" i="1"/>
  <c r="BM3" i="1"/>
  <c r="C3" i="1"/>
  <c r="T3" i="1"/>
  <c r="AC3" i="1"/>
  <c r="CM3" i="1"/>
  <c r="BD3" i="1"/>
  <c r="CB3" i="1"/>
  <c r="AG3" i="1"/>
  <c r="CW3" i="1"/>
  <c r="CN3" i="1"/>
  <c r="AN3" i="1"/>
  <c r="G3" i="1"/>
  <c r="AZ3" i="1"/>
  <c r="CC3" i="1"/>
  <c r="F3" i="1"/>
  <c r="S3" i="1"/>
  <c r="BP3" i="1"/>
  <c r="BB3" i="1"/>
  <c r="CL3" i="1"/>
  <c r="D3" i="1"/>
  <c r="BE3" i="1"/>
  <c r="O3" i="1"/>
  <c r="AS3" i="1"/>
  <c r="BL3" i="1"/>
  <c r="N3" i="1"/>
  <c r="R3" i="1"/>
  <c r="AE3" i="1"/>
  <c r="BQ3" i="1"/>
  <c r="AP3" i="1"/>
  <c r="BN3" i="1"/>
  <c r="BA3" i="1"/>
  <c r="CX3" i="1"/>
  <c r="BY3" i="1"/>
  <c r="P3" i="1"/>
  <c r="AF3" i="1"/>
  <c r="AB3" i="1"/>
  <c r="CA3" i="1"/>
  <c r="U3" i="1"/>
  <c r="BX3" i="1"/>
  <c r="E3" i="1"/>
  <c r="AD3" i="1"/>
  <c r="AQ3" i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<sst xmlns="http://schemas.openxmlformats.org/spreadsheetml/2006/main" count="225" uniqueCount="124">
  <si>
    <t>DG ECFIN AMECO, Estimate</t>
  </si>
  <si>
    <t>Austria, Capital Formation &amp; Saving, Gross Fixed Capital Formation, Private Sector, Current Prices, EUR</t>
  </si>
  <si>
    <t>Austria, Capital Formation &amp; Saving, Gross Fixed Capital Formation, General Government, Current Prices, EUR</t>
  </si>
  <si>
    <t>France, Capital Formation &amp; Saving, Gross Fixed Capital Formation, Private Sector, Current Prices, EUR</t>
  </si>
  <si>
    <t>France, Capital Formation &amp; Saving, Gross Fixed Capital Formation, General Government, Current Prices, EUR</t>
  </si>
  <si>
    <t>Italy, Capital Formation &amp; Saving, Gross Fixed Capital Formation, Private Sector, Current Prices, EUR</t>
  </si>
  <si>
    <t>Italy, Capital Formation &amp; Saving, Gross Fixed Capital Formation, General Government, Current Prices, EUR</t>
  </si>
  <si>
    <t>Netherlands, Capital Formation &amp; Saving, Gross Fixed Capital Formation, Private Sector, Current Prices, EUR</t>
  </si>
  <si>
    <t>Netherlands, Capital Formation &amp; Saving, Gross Fixed Capital Formation, General Government, Current Prices, EUR</t>
  </si>
  <si>
    <t>Finland, Capital Formation &amp; Saving, Gross Fixed Capital Formation, Private Sector, Current Prices, EUR</t>
  </si>
  <si>
    <t>Finland, Capital Formation &amp; Saving, Gross Fixed Capital Formation, General Government, Current Prices, EUR</t>
  </si>
  <si>
    <t>Austria, Capital Formation &amp; Saving, Consumption of Fixed Capital, Total, Current Prices, EUR</t>
  </si>
  <si>
    <t>Austria, Capital Formation &amp; Saving, Consumption of Fixed Capital, General Government, Current Prices, EUR</t>
  </si>
  <si>
    <t>France, Capital Formation &amp; Saving, Consumption of Fixed Capital, Total, Current Prices, EUR</t>
  </si>
  <si>
    <t>France, Capital Formation &amp; Saving, Consumption of Fixed Capital, General Government, Current Prices, EUR</t>
  </si>
  <si>
    <t>Italy, Capital Formation &amp; Saving, Consumption of Fixed Capital, General Government, Current Prices, EUR</t>
  </si>
  <si>
    <t>Italy, Capital Formation &amp; Saving, Consumption of Fixed Capital, Total, Current Prices, EUR</t>
  </si>
  <si>
    <t>Netherlands, Capital Formation &amp; Saving, Consumption of Fixed Capital, Total, Current Prices, EUR</t>
  </si>
  <si>
    <t>Netherlands, Capital Formation &amp; Saving, Consumption of Fixed Capital, General Government, Current Prices, EUR</t>
  </si>
  <si>
    <t>Finland, Capital Formation &amp; Saving, Consumption of Fixed Capital, General Government, Current Prices, EUR</t>
  </si>
  <si>
    <t>Finland, Capital Formation &amp; Saving, Consumption of Fixed Capital, Total, Current Prices, EUR</t>
  </si>
  <si>
    <t>Austria, General Government, Net Lending(ESA2010), Net Lending (+) or Net Borrowing (-) Excluding Interest, Percent of GDP (Excessive Deficit Procedure), Market Prices</t>
  </si>
  <si>
    <t>Finland, General Government, Net Lending(ESA2010), Net Lending (+) or Net Borrowing (-) Excluding Interest, Percent of GDP (Excessive Deficit Procedure), Market Prices</t>
  </si>
  <si>
    <t>France, General Government, Net Lending(ESA2010), Net Lending (+) or Net Borrowing (-) Excluding Interest, Percent of GDP (Excessive Deficit Procedure), Market Prices</t>
  </si>
  <si>
    <t>Italy, General Government, Net Lending(ESA2010), Net Lending (+) or Net Borrowing (-) Excluding Interest, Percent of GDP (Excessive Deficit Procedure), Market Prices</t>
  </si>
  <si>
    <t>Netherlands, General Government, Net Lending(ESA2010), Net Lending (+) or Net Borrowing (-) Excluding Interest, Percent of GDP (Excessive Deficit Procedure), Market Prices</t>
  </si>
  <si>
    <t>Austria, General Government, Revenue(ESA2010), Total Revenue, EUR</t>
  </si>
  <si>
    <t>Finland, General Government, Revenue(ESA2010), Total Revenue, EUR</t>
  </si>
  <si>
    <t>France, General Government, Revenue(ESA2010), Total Revenue, EUR</t>
  </si>
  <si>
    <t>Italy, General Government, Revenue(ESA2010), Total Revenue, EUR</t>
  </si>
  <si>
    <t>Netherlands, General Government, Revenue(ESA2010), Total Revenue, EUR</t>
  </si>
  <si>
    <t>Austria, General Government, Revenue(ESA2010), Current Taxes on Income &amp; Wealth, Direct Taxes, EUR</t>
  </si>
  <si>
    <t>Finland, General Government, Revenue(ESA2010), Current Taxes on Income &amp; Wealth, Direct Taxes, EUR</t>
  </si>
  <si>
    <t>France, General Government, Revenue(ESA2010), Current Taxes on Income &amp; Wealth, Direct Taxes, EUR</t>
  </si>
  <si>
    <t>Italy, General Government, Revenue(ESA2010), Current Taxes on Income &amp; Wealth, Direct Taxes, EUR</t>
  </si>
  <si>
    <t>Netherlands, General Government, Revenue(ESA2010), Current Taxes on Income &amp; Wealth, Direct Taxes, EUR</t>
  </si>
  <si>
    <t>Austria, General Government, Revenue(ESA2010), Taxes Linked to Imports &amp; Production, Indirect Taxes, EUR</t>
  </si>
  <si>
    <t>Finland, General Government, Revenue(ESA2010), Taxes Linked to Imports &amp; Production, Indirect Taxes, EUR</t>
  </si>
  <si>
    <t>France, General Government, Revenue(ESA2010), Taxes Linked to Imports &amp; Production, Indirect Taxes, EUR</t>
  </si>
  <si>
    <t>Italy, General Government, Revenue(ESA2010), Taxes Linked to Imports &amp; Production, Indirect Taxes, EUR</t>
  </si>
  <si>
    <t>Netherlands, General Government, Revenue(ESA2010), Taxes Linked to Imports &amp; Production, Indirect Taxes, EUR</t>
  </si>
  <si>
    <t>Austria, General Government, Revenue(ESA2010), Actual Social Contributions Received, EUR</t>
  </si>
  <si>
    <t>Finland, General Government, Revenue(ESA2010), Actual Social Contributions Received, EUR</t>
  </si>
  <si>
    <t>France, General Government, Revenue(ESA2010), Actual Social Contributions Received, EUR</t>
  </si>
  <si>
    <t>Italy, General Government, Revenue(ESA2010), Actual Social Contributions Received, EUR</t>
  </si>
  <si>
    <t>Netherlands, General Government, Revenue(ESA2010), Actual Social Contributions Received, EUR</t>
  </si>
  <si>
    <t>Austria, General Government, Revenue(ESA2010), Imputed Social Contributions, EUR</t>
  </si>
  <si>
    <t>France, General Government, Revenue(ESA2010), Imputed Social Contributions, EUR</t>
  </si>
  <si>
    <t>Finland, General Government, Revenue(ESA2010), Imputed Social Contributions, EUR</t>
  </si>
  <si>
    <t>Italy, General Government, Revenue(ESA2010), Imputed Social Contributions, EUR</t>
  </si>
  <si>
    <t>Netherlands, General Government, Revenue(ESA2010), Imputed Social Contributions, EUR</t>
  </si>
  <si>
    <t>Austria, General Government, Expenditure(ESA2010), Total Expenditure, EUR</t>
  </si>
  <si>
    <t>Finland, General Government, Expenditure(ESA2010), Total Expenditure, EUR</t>
  </si>
  <si>
    <t>Netherlands, General Government, Expenditure(ESA2010), Total Expenditure, EUR</t>
  </si>
  <si>
    <t>Italy, General Government, Expenditure(ESA2010), Total Expenditure, EUR</t>
  </si>
  <si>
    <t>Austria, General Government, Expenditure(ESA2010), Final Consumption Expenditure, EUR</t>
  </si>
  <si>
    <t>Finland, General Government, Expenditure(ESA2010), Final Consumption Expenditure, EUR</t>
  </si>
  <si>
    <t>France, General Government, Expenditure(ESA2010), Final Consumption Expenditure, EUR</t>
  </si>
  <si>
    <t>Italy, General Government, Expenditure(ESA2010), Final Consumption Expenditure, EUR</t>
  </si>
  <si>
    <t>Netherlands, General Government, Expenditure(ESA2010), Final Consumption Expenditure, EUR</t>
  </si>
  <si>
    <t>Austria, General Government, Expenditure(ESA2010), Subsidies, EUR</t>
  </si>
  <si>
    <t>Finland, General Government, Expenditure(ESA2010), Subsidies, EUR</t>
  </si>
  <si>
    <t>France, General Government, Expenditure(ESA2010), Subsidies, EUR</t>
  </si>
  <si>
    <t>Italy, General Government, Expenditure(ESA2010), Subsidies, EUR</t>
  </si>
  <si>
    <t>Netherlands, General Government, Expenditure(ESA2010), Subsidies, EUR</t>
  </si>
  <si>
    <t>Austria, General Government, Expenditure(ESA2010), Social Benefits Other than Social Transfers in Kind, EUR</t>
  </si>
  <si>
    <t>France, General Government, Expenditure(ESA2010), Social Benefits Other than Social Transfers in Kind, EUR</t>
  </si>
  <si>
    <t>Finland, General Government, Expenditure(ESA2010), Social Benefits Other than Social Transfers in Kind, EUR</t>
  </si>
  <si>
    <t>Italy, General Government, Expenditure(ESA2010), Social Benefits Other than Social Transfers in Kind, EUR</t>
  </si>
  <si>
    <t>Netherlands, General Government, Expenditure(ESA2010), Social Benefits Other than Social Transfers in Kind, EUR</t>
  </si>
  <si>
    <t>Austria, General Government, Expenditure(ESA2010), Interest, EUR</t>
  </si>
  <si>
    <t>Finland, General Government, Expenditure(ESA2010), Interest, EUR</t>
  </si>
  <si>
    <t>France, General Government, Expenditure(ESA2010), Interest, EUR</t>
  </si>
  <si>
    <t>Italy, General Government, Expenditure(ESA2010), Interest, EUR</t>
  </si>
  <si>
    <t>Netherlands, General Government, Expenditure(ESA2010), Interest, EUR</t>
  </si>
  <si>
    <t>Austria, Gross Public Debt, Based on ESA2010, Total, Percent of GDP (Excessive Deficit Procedure), Market Prices</t>
  </si>
  <si>
    <t>Finland, Gross Public Debt, Based on ESA2010, Total, Percent of GDP (Excessive Deficit Procedure), Market Prices</t>
  </si>
  <si>
    <t>France, Gross Public Debt, Based on ESA2010, Total, Percent of GDP (Excessive Deficit Procedure), Market Prices</t>
  </si>
  <si>
    <t>Italy, Gross Public Debt, Based on ESA2010, Total, Percent of GDP (Excessive Deficit Procedure), Market Prices</t>
  </si>
  <si>
    <t>Netherlands, Gross Public Debt, Based on ESA2010, Total, Percent of GDP (Excessive Deficit Procedure), Market Prices</t>
  </si>
  <si>
    <t>United States, Monetary Variables, Exchange Rates &amp; Purchasing Power Parities, National Currency per ECU/EUR (Annual Averages), Average of Period</t>
  </si>
  <si>
    <t>Austria, Gross Public Debt, Based on ESA2010, Stock-Flow Adjustment on Gross Public Debt, EUR</t>
  </si>
  <si>
    <t>Finland, Gross Public Debt, Based on ESA2010, Stock-Flow Adjustment on Gross Public Debt, EUR</t>
  </si>
  <si>
    <t>France, Gross Public Debt, Based on ESA2010, Stock-Flow Adjustment on Gross Public Debt, EUR</t>
  </si>
  <si>
    <t>Italy, Gross Public Debt, Based on ESA2010, Stock-Flow Adjustment on Gross Public Debt, EUR</t>
  </si>
  <si>
    <t>Netherlands, Gross Public Debt, Based on ESA2010, Stock-Flow Adjustment on Gross Public Debt, EUR</t>
  </si>
  <si>
    <t>Austria, General Government, Expenditure(ESA2010), Implicit Interest Rate, Percentage of Gross Public Debt</t>
  </si>
  <si>
    <t>Finland, General Government, Expenditure(ESA2010), Implicit Interest Rate, Percentage of Gross Public Debt</t>
  </si>
  <si>
    <t>France, General Government, Expenditure(ESA2010), Implicit Interest Rate, Percentage of Gross Public Debt</t>
  </si>
  <si>
    <t>Italy, General Government, Expenditure(ESA2010), Implicit Interest Rate, Percentage of Gross Public Debt</t>
  </si>
  <si>
    <t>Netherlands, General Government, Expenditure(ESA2010), Implicit Interest Rate, Percentage of Gross Public Debt</t>
  </si>
  <si>
    <t>Austria, Monetary Variables, Interest Rates, Nominal, Long-Term, Current Prices</t>
  </si>
  <si>
    <t>Finland, Monetary Variables, Interest Rates, Nominal, Long-Term, Current Prices</t>
  </si>
  <si>
    <t>France, Monetary Variables, Interest Rates, Nominal, Long-Term, Current Prices</t>
  </si>
  <si>
    <t>Italy, Monetary Variables, Interest Rates, Nominal, Long-Term, Current Prices</t>
  </si>
  <si>
    <t>Netherlands, Monetary Variables, Interest Rates, Nominal, Long-Term, Current Prices</t>
  </si>
  <si>
    <t>Austria, Monetary Variables, Interest Rates, Nominal, Short-Term, Current Prices</t>
  </si>
  <si>
    <t>Finland, Monetary Variables, Interest Rates, Nominal, Short-Term, Current Prices</t>
  </si>
  <si>
    <t>Italy, Monetary Variables, Interest Rates, Nominal, Short-Term, Current Prices</t>
  </si>
  <si>
    <t>Netherlands, Monetary Variables, Interest Rates, Nominal, Short-Term, Current Prices</t>
  </si>
  <si>
    <t>I_G</t>
  </si>
  <si>
    <t>I_M_NOM</t>
  </si>
  <si>
    <t xml:space="preserve"> </t>
  </si>
  <si>
    <t>DEPR_TOTAL_NOM</t>
  </si>
  <si>
    <t>DEPR_G_NOM</t>
  </si>
  <si>
    <t>PB_RATIO</t>
  </si>
  <si>
    <t>GR</t>
  </si>
  <si>
    <t>taxes_income_wealth</t>
  </si>
  <si>
    <t>T_C</t>
  </si>
  <si>
    <t>SC_actual</t>
  </si>
  <si>
    <t>SC_IMP</t>
  </si>
  <si>
    <t>GE</t>
  </si>
  <si>
    <t>G</t>
  </si>
  <si>
    <t>SUB</t>
  </si>
  <si>
    <t>TR</t>
  </si>
  <si>
    <t>INT</t>
  </si>
  <si>
    <t>SF</t>
  </si>
  <si>
    <t>EXR_USD</t>
  </si>
  <si>
    <t>D_RATIO</t>
  </si>
  <si>
    <t>IIR</t>
  </si>
  <si>
    <t>I_LT</t>
  </si>
  <si>
    <t>I_RATE</t>
  </si>
  <si>
    <t>France, DG ECFIN AMECO, General Government, Expenditure(ESA2010), Total Expenditure, Estimate, EUR</t>
  </si>
  <si>
    <t>France, General Government, Expenditure(ESA2010), Total Expenditure,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</si>
</sst>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99060</xdr:colOff>
          <xdr:row>1</xdr:row>
          <xdr:rowOff>106680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877C-F9FA-4799-B307-11C59ACDEEE3}">
  <dimension ref="A1:CY72"/>
  <sheetViews>
    <sheetView tabSelected="1" topLeftCell="AZ1" workbookViewId="0">
      <selection activeCell="BO3" sqref="BO3"/>
    </sheetView>
  </sheetViews>
  <sheetFormatPr defaultRowHeight="14.4" x14ac:dyDescent="0.3"/>
  <cols>
    <col min="2" max="2" width="10.109375" bestFit="1" customWidth="1"/>
    <col min="3" max="22" width="12" bestFit="1" customWidth="1"/>
    <col min="23" max="27" width="9.6640625" bestFit="1" customWidth="1"/>
    <col min="28" max="47" width="12" bestFit="1" customWidth="1"/>
    <col min="48" max="48" width="11" bestFit="1" customWidth="1"/>
    <col min="49" max="49" width="12" bestFit="1" customWidth="1"/>
    <col min="50" max="50" width="11" bestFit="1" customWidth="1"/>
    <col min="51" max="51" width="12" bestFit="1" customWidth="1"/>
    <col min="52" max="52" width="11" bestFit="1" customWidth="1"/>
    <col min="53" max="54" width="12" bestFit="1" customWidth="1"/>
    <col min="55" max="55" width="16.33203125" bestFit="1" customWidth="1"/>
    <col min="56" max="63" width="12" bestFit="1" customWidth="1"/>
    <col min="64" max="64" width="11" bestFit="1" customWidth="1"/>
    <col min="65" max="72" width="12" bestFit="1" customWidth="1"/>
    <col min="73" max="74" width="11" bestFit="1" customWidth="1"/>
    <col min="75" max="77" width="12" bestFit="1" customWidth="1"/>
    <col min="78" max="79" width="8" bestFit="1" customWidth="1"/>
    <col min="80" max="81" width="9" bestFit="1" customWidth="1"/>
    <col min="82" max="82" width="8" bestFit="1" customWidth="1"/>
    <col min="83" max="83" width="9" bestFit="1" customWidth="1"/>
    <col min="84" max="84" width="12.6640625" bestFit="1" customWidth="1"/>
    <col min="85" max="85" width="12" bestFit="1" customWidth="1"/>
    <col min="86" max="88" width="12.6640625" bestFit="1" customWidth="1"/>
    <col min="89" max="89" width="9" bestFit="1" customWidth="1"/>
    <col min="90" max="90" width="10" bestFit="1" customWidth="1"/>
    <col min="91" max="91" width="9" bestFit="1" customWidth="1"/>
    <col min="92" max="92" width="10" bestFit="1" customWidth="1"/>
    <col min="93" max="93" width="9" bestFit="1" customWidth="1"/>
    <col min="94" max="103" width="6" bestFit="1" customWidth="1"/>
  </cols>
  <sheetData>
    <row r="1" spans="1:103" x14ac:dyDescent="0.3">
      <c r="C1" t="str">
        <f>_xlfn.TEXTBEFORE(C5,",")</f>
        <v>Austria</v>
      </c>
      <c r="D1" t="str">
        <f t="shared" ref="D1:BO1" si="0">_xlfn.TEXTBEFORE(D5,",")</f>
        <v>Austria</v>
      </c>
      <c r="E1" t="str">
        <f t="shared" si="0"/>
        <v>France</v>
      </c>
      <c r="F1" t="str">
        <f t="shared" si="0"/>
        <v>France</v>
      </c>
      <c r="G1" t="str">
        <f t="shared" si="0"/>
        <v>Italy</v>
      </c>
      <c r="H1" t="str">
        <f t="shared" si="0"/>
        <v>Italy</v>
      </c>
      <c r="I1" t="str">
        <f t="shared" si="0"/>
        <v>Netherlands</v>
      </c>
      <c r="J1" t="str">
        <f t="shared" si="0"/>
        <v>Netherlands</v>
      </c>
      <c r="K1" t="str">
        <f t="shared" si="0"/>
        <v>Finland</v>
      </c>
      <c r="L1" t="str">
        <f t="shared" si="0"/>
        <v>Finland</v>
      </c>
      <c r="M1" t="str">
        <f t="shared" si="0"/>
        <v>Austria</v>
      </c>
      <c r="N1" t="str">
        <f t="shared" si="0"/>
        <v>Austria</v>
      </c>
      <c r="O1" t="str">
        <f t="shared" si="0"/>
        <v>France</v>
      </c>
      <c r="P1" t="str">
        <f t="shared" si="0"/>
        <v>France</v>
      </c>
      <c r="Q1" t="str">
        <f t="shared" si="0"/>
        <v>Italy</v>
      </c>
      <c r="R1" t="str">
        <f t="shared" si="0"/>
        <v>Italy</v>
      </c>
      <c r="S1" t="str">
        <f t="shared" si="0"/>
        <v>Netherlands</v>
      </c>
      <c r="T1" t="str">
        <f t="shared" si="0"/>
        <v>Netherlands</v>
      </c>
      <c r="U1" t="str">
        <f t="shared" si="0"/>
        <v>Finland</v>
      </c>
      <c r="V1" t="str">
        <f t="shared" si="0"/>
        <v>Finland</v>
      </c>
      <c r="W1" t="str">
        <f t="shared" si="0"/>
        <v>Austria</v>
      </c>
      <c r="X1" t="str">
        <f t="shared" si="0"/>
        <v>Finland</v>
      </c>
      <c r="Y1" t="str">
        <f t="shared" si="0"/>
        <v>France</v>
      </c>
      <c r="Z1" t="str">
        <f t="shared" si="0"/>
        <v>Italy</v>
      </c>
      <c r="AA1" t="str">
        <f t="shared" si="0"/>
        <v>Netherlands</v>
      </c>
      <c r="AB1" t="str">
        <f t="shared" si="0"/>
        <v>Austria</v>
      </c>
      <c r="AC1" t="str">
        <f t="shared" si="0"/>
        <v>Finland</v>
      </c>
      <c r="AD1" t="str">
        <f t="shared" si="0"/>
        <v>France</v>
      </c>
      <c r="AE1" t="str">
        <f t="shared" si="0"/>
        <v>Italy</v>
      </c>
      <c r="AF1" t="str">
        <f t="shared" si="0"/>
        <v>Netherlands</v>
      </c>
      <c r="AG1" t="str">
        <f t="shared" si="0"/>
        <v>Austria</v>
      </c>
      <c r="AH1" t="str">
        <f t="shared" si="0"/>
        <v>Finland</v>
      </c>
      <c r="AI1" t="str">
        <f t="shared" si="0"/>
        <v>France</v>
      </c>
      <c r="AJ1" t="str">
        <f t="shared" si="0"/>
        <v>Italy</v>
      </c>
      <c r="AK1" t="str">
        <f t="shared" si="0"/>
        <v>Netherlands</v>
      </c>
      <c r="AL1" t="str">
        <f t="shared" si="0"/>
        <v>Austria</v>
      </c>
      <c r="AM1" t="str">
        <f t="shared" si="0"/>
        <v>Finland</v>
      </c>
      <c r="AN1" t="str">
        <f t="shared" si="0"/>
        <v>France</v>
      </c>
      <c r="AO1" t="str">
        <f t="shared" si="0"/>
        <v>Italy</v>
      </c>
      <c r="AP1" t="str">
        <f t="shared" si="0"/>
        <v>Netherlands</v>
      </c>
      <c r="AQ1" t="str">
        <f t="shared" si="0"/>
        <v>Austria</v>
      </c>
      <c r="AR1" t="str">
        <f t="shared" si="0"/>
        <v>Finland</v>
      </c>
      <c r="AS1" t="str">
        <f t="shared" si="0"/>
        <v>France</v>
      </c>
      <c r="AT1" t="str">
        <f t="shared" si="0"/>
        <v>Italy</v>
      </c>
      <c r="AU1" t="str">
        <f t="shared" si="0"/>
        <v>Netherlands</v>
      </c>
      <c r="AV1" t="str">
        <f t="shared" si="0"/>
        <v>Austria</v>
      </c>
      <c r="AW1" t="str">
        <f t="shared" si="0"/>
        <v>France</v>
      </c>
      <c r="AX1" t="str">
        <f t="shared" si="0"/>
        <v>Finland</v>
      </c>
      <c r="AY1" t="str">
        <f t="shared" si="0"/>
        <v>Italy</v>
      </c>
      <c r="AZ1" t="str">
        <f t="shared" si="0"/>
        <v>Netherlands</v>
      </c>
      <c r="BA1" t="str">
        <f t="shared" si="0"/>
        <v>Austria</v>
      </c>
      <c r="BB1" t="str">
        <f t="shared" si="0"/>
        <v>Finland</v>
      </c>
      <c r="BC1" t="str">
        <f t="shared" si="0"/>
        <v>France</v>
      </c>
      <c r="BD1" t="str">
        <f t="shared" si="0"/>
        <v>Netherlands</v>
      </c>
      <c r="BE1" t="str">
        <f t="shared" si="0"/>
        <v>Italy</v>
      </c>
      <c r="BF1" t="str">
        <f t="shared" si="0"/>
        <v>Austria</v>
      </c>
      <c r="BG1" t="str">
        <f t="shared" si="0"/>
        <v>Finland</v>
      </c>
      <c r="BH1" t="str">
        <f t="shared" si="0"/>
        <v>France</v>
      </c>
      <c r="BI1" t="str">
        <f t="shared" si="0"/>
        <v>Italy</v>
      </c>
      <c r="BJ1" t="str">
        <f t="shared" si="0"/>
        <v>Netherlands</v>
      </c>
      <c r="BK1" t="str">
        <f t="shared" si="0"/>
        <v>Austria</v>
      </c>
      <c r="BL1" t="str">
        <f t="shared" si="0"/>
        <v>Finland</v>
      </c>
      <c r="BM1" t="str">
        <f t="shared" si="0"/>
        <v>France</v>
      </c>
      <c r="BN1" t="str">
        <f t="shared" si="0"/>
        <v>Italy</v>
      </c>
      <c r="BO1" t="str">
        <f t="shared" si="0"/>
        <v>Netherlands</v>
      </c>
      <c r="BP1" t="str">
        <f t="shared" ref="BP1:CY1" si="1">_xlfn.TEXTBEFORE(BP5,",")</f>
        <v>Austria</v>
      </c>
      <c r="BQ1" t="str">
        <f t="shared" si="1"/>
        <v>France</v>
      </c>
      <c r="BR1" t="str">
        <f t="shared" si="1"/>
        <v>Finland</v>
      </c>
      <c r="BS1" t="str">
        <f t="shared" si="1"/>
        <v>Italy</v>
      </c>
      <c r="BT1" t="str">
        <f t="shared" si="1"/>
        <v>Netherlands</v>
      </c>
      <c r="BU1" t="str">
        <f t="shared" si="1"/>
        <v>Austria</v>
      </c>
      <c r="BV1" t="str">
        <f t="shared" si="1"/>
        <v>Finland</v>
      </c>
      <c r="BW1" t="str">
        <f t="shared" si="1"/>
        <v>France</v>
      </c>
      <c r="BX1" t="str">
        <f t="shared" si="1"/>
        <v>Italy</v>
      </c>
      <c r="BY1" t="str">
        <f t="shared" si="1"/>
        <v>Netherlands</v>
      </c>
      <c r="BZ1" t="str">
        <f t="shared" si="1"/>
        <v>Austria</v>
      </c>
      <c r="CA1" t="str">
        <f t="shared" si="1"/>
        <v>Finland</v>
      </c>
      <c r="CB1" t="str">
        <f t="shared" si="1"/>
        <v>France</v>
      </c>
      <c r="CC1" t="str">
        <f t="shared" si="1"/>
        <v>Italy</v>
      </c>
      <c r="CD1" t="str">
        <f t="shared" si="1"/>
        <v>Netherlands</v>
      </c>
      <c r="CE1" t="str">
        <f t="shared" si="1"/>
        <v>United States</v>
      </c>
      <c r="CF1" t="str">
        <f t="shared" si="1"/>
        <v>Austria</v>
      </c>
      <c r="CG1" t="str">
        <f t="shared" si="1"/>
        <v>Finland</v>
      </c>
      <c r="CH1" t="str">
        <f t="shared" si="1"/>
        <v>France</v>
      </c>
      <c r="CI1" t="str">
        <f t="shared" si="1"/>
        <v>Italy</v>
      </c>
      <c r="CJ1" t="str">
        <f t="shared" si="1"/>
        <v>Netherlands</v>
      </c>
      <c r="CK1" t="str">
        <f t="shared" si="1"/>
        <v>Austria</v>
      </c>
      <c r="CL1" t="str">
        <f t="shared" si="1"/>
        <v>Finland</v>
      </c>
      <c r="CM1" t="str">
        <f t="shared" si="1"/>
        <v>France</v>
      </c>
      <c r="CN1" t="str">
        <f t="shared" si="1"/>
        <v>Italy</v>
      </c>
      <c r="CO1" t="str">
        <f t="shared" si="1"/>
        <v>Netherlands</v>
      </c>
      <c r="CP1" t="str">
        <f t="shared" si="1"/>
        <v>Austria</v>
      </c>
      <c r="CQ1" t="str">
        <f t="shared" si="1"/>
        <v>Finland</v>
      </c>
      <c r="CR1" t="str">
        <f t="shared" si="1"/>
        <v>France</v>
      </c>
      <c r="CS1" t="str">
        <f t="shared" si="1"/>
        <v>Italy</v>
      </c>
      <c r="CT1" t="str">
        <f t="shared" si="1"/>
        <v>Netherlands</v>
      </c>
      <c r="CU1" t="str">
        <f t="shared" si="1"/>
        <v>Austria</v>
      </c>
      <c r="CV1" t="str">
        <f t="shared" si="1"/>
        <v>Finland</v>
      </c>
      <c r="CW1" t="str">
        <f t="shared" si="1"/>
        <v>Finland</v>
      </c>
      <c r="CX1" t="str">
        <f t="shared" si="1"/>
        <v>Italy</v>
      </c>
      <c r="CY1" t="str">
        <f t="shared" si="1"/>
        <v>Netherlands</v>
      </c>
    </row>
    <row r="2" spans="1:103" x14ac:dyDescent="0.3">
      <c r="C2" t="str">
        <f>_xlfn.TEXTAFTER(C5,", ")</f>
        <v>Capital Formation &amp; Saving, Gross Fixed Capital Formation, Private Sector, Current Prices, EUR</v>
      </c>
      <c r="D2" t="str">
        <f t="shared" ref="D2:BO2" si="2">_xlfn.TEXTAFTER(D5,", ")</f>
        <v>Capital Formation &amp; Saving, Gross Fixed Capital Formation, General Government, Current Prices, EUR</v>
      </c>
      <c r="E2" t="str">
        <f t="shared" si="2"/>
        <v>Capital Formation &amp; Saving, Gross Fixed Capital Formation, Private Sector, Current Prices, EUR</v>
      </c>
      <c r="F2" t="str">
        <f t="shared" si="2"/>
        <v>Capital Formation &amp; Saving, Gross Fixed Capital Formation, General Government, Current Prices, EUR</v>
      </c>
      <c r="G2" t="str">
        <f t="shared" si="2"/>
        <v>Capital Formation &amp; Saving, Gross Fixed Capital Formation, Private Sector, Current Prices, EUR</v>
      </c>
      <c r="H2" t="str">
        <f t="shared" si="2"/>
        <v>Capital Formation &amp; Saving, Gross Fixed Capital Formation, General Government, Current Prices, EUR</v>
      </c>
      <c r="I2" t="str">
        <f t="shared" si="2"/>
        <v>Capital Formation &amp; Saving, Gross Fixed Capital Formation, Private Sector, Current Prices, EUR</v>
      </c>
      <c r="J2" t="str">
        <f t="shared" si="2"/>
        <v>Capital Formation &amp; Saving, Gross Fixed Capital Formation, General Government, Current Prices, EUR</v>
      </c>
      <c r="K2" t="str">
        <f t="shared" si="2"/>
        <v>Capital Formation &amp; Saving, Gross Fixed Capital Formation, Private Sector, Current Prices, EUR</v>
      </c>
      <c r="L2" t="str">
        <f t="shared" si="2"/>
        <v>Capital Formation &amp; Saving, Gross Fixed Capital Formation, General Government, Current Prices, EUR</v>
      </c>
      <c r="M2" t="str">
        <f t="shared" si="2"/>
        <v>Capital Formation &amp; Saving, Consumption of Fixed Capital, Total, Current Prices, EUR</v>
      </c>
      <c r="N2" t="str">
        <f t="shared" si="2"/>
        <v>Capital Formation &amp; Saving, Consumption of Fixed Capital, General Government, Current Prices, EUR</v>
      </c>
      <c r="O2" t="str">
        <f t="shared" si="2"/>
        <v>Capital Formation &amp; Saving, Consumption of Fixed Capital, Total, Current Prices, EUR</v>
      </c>
      <c r="P2" t="str">
        <f t="shared" si="2"/>
        <v>Capital Formation &amp; Saving, Consumption of Fixed Capital, General Government, Current Prices, EUR</v>
      </c>
      <c r="Q2" t="str">
        <f t="shared" si="2"/>
        <v>Capital Formation &amp; Saving, Consumption of Fixed Capital, General Government, Current Prices, EUR</v>
      </c>
      <c r="R2" t="str">
        <f t="shared" si="2"/>
        <v>Capital Formation &amp; Saving, Consumption of Fixed Capital, Total, Current Prices, EUR</v>
      </c>
      <c r="S2" t="str">
        <f t="shared" si="2"/>
        <v>Capital Formation &amp; Saving, Consumption of Fixed Capital, Total, Current Prices, EUR</v>
      </c>
      <c r="T2" t="str">
        <f t="shared" si="2"/>
        <v>Capital Formation &amp; Saving, Consumption of Fixed Capital, General Government, Current Prices, EUR</v>
      </c>
      <c r="U2" t="str">
        <f t="shared" si="2"/>
        <v>Capital Formation &amp; Saving, Consumption of Fixed Capital, General Government, Current Prices, EUR</v>
      </c>
      <c r="V2" t="str">
        <f t="shared" si="2"/>
        <v>Capital Formation &amp; Saving, Consumption of Fixed Capital, Total, Current Prices, EUR</v>
      </c>
      <c r="W2" t="str">
        <f t="shared" si="2"/>
        <v>General Government, Net Lending(ESA2010), Net Lending (+) or Net Borrowing (-) Excluding Interest, Percent of GDP (Excessive Deficit Procedure), Market Prices</v>
      </c>
      <c r="X2" t="str">
        <f t="shared" si="2"/>
        <v>General Government, Net Lending(ESA2010), Net Lending (+) or Net Borrowing (-) Excluding Interest, Percent of GDP (Excessive Deficit Procedure), Market Prices</v>
      </c>
      <c r="Y2" t="str">
        <f t="shared" si="2"/>
        <v>General Government, Net Lending(ESA2010), Net Lending (+) or Net Borrowing (-) Excluding Interest, Percent of GDP (Excessive Deficit Procedure), Market Prices</v>
      </c>
      <c r="Z2" t="str">
        <f t="shared" si="2"/>
        <v>General Government, Net Lending(ESA2010), Net Lending (+) or Net Borrowing (-) Excluding Interest, Percent of GDP (Excessive Deficit Procedure), Market Prices</v>
      </c>
      <c r="AA2" t="str">
        <f t="shared" si="2"/>
        <v>General Government, Net Lending(ESA2010), Net Lending (+) or Net Borrowing (-) Excluding Interest, Percent of GDP (Excessive Deficit Procedure), Market Prices</v>
      </c>
      <c r="AB2" t="str">
        <f t="shared" si="2"/>
        <v>General Government, Revenue(ESA2010), Total Revenue, EUR</v>
      </c>
      <c r="AC2" t="str">
        <f t="shared" si="2"/>
        <v>General Government, Revenue(ESA2010), Total Revenue, EUR</v>
      </c>
      <c r="AD2" t="str">
        <f t="shared" si="2"/>
        <v>General Government, Revenue(ESA2010), Total Revenue, EUR</v>
      </c>
      <c r="AE2" t="str">
        <f t="shared" si="2"/>
        <v>General Government, Revenue(ESA2010), Total Revenue, EUR</v>
      </c>
      <c r="AF2" t="str">
        <f t="shared" si="2"/>
        <v>General Government, Revenue(ESA2010), Total Revenue, EUR</v>
      </c>
      <c r="AG2" t="str">
        <f t="shared" si="2"/>
        <v>General Government, Revenue(ESA2010), Current Taxes on Income &amp; Wealth, Direct Taxes, EUR</v>
      </c>
      <c r="AH2" t="str">
        <f t="shared" si="2"/>
        <v>General Government, Revenue(ESA2010), Current Taxes on Income &amp; Wealth, Direct Taxes, EUR</v>
      </c>
      <c r="AI2" t="str">
        <f t="shared" si="2"/>
        <v>General Government, Revenue(ESA2010), Current Taxes on Income &amp; Wealth, Direct Taxes, EUR</v>
      </c>
      <c r="AJ2" t="str">
        <f t="shared" si="2"/>
        <v>General Government, Revenue(ESA2010), Current Taxes on Income &amp; Wealth, Direct Taxes, EUR</v>
      </c>
      <c r="AK2" t="str">
        <f t="shared" si="2"/>
        <v>General Government, Revenue(ESA2010), Current Taxes on Income &amp; Wealth, Direct Taxes, EUR</v>
      </c>
      <c r="AL2" t="str">
        <f t="shared" si="2"/>
        <v>General Government, Revenue(ESA2010), Taxes Linked to Imports &amp; Production, Indirect Taxes, EUR</v>
      </c>
      <c r="AM2" t="str">
        <f t="shared" si="2"/>
        <v>General Government, Revenue(ESA2010), Taxes Linked to Imports &amp; Production, Indirect Taxes, EUR</v>
      </c>
      <c r="AN2" t="str">
        <f t="shared" si="2"/>
        <v>General Government, Revenue(ESA2010), Taxes Linked to Imports &amp; Production, Indirect Taxes, EUR</v>
      </c>
      <c r="AO2" t="str">
        <f t="shared" si="2"/>
        <v>General Government, Revenue(ESA2010), Taxes Linked to Imports &amp; Production, Indirect Taxes, EUR</v>
      </c>
      <c r="AP2" t="str">
        <f t="shared" si="2"/>
        <v>General Government, Revenue(ESA2010), Taxes Linked to Imports &amp; Production, Indirect Taxes, EUR</v>
      </c>
      <c r="AQ2" t="str">
        <f t="shared" si="2"/>
        <v>General Government, Revenue(ESA2010), Actual Social Contributions Received, EUR</v>
      </c>
      <c r="AR2" t="str">
        <f t="shared" si="2"/>
        <v>General Government, Revenue(ESA2010), Actual Social Contributions Received, EUR</v>
      </c>
      <c r="AS2" t="str">
        <f t="shared" si="2"/>
        <v>General Government, Revenue(ESA2010), Actual Social Contributions Received, EUR</v>
      </c>
      <c r="AT2" t="str">
        <f t="shared" si="2"/>
        <v>General Government, Revenue(ESA2010), Actual Social Contributions Received, EUR</v>
      </c>
      <c r="AU2" t="str">
        <f t="shared" si="2"/>
        <v>General Government, Revenue(ESA2010), Actual Social Contributions Received, EUR</v>
      </c>
      <c r="AV2" t="str">
        <f t="shared" si="2"/>
        <v>General Government, Revenue(ESA2010), Imputed Social Contributions, EUR</v>
      </c>
      <c r="AW2" t="str">
        <f t="shared" si="2"/>
        <v>General Government, Revenue(ESA2010), Imputed Social Contributions, EUR</v>
      </c>
      <c r="AX2" t="str">
        <f t="shared" si="2"/>
        <v>General Government, Revenue(ESA2010), Imputed Social Contributions, EUR</v>
      </c>
      <c r="AY2" t="str">
        <f t="shared" si="2"/>
        <v>General Government, Revenue(ESA2010), Imputed Social Contributions, EUR</v>
      </c>
      <c r="AZ2" t="str">
        <f t="shared" si="2"/>
        <v>General Government, Revenue(ESA2010), Imputed Social Contributions, EUR</v>
      </c>
      <c r="BA2" t="str">
        <f t="shared" si="2"/>
        <v>General Government, Expenditure(ESA2010), Total Expenditure, EUR</v>
      </c>
      <c r="BB2" t="str">
        <f t="shared" si="2"/>
        <v>General Government, Expenditure(ESA2010), Total Expenditure, EUR</v>
      </c>
      <c r="BC2" t="str">
        <f t="shared" si="2"/>
        <v>General Government, Expenditure(ESA2010), Total Expenditure, EUR</v>
      </c>
      <c r="BD2" t="str">
        <f t="shared" si="2"/>
        <v>General Government, Expenditure(ESA2010), Total Expenditure, EUR</v>
      </c>
      <c r="BE2" t="str">
        <f t="shared" si="2"/>
        <v>General Government, Expenditure(ESA2010), Total Expenditure, EUR</v>
      </c>
      <c r="BF2" t="str">
        <f t="shared" si="2"/>
        <v>General Government, Expenditure(ESA2010), Final Consumption Expenditure, EUR</v>
      </c>
      <c r="BG2" t="str">
        <f t="shared" si="2"/>
        <v>General Government, Expenditure(ESA2010), Final Consumption Expenditure, EUR</v>
      </c>
      <c r="BH2" t="str">
        <f t="shared" si="2"/>
        <v>General Government, Expenditure(ESA2010), Final Consumption Expenditure, EUR</v>
      </c>
      <c r="BI2" t="str">
        <f t="shared" si="2"/>
        <v>General Government, Expenditure(ESA2010), Final Consumption Expenditure, EUR</v>
      </c>
      <c r="BJ2" t="str">
        <f t="shared" si="2"/>
        <v>General Government, Expenditure(ESA2010), Final Consumption Expenditure, EUR</v>
      </c>
      <c r="BK2" t="str">
        <f t="shared" si="2"/>
        <v>General Government, Expenditure(ESA2010), Subsidies, EUR</v>
      </c>
      <c r="BL2" t="str">
        <f t="shared" si="2"/>
        <v>General Government, Expenditure(ESA2010), Subsidies, EUR</v>
      </c>
      <c r="BM2" t="str">
        <f t="shared" si="2"/>
        <v>General Government, Expenditure(ESA2010), Subsidies, EUR</v>
      </c>
      <c r="BN2" t="str">
        <f t="shared" si="2"/>
        <v>General Government, Expenditure(ESA2010), Subsidies, EUR</v>
      </c>
      <c r="BO2" t="str">
        <f t="shared" si="2"/>
        <v>General Government, Expenditure(ESA2010), Subsidies, EUR</v>
      </c>
      <c r="BP2" t="str">
        <f t="shared" ref="BP2:CY2" si="3">_xlfn.TEXTAFTER(BP5,", ")</f>
        <v>General Government, Expenditure(ESA2010), Social Benefits Other than Social Transfers in Kind, EUR</v>
      </c>
      <c r="BQ2" t="str">
        <f t="shared" si="3"/>
        <v>General Government, Expenditure(ESA2010), Social Benefits Other than Social Transfers in Kind, EUR</v>
      </c>
      <c r="BR2" t="str">
        <f t="shared" si="3"/>
        <v>General Government, Expenditure(ESA2010), Social Benefits Other than Social Transfers in Kind, EUR</v>
      </c>
      <c r="BS2" t="str">
        <f t="shared" si="3"/>
        <v>General Government, Expenditure(ESA2010), Social Benefits Other than Social Transfers in Kind, EUR</v>
      </c>
      <c r="BT2" t="str">
        <f t="shared" si="3"/>
        <v>General Government, Expenditure(ESA2010), Social Benefits Other than Social Transfers in Kind, EUR</v>
      </c>
      <c r="BU2" t="str">
        <f t="shared" si="3"/>
        <v>General Government, Expenditure(ESA2010), Interest, EUR</v>
      </c>
      <c r="BV2" t="str">
        <f t="shared" si="3"/>
        <v>General Government, Expenditure(ESA2010), Interest, EUR</v>
      </c>
      <c r="BW2" t="str">
        <f t="shared" si="3"/>
        <v>General Government, Expenditure(ESA2010), Interest, EUR</v>
      </c>
      <c r="BX2" t="str">
        <f t="shared" si="3"/>
        <v>General Government, Expenditure(ESA2010), Interest, EUR</v>
      </c>
      <c r="BY2" t="str">
        <f t="shared" si="3"/>
        <v>General Government, Expenditure(ESA2010), Interest, EUR</v>
      </c>
      <c r="BZ2" t="str">
        <f t="shared" si="3"/>
        <v>Gross Public Debt, Based on ESA2010, Total, Percent of GDP (Excessive Deficit Procedure), Market Prices</v>
      </c>
      <c r="CA2" t="str">
        <f t="shared" si="3"/>
        <v>Gross Public Debt, Based on ESA2010, Total, Percent of GDP (Excessive Deficit Procedure), Market Prices</v>
      </c>
      <c r="CB2" t="str">
        <f t="shared" si="3"/>
        <v>Gross Public Debt, Based on ESA2010, Total, Percent of GDP (Excessive Deficit Procedure), Market Prices</v>
      </c>
      <c r="CC2" t="str">
        <f t="shared" si="3"/>
        <v>Gross Public Debt, Based on ESA2010, Total, Percent of GDP (Excessive Deficit Procedure), Market Prices</v>
      </c>
      <c r="CD2" t="str">
        <f t="shared" si="3"/>
        <v>Gross Public Debt, Based on ESA2010, Total, Percent of GDP (Excessive Deficit Procedure), Market Prices</v>
      </c>
      <c r="CE2" t="str">
        <f t="shared" si="3"/>
        <v>Monetary Variables, Exchange Rates &amp; Purchasing Power Parities, National Currency per ECU/EUR (Annual Averages), Average of Period</v>
      </c>
      <c r="CF2" t="str">
        <f t="shared" si="3"/>
        <v>Gross Public Debt, Based on ESA2010, Stock-Flow Adjustment on Gross Public Debt, EUR</v>
      </c>
      <c r="CG2" t="str">
        <f t="shared" si="3"/>
        <v>Gross Public Debt, Based on ESA2010, Stock-Flow Adjustment on Gross Public Debt, EUR</v>
      </c>
      <c r="CH2" t="str">
        <f t="shared" si="3"/>
        <v>Gross Public Debt, Based on ESA2010, Stock-Flow Adjustment on Gross Public Debt, EUR</v>
      </c>
      <c r="CI2" t="str">
        <f t="shared" si="3"/>
        <v>Gross Public Debt, Based on ESA2010, Stock-Flow Adjustment on Gross Public Debt, EUR</v>
      </c>
      <c r="CJ2" t="str">
        <f t="shared" si="3"/>
        <v>Gross Public Debt, Based on ESA2010, Stock-Flow Adjustment on Gross Public Debt, EUR</v>
      </c>
      <c r="CK2" t="str">
        <f t="shared" si="3"/>
        <v>General Government, Expenditure(ESA2010), Implicit Interest Rate, Percentage of Gross Public Debt</v>
      </c>
      <c r="CL2" t="str">
        <f t="shared" si="3"/>
        <v>General Government, Expenditure(ESA2010), Implicit Interest Rate, Percentage of Gross Public Debt</v>
      </c>
      <c r="CM2" t="str">
        <f t="shared" si="3"/>
        <v>General Government, Expenditure(ESA2010), Implicit Interest Rate, Percentage of Gross Public Debt</v>
      </c>
      <c r="CN2" t="str">
        <f t="shared" si="3"/>
        <v>General Government, Expenditure(ESA2010), Implicit Interest Rate, Percentage of Gross Public Debt</v>
      </c>
      <c r="CO2" t="str">
        <f t="shared" si="3"/>
        <v>General Government, Expenditure(ESA2010), Implicit Interest Rate, Percentage of Gross Public Debt</v>
      </c>
      <c r="CP2" t="str">
        <f t="shared" si="3"/>
        <v>Monetary Variables, Interest Rates, Nominal, Long-Term, Current Prices</v>
      </c>
      <c r="CQ2" t="str">
        <f t="shared" si="3"/>
        <v>Monetary Variables, Interest Rates, Nominal, Long-Term, Current Prices</v>
      </c>
      <c r="CR2" t="str">
        <f t="shared" si="3"/>
        <v>Monetary Variables, Interest Rates, Nominal, Long-Term, Current Prices</v>
      </c>
      <c r="CS2" t="str">
        <f t="shared" si="3"/>
        <v>Monetary Variables, Interest Rates, Nominal, Long-Term, Current Prices</v>
      </c>
      <c r="CT2" t="str">
        <f t="shared" si="3"/>
        <v>Monetary Variables, Interest Rates, Nominal, Long-Term, Current Prices</v>
      </c>
      <c r="CU2" t="str">
        <f t="shared" si="3"/>
        <v>Monetary Variables, Interest Rates, Nominal, Short-Term, Current Prices</v>
      </c>
      <c r="CV2" t="str">
        <f t="shared" si="3"/>
        <v>Monetary Variables, Interest Rates, Nominal, Short-Term, Current Prices</v>
      </c>
      <c r="CW2" t="str">
        <f t="shared" si="3"/>
        <v>Monetary Variables, Interest Rates, Nominal, Short-Term, Current Prices</v>
      </c>
      <c r="CX2" t="str">
        <f t="shared" si="3"/>
        <v>Monetary Variables, Interest Rates, Nominal, Short-Term, Current Prices</v>
      </c>
      <c r="CY2" t="str">
        <f t="shared" si="3"/>
        <v>Monetary Variables, Interest Rates, Nominal, Short-Term, Current Prices</v>
      </c>
    </row>
    <row r="3" spans="1:103" x14ac:dyDescent="0.3">
      <c r="C3" t="str">
        <f>_xlfn.XLOOKUP(C2,Sheet2!$D:$D,Sheet2!$E:$E)</f>
        <v>I_M_NOM</v>
      </c>
      <c r="D3" t="str">
        <f>_xlfn.XLOOKUP(D2,Sheet2!$D:$D,Sheet2!$E:$E)</f>
        <v>I_G</v>
      </c>
      <c r="E3" t="str">
        <f>_xlfn.XLOOKUP(E2,Sheet2!$D:$D,Sheet2!$E:$E)</f>
        <v>I_M_NOM</v>
      </c>
      <c r="F3" t="str">
        <f>_xlfn.XLOOKUP(F2,Sheet2!$D:$D,Sheet2!$E:$E)</f>
        <v>I_G</v>
      </c>
      <c r="G3" t="str">
        <f>_xlfn.XLOOKUP(G2,Sheet2!$D:$D,Sheet2!$E:$E)</f>
        <v>I_M_NOM</v>
      </c>
      <c r="H3" t="str">
        <f>_xlfn.XLOOKUP(H2,Sheet2!$D:$D,Sheet2!$E:$E)</f>
        <v>I_G</v>
      </c>
      <c r="I3" t="str">
        <f>_xlfn.XLOOKUP(I2,Sheet2!$D:$D,Sheet2!$E:$E)</f>
        <v>I_M_NOM</v>
      </c>
      <c r="J3" t="str">
        <f>_xlfn.XLOOKUP(J2,Sheet2!$D:$D,Sheet2!$E:$E)</f>
        <v>I_G</v>
      </c>
      <c r="K3" t="str">
        <f>_xlfn.XLOOKUP(K2,Sheet2!$D:$D,Sheet2!$E:$E)</f>
        <v>I_M_NOM</v>
      </c>
      <c r="L3" t="str">
        <f>_xlfn.XLOOKUP(L2,Sheet2!$D:$D,Sheet2!$E:$E)</f>
        <v>I_G</v>
      </c>
      <c r="M3" t="str">
        <f>_xlfn.XLOOKUP(M2,Sheet2!$D:$D,Sheet2!$E:$E)</f>
        <v>DEPR_TOTAL_NOM</v>
      </c>
      <c r="N3" t="str">
        <f>_xlfn.XLOOKUP(N2,Sheet2!$D:$D,Sheet2!$E:$E)</f>
        <v>DEPR_G_NOM</v>
      </c>
      <c r="O3" t="str">
        <f>_xlfn.XLOOKUP(O2,Sheet2!$D:$D,Sheet2!$E:$E)</f>
        <v>DEPR_TOTAL_NOM</v>
      </c>
      <c r="P3" t="str">
        <f>_xlfn.XLOOKUP(P2,Sheet2!$D:$D,Sheet2!$E:$E)</f>
        <v>DEPR_G_NOM</v>
      </c>
      <c r="Q3" t="str">
        <f>_xlfn.XLOOKUP(Q2,Sheet2!$D:$D,Sheet2!$E:$E)</f>
        <v>DEPR_G_NOM</v>
      </c>
      <c r="R3" t="str">
        <f>_xlfn.XLOOKUP(R2,Sheet2!$D:$D,Sheet2!$E:$E)</f>
        <v>DEPR_TOTAL_NOM</v>
      </c>
      <c r="S3" t="str">
        <f>_xlfn.XLOOKUP(S2,Sheet2!$D:$D,Sheet2!$E:$E)</f>
        <v>DEPR_TOTAL_NOM</v>
      </c>
      <c r="T3" t="str">
        <f>_xlfn.XLOOKUP(T2,Sheet2!$D:$D,Sheet2!$E:$E)</f>
        <v>DEPR_G_NOM</v>
      </c>
      <c r="U3" t="str">
        <f>_xlfn.XLOOKUP(U2,Sheet2!$D:$D,Sheet2!$E:$E)</f>
        <v>DEPR_G_NOM</v>
      </c>
      <c r="V3" t="str">
        <f>_xlfn.XLOOKUP(V2,Sheet2!$D:$D,Sheet2!$E:$E)</f>
        <v>DEPR_TOTAL_NOM</v>
      </c>
      <c r="W3" t="str">
        <f>_xlfn.XLOOKUP(W2,Sheet2!$D:$D,Sheet2!$E:$E)</f>
        <v>PB_RATIO</v>
      </c>
      <c r="X3" t="str">
        <f>_xlfn.XLOOKUP(X2,Sheet2!$D:$D,Sheet2!$E:$E)</f>
        <v>PB_RATIO</v>
      </c>
      <c r="Y3" t="str">
        <f>_xlfn.XLOOKUP(Y2,Sheet2!$D:$D,Sheet2!$E:$E)</f>
        <v>PB_RATIO</v>
      </c>
      <c r="Z3" t="str">
        <f>_xlfn.XLOOKUP(Z2,Sheet2!$D:$D,Sheet2!$E:$E)</f>
        <v>PB_RATIO</v>
      </c>
      <c r="AA3" t="str">
        <f>_xlfn.XLOOKUP(AA2,Sheet2!$D:$D,Sheet2!$E:$E)</f>
        <v>PB_RATIO</v>
      </c>
      <c r="AB3" t="str">
        <f>_xlfn.XLOOKUP(AB2,Sheet2!$D:$D,Sheet2!$E:$E)</f>
        <v>GR</v>
      </c>
      <c r="AC3" t="str">
        <f>_xlfn.XLOOKUP(AC2,Sheet2!$D:$D,Sheet2!$E:$E)</f>
        <v>GR</v>
      </c>
      <c r="AD3" t="str">
        <f>_xlfn.XLOOKUP(AD2,Sheet2!$D:$D,Sheet2!$E:$E)</f>
        <v>GR</v>
      </c>
      <c r="AE3" t="str">
        <f>_xlfn.XLOOKUP(AE2,Sheet2!$D:$D,Sheet2!$E:$E)</f>
        <v>GR</v>
      </c>
      <c r="AF3" t="str">
        <f>_xlfn.XLOOKUP(AF2,Sheet2!$D:$D,Sheet2!$E:$E)</f>
        <v>GR</v>
      </c>
      <c r="AG3" t="str">
        <f>_xlfn.XLOOKUP(AG2,Sheet2!$D:$D,Sheet2!$E:$E)</f>
        <v>taxes_income_wealth</v>
      </c>
      <c r="AH3" t="str">
        <f>_xlfn.XLOOKUP(AH2,Sheet2!$D:$D,Sheet2!$E:$E)</f>
        <v>taxes_income_wealth</v>
      </c>
      <c r="AI3" t="str">
        <f>_xlfn.XLOOKUP(AI2,Sheet2!$D:$D,Sheet2!$E:$E)</f>
        <v>taxes_income_wealth</v>
      </c>
      <c r="AJ3" t="str">
        <f>_xlfn.XLOOKUP(AJ2,Sheet2!$D:$D,Sheet2!$E:$E)</f>
        <v>taxes_income_wealth</v>
      </c>
      <c r="AK3" t="str">
        <f>_xlfn.XLOOKUP(AK2,Sheet2!$D:$D,Sheet2!$E:$E)</f>
        <v>taxes_income_wealth</v>
      </c>
      <c r="AL3" t="str">
        <f>_xlfn.XLOOKUP(AL2,Sheet2!$D:$D,Sheet2!$E:$E)</f>
        <v>T_C</v>
      </c>
      <c r="AM3" t="str">
        <f>_xlfn.XLOOKUP(AM2,Sheet2!$D:$D,Sheet2!$E:$E)</f>
        <v>T_C</v>
      </c>
      <c r="AN3" t="str">
        <f>_xlfn.XLOOKUP(AN2,Sheet2!$D:$D,Sheet2!$E:$E)</f>
        <v>T_C</v>
      </c>
      <c r="AO3" t="str">
        <f>_xlfn.XLOOKUP(AO2,Sheet2!$D:$D,Sheet2!$E:$E)</f>
        <v>T_C</v>
      </c>
      <c r="AP3" t="str">
        <f>_xlfn.XLOOKUP(AP2,Sheet2!$D:$D,Sheet2!$E:$E)</f>
        <v>T_C</v>
      </c>
      <c r="AQ3" t="str">
        <f>_xlfn.XLOOKUP(AQ2,Sheet2!$D:$D,Sheet2!$E:$E)</f>
        <v>SC_actual</v>
      </c>
      <c r="AR3" t="str">
        <f>_xlfn.XLOOKUP(AR2,Sheet2!$D:$D,Sheet2!$E:$E)</f>
        <v>SC_actual</v>
      </c>
      <c r="AS3" t="str">
        <f>_xlfn.XLOOKUP(AS2,Sheet2!$D:$D,Sheet2!$E:$E)</f>
        <v>SC_actual</v>
      </c>
      <c r="AT3" t="str">
        <f>_xlfn.XLOOKUP(AT2,Sheet2!$D:$D,Sheet2!$E:$E)</f>
        <v>SC_actual</v>
      </c>
      <c r="AU3" t="str">
        <f>_xlfn.XLOOKUP(AU2,Sheet2!$D:$D,Sheet2!$E:$E)</f>
        <v>SC_actual</v>
      </c>
      <c r="AV3" t="str">
        <f>_xlfn.XLOOKUP(AV2,Sheet2!$D:$D,Sheet2!$E:$E)</f>
        <v>SC_IMP</v>
      </c>
      <c r="AW3" t="str">
        <f>_xlfn.XLOOKUP(AW2,Sheet2!$D:$D,Sheet2!$E:$E)</f>
        <v>SC_IMP</v>
      </c>
      <c r="AX3" t="str">
        <f>_xlfn.XLOOKUP(AX2,Sheet2!$D:$D,Sheet2!$E:$E)</f>
        <v>SC_IMP</v>
      </c>
      <c r="AY3" t="str">
        <f>_xlfn.XLOOKUP(AY2,Sheet2!$D:$D,Sheet2!$E:$E)</f>
        <v>SC_IMP</v>
      </c>
      <c r="AZ3" t="str">
        <f>_xlfn.XLOOKUP(AZ2,Sheet2!$D:$D,Sheet2!$E:$E)</f>
        <v>SC_IMP</v>
      </c>
      <c r="BA3" t="str">
        <f>_xlfn.XLOOKUP(BA2,Sheet2!$D:$D,Sheet2!$E:$E)</f>
        <v>GE</v>
      </c>
      <c r="BB3" t="str">
        <f>_xlfn.XLOOKUP(BB2,Sheet2!$D:$D,Sheet2!$E:$E)</f>
        <v>GE</v>
      </c>
      <c r="BC3" t="str">
        <f>_xlfn.XLOOKUP(BC2,Sheet2!$D:$D,Sheet2!$E:$E)</f>
        <v>GE</v>
      </c>
      <c r="BD3" t="str">
        <f>_xlfn.XLOOKUP(BD2,Sheet2!$D:$D,Sheet2!$E:$E)</f>
        <v>GE</v>
      </c>
      <c r="BE3" t="str">
        <f>_xlfn.XLOOKUP(BE2,Sheet2!$D:$D,Sheet2!$E:$E)</f>
        <v>GE</v>
      </c>
      <c r="BF3" t="str">
        <f>_xlfn.XLOOKUP(BF2,Sheet2!$D:$D,Sheet2!$E:$E)</f>
        <v>G</v>
      </c>
      <c r="BG3" t="str">
        <f>_xlfn.XLOOKUP(BG2,Sheet2!$D:$D,Sheet2!$E:$E)</f>
        <v>G</v>
      </c>
      <c r="BH3" t="str">
        <f>_xlfn.XLOOKUP(BH2,Sheet2!$D:$D,Sheet2!$E:$E)</f>
        <v>G</v>
      </c>
      <c r="BI3" t="str">
        <f>_xlfn.XLOOKUP(BI2,Sheet2!$D:$D,Sheet2!$E:$E)</f>
        <v>G</v>
      </c>
      <c r="BJ3" t="str">
        <f>_xlfn.XLOOKUP(BJ2,Sheet2!$D:$D,Sheet2!$E:$E)</f>
        <v>G</v>
      </c>
      <c r="BK3" t="str">
        <f>_xlfn.XLOOKUP(BK2,Sheet2!$D:$D,Sheet2!$E:$E)</f>
        <v>SUB</v>
      </c>
      <c r="BL3" t="str">
        <f>_xlfn.XLOOKUP(BL2,Sheet2!$D:$D,Sheet2!$E:$E)</f>
        <v>SUB</v>
      </c>
      <c r="BM3" t="str">
        <f>_xlfn.XLOOKUP(BM2,Sheet2!$D:$D,Sheet2!$E:$E)</f>
        <v>SUB</v>
      </c>
      <c r="BN3" t="str">
        <f>_xlfn.XLOOKUP(BN2,Sheet2!$D:$D,Sheet2!$E:$E)</f>
        <v>SUB</v>
      </c>
      <c r="BO3" t="str">
        <f>_xlfn.XLOOKUP(BO2,Sheet2!$D:$D,Sheet2!$E:$E)</f>
        <v>SUB</v>
      </c>
      <c r="BP3" t="str">
        <f>_xlfn.XLOOKUP(BP2,Sheet2!$D:$D,Sheet2!$E:$E)</f>
        <v>TR</v>
      </c>
      <c r="BQ3" t="str">
        <f>_xlfn.XLOOKUP(BQ2,Sheet2!$D:$D,Sheet2!$E:$E)</f>
        <v>TR</v>
      </c>
      <c r="BR3" t="str">
        <f>_xlfn.XLOOKUP(BR2,Sheet2!$D:$D,Sheet2!$E:$E)</f>
        <v>TR</v>
      </c>
      <c r="BS3" t="str">
        <f>_xlfn.XLOOKUP(BS2,Sheet2!$D:$D,Sheet2!$E:$E)</f>
        <v>TR</v>
      </c>
      <c r="BT3" t="str">
        <f>_xlfn.XLOOKUP(BT2,Sheet2!$D:$D,Sheet2!$E:$E)</f>
        <v>TR</v>
      </c>
      <c r="BU3" t="str">
        <f>_xlfn.XLOOKUP(BU2,Sheet2!$D:$D,Sheet2!$E:$E)</f>
        <v>INT</v>
      </c>
      <c r="BV3" t="str">
        <f>_xlfn.XLOOKUP(BV2,Sheet2!$D:$D,Sheet2!$E:$E)</f>
        <v>INT</v>
      </c>
      <c r="BW3" t="str">
        <f>_xlfn.XLOOKUP(BW2,Sheet2!$D:$D,Sheet2!$E:$E)</f>
        <v>INT</v>
      </c>
      <c r="BX3" t="str">
        <f>_xlfn.XLOOKUP(BX2,Sheet2!$D:$D,Sheet2!$E:$E)</f>
        <v>INT</v>
      </c>
      <c r="BY3" t="str">
        <f>_xlfn.XLOOKUP(BY2,Sheet2!$D:$D,Sheet2!$E:$E)</f>
        <v>INT</v>
      </c>
      <c r="BZ3" t="str">
        <f>_xlfn.XLOOKUP(BZ2,Sheet2!$D:$D,Sheet2!$E:$E)</f>
        <v>D_RATIO</v>
      </c>
      <c r="CA3" t="str">
        <f>_xlfn.XLOOKUP(CA2,Sheet2!$D:$D,Sheet2!$E:$E)</f>
        <v>D_RATIO</v>
      </c>
      <c r="CB3" t="str">
        <f>_xlfn.XLOOKUP(CB2,Sheet2!$D:$D,Sheet2!$E:$E)</f>
        <v>D_RATIO</v>
      </c>
      <c r="CC3" t="str">
        <f>_xlfn.XLOOKUP(CC2,Sheet2!$D:$D,Sheet2!$E:$E)</f>
        <v>D_RATIO</v>
      </c>
      <c r="CD3" t="str">
        <f>_xlfn.XLOOKUP(CD2,Sheet2!$D:$D,Sheet2!$E:$E)</f>
        <v>D_RATIO</v>
      </c>
      <c r="CE3" t="str">
        <f>_xlfn.XLOOKUP(CE2,Sheet2!$D:$D,Sheet2!$E:$E)</f>
        <v>EXR_USD</v>
      </c>
      <c r="CF3" t="str">
        <f>_xlfn.XLOOKUP(CF2,Sheet2!$D:$D,Sheet2!$E:$E)</f>
        <v>SF</v>
      </c>
      <c r="CG3" t="str">
        <f>_xlfn.XLOOKUP(CG2,Sheet2!$D:$D,Sheet2!$E:$E)</f>
        <v>SF</v>
      </c>
      <c r="CH3" t="str">
        <f>_xlfn.XLOOKUP(CH2,Sheet2!$D:$D,Sheet2!$E:$E)</f>
        <v>SF</v>
      </c>
      <c r="CI3" t="str">
        <f>_xlfn.XLOOKUP(CI2,Sheet2!$D:$D,Sheet2!$E:$E)</f>
        <v>SF</v>
      </c>
      <c r="CJ3" t="str">
        <f>_xlfn.XLOOKUP(CJ2,Sheet2!$D:$D,Sheet2!$E:$E)</f>
        <v>SF</v>
      </c>
      <c r="CK3" t="str">
        <f>_xlfn.XLOOKUP(CK2,Sheet2!$D:$D,Sheet2!$E:$E)</f>
        <v>IIR</v>
      </c>
      <c r="CL3" t="str">
        <f>_xlfn.XLOOKUP(CL2,Sheet2!$D:$D,Sheet2!$E:$E)</f>
        <v>IIR</v>
      </c>
      <c r="CM3" t="str">
        <f>_xlfn.XLOOKUP(CM2,Sheet2!$D:$D,Sheet2!$E:$E)</f>
        <v>IIR</v>
      </c>
      <c r="CN3" t="str">
        <f>_xlfn.XLOOKUP(CN2,Sheet2!$D:$D,Sheet2!$E:$E)</f>
        <v>IIR</v>
      </c>
      <c r="CO3" t="str">
        <f>_xlfn.XLOOKUP(CO2,Sheet2!$D:$D,Sheet2!$E:$E)</f>
        <v>IIR</v>
      </c>
      <c r="CP3" t="str">
        <f>_xlfn.XLOOKUP(CP2,Sheet2!$D:$D,Sheet2!$E:$E)</f>
        <v>I_LT</v>
      </c>
      <c r="CQ3" t="str">
        <f>_xlfn.XLOOKUP(CQ2,Sheet2!$D:$D,Sheet2!$E:$E)</f>
        <v>I_LT</v>
      </c>
      <c r="CR3" t="str">
        <f>_xlfn.XLOOKUP(CR2,Sheet2!$D:$D,Sheet2!$E:$E)</f>
        <v>I_LT</v>
      </c>
      <c r="CS3" t="str">
        <f>_xlfn.XLOOKUP(CS2,Sheet2!$D:$D,Sheet2!$E:$E)</f>
        <v>I_LT</v>
      </c>
      <c r="CT3" t="str">
        <f>_xlfn.XLOOKUP(CT2,Sheet2!$D:$D,Sheet2!$E:$E)</f>
        <v>I_LT</v>
      </c>
      <c r="CU3" t="str">
        <f>_xlfn.XLOOKUP(CU2,Sheet2!$D:$D,Sheet2!$E:$E)</f>
        <v>I_RATE</v>
      </c>
      <c r="CV3" t="str">
        <f>_xlfn.XLOOKUP(CV2,Sheet2!$D:$D,Sheet2!$E:$E)</f>
        <v>I_RATE</v>
      </c>
      <c r="CW3" t="str">
        <f>_xlfn.XLOOKUP(CW2,Sheet2!$D:$D,Sheet2!$E:$E)</f>
        <v>I_RATE</v>
      </c>
      <c r="CX3" t="str">
        <f>_xlfn.XLOOKUP(CX2,Sheet2!$D:$D,Sheet2!$E:$E)</f>
        <v>I_RATE</v>
      </c>
      <c r="CY3" t="str">
        <f>_xlfn.XLOOKUP(CY2,Sheet2!$D:$D,Sheet2!$E:$E)</f>
        <v>I_RATE</v>
      </c>
    </row>
    <row r="4" spans="1:103" x14ac:dyDescent="0.3">
      <c r="B4" t="s">
        <v>0</v>
      </c>
    </row>
    <row r="5" spans="1:103" x14ac:dyDescent="0.3"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123</v>
      </c>
      <c r="BD5" t="s">
        <v>53</v>
      </c>
      <c r="BE5" t="s">
        <v>54</v>
      </c>
      <c r="BF5" t="s">
        <v>55</v>
      </c>
      <c r="BG5" t="s">
        <v>56</v>
      </c>
      <c r="BH5" t="s">
        <v>57</v>
      </c>
      <c r="BI5" t="s">
        <v>58</v>
      </c>
      <c r="BJ5" t="s">
        <v>59</v>
      </c>
      <c r="BK5" t="s">
        <v>60</v>
      </c>
      <c r="BL5" t="s">
        <v>61</v>
      </c>
      <c r="BM5" t="s">
        <v>62</v>
      </c>
      <c r="BN5" t="s">
        <v>63</v>
      </c>
      <c r="BO5" t="s">
        <v>64</v>
      </c>
      <c r="BP5" t="s">
        <v>65</v>
      </c>
      <c r="BQ5" t="s">
        <v>66</v>
      </c>
      <c r="BR5" t="s">
        <v>67</v>
      </c>
      <c r="BS5" t="s">
        <v>68</v>
      </c>
      <c r="BT5" t="s">
        <v>69</v>
      </c>
      <c r="BU5" t="s">
        <v>70</v>
      </c>
      <c r="BV5" t="s">
        <v>71</v>
      </c>
      <c r="BW5" t="s">
        <v>72</v>
      </c>
      <c r="BX5" t="s">
        <v>73</v>
      </c>
      <c r="BY5" t="s">
        <v>74</v>
      </c>
      <c r="BZ5" t="s">
        <v>75</v>
      </c>
      <c r="CA5" t="s">
        <v>76</v>
      </c>
      <c r="CB5" t="s">
        <v>77</v>
      </c>
      <c r="CC5" t="s">
        <v>78</v>
      </c>
      <c r="CD5" t="s">
        <v>79</v>
      </c>
      <c r="CE5" t="s">
        <v>80</v>
      </c>
      <c r="CF5" t="s">
        <v>81</v>
      </c>
      <c r="CG5" t="s">
        <v>82</v>
      </c>
      <c r="CH5" t="s">
        <v>83</v>
      </c>
      <c r="CI5" t="s">
        <v>84</v>
      </c>
      <c r="CJ5" t="s">
        <v>85</v>
      </c>
      <c r="CK5" t="s">
        <v>86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97</v>
      </c>
      <c r="CX5" t="s">
        <v>98</v>
      </c>
      <c r="CY5" t="s">
        <v>99</v>
      </c>
    </row>
    <row r="6" spans="1:103" x14ac:dyDescent="0.3">
      <c r="A6">
        <v>1960</v>
      </c>
      <c r="B6" s="1">
        <v>21916</v>
      </c>
      <c r="C6">
        <v>1342600000</v>
      </c>
      <c r="D6">
        <v>351380000</v>
      </c>
      <c r="E6">
        <v>10962500000</v>
      </c>
      <c r="F6">
        <v>2417600000</v>
      </c>
      <c r="K6">
        <v>1229120000</v>
      </c>
      <c r="L6">
        <v>244770000</v>
      </c>
      <c r="M6">
        <v>1002100000</v>
      </c>
      <c r="N6">
        <v>217340000</v>
      </c>
      <c r="O6">
        <v>7292700000</v>
      </c>
      <c r="R6">
        <v>5185000000</v>
      </c>
      <c r="S6">
        <v>1687600000</v>
      </c>
      <c r="U6">
        <v>66100000.000000007</v>
      </c>
      <c r="V6">
        <v>568970000</v>
      </c>
      <c r="CC6">
        <v>31.722200000000001</v>
      </c>
      <c r="CE6">
        <v>1.0562100000000001</v>
      </c>
      <c r="CR6">
        <v>5.7</v>
      </c>
      <c r="CS6">
        <v>5.26</v>
      </c>
      <c r="CT6">
        <v>4.2</v>
      </c>
      <c r="CX6">
        <v>3.5</v>
      </c>
      <c r="CY6">
        <v>2.1</v>
      </c>
    </row>
    <row r="7" spans="1:103" x14ac:dyDescent="0.3">
      <c r="A7">
        <f>A6+1</f>
        <v>1961</v>
      </c>
      <c r="B7" s="1">
        <v>22282</v>
      </c>
      <c r="C7">
        <v>1557500000</v>
      </c>
      <c r="D7">
        <v>391750000</v>
      </c>
      <c r="E7">
        <v>12425400000</v>
      </c>
      <c r="F7">
        <v>2783500000</v>
      </c>
      <c r="K7">
        <v>1386240000</v>
      </c>
      <c r="L7">
        <v>243560000</v>
      </c>
      <c r="M7">
        <v>1088700000</v>
      </c>
      <c r="N7">
        <v>233560000</v>
      </c>
      <c r="O7">
        <v>7863300000</v>
      </c>
      <c r="R7">
        <v>5620500000</v>
      </c>
      <c r="S7">
        <v>1869400000</v>
      </c>
      <c r="U7">
        <v>73860000</v>
      </c>
      <c r="V7">
        <v>642730000</v>
      </c>
      <c r="CC7">
        <v>29.864799999999999</v>
      </c>
      <c r="CE7">
        <v>1.06734</v>
      </c>
      <c r="CQ7">
        <v>6.58</v>
      </c>
      <c r="CR7">
        <v>5.52</v>
      </c>
      <c r="CS7">
        <v>4.97</v>
      </c>
      <c r="CT7">
        <v>3.91</v>
      </c>
      <c r="CX7">
        <v>3.5</v>
      </c>
      <c r="CY7">
        <v>1.1399999999999999</v>
      </c>
    </row>
    <row r="8" spans="1:103" x14ac:dyDescent="0.3">
      <c r="A8">
        <f t="shared" ref="A8:A71" si="4">A7+1</f>
        <v>1962</v>
      </c>
      <c r="B8" s="1">
        <v>22647</v>
      </c>
      <c r="C8">
        <v>1619400000</v>
      </c>
      <c r="D8">
        <v>418620000</v>
      </c>
      <c r="E8">
        <v>13563800000</v>
      </c>
      <c r="F8">
        <v>3286400000</v>
      </c>
      <c r="K8">
        <v>1451490000</v>
      </c>
      <c r="L8">
        <v>265689999.99999997</v>
      </c>
      <c r="M8">
        <v>1181000000</v>
      </c>
      <c r="N8">
        <v>248100000</v>
      </c>
      <c r="O8">
        <v>8596400000</v>
      </c>
      <c r="R8">
        <v>6274100000</v>
      </c>
      <c r="S8">
        <v>2033599999.9999998</v>
      </c>
      <c r="U8">
        <v>79320000</v>
      </c>
      <c r="V8">
        <v>705830000</v>
      </c>
      <c r="CC8">
        <v>28.724299999999999</v>
      </c>
      <c r="CE8">
        <v>1.0698099999999999</v>
      </c>
      <c r="CQ8">
        <v>7.09</v>
      </c>
      <c r="CR8">
        <v>5.43</v>
      </c>
      <c r="CS8">
        <v>5.05</v>
      </c>
      <c r="CT8">
        <v>4.21</v>
      </c>
      <c r="CX8">
        <v>3.5</v>
      </c>
      <c r="CY8">
        <v>1.88</v>
      </c>
    </row>
    <row r="9" spans="1:103" x14ac:dyDescent="0.3">
      <c r="A9">
        <f t="shared" si="4"/>
        <v>1963</v>
      </c>
      <c r="B9" s="1">
        <v>23012</v>
      </c>
      <c r="C9">
        <v>1758600000</v>
      </c>
      <c r="D9">
        <v>458510000</v>
      </c>
      <c r="E9">
        <v>15700400000</v>
      </c>
      <c r="F9">
        <v>3858000000</v>
      </c>
      <c r="K9">
        <v>1431710000</v>
      </c>
      <c r="L9">
        <v>300740000</v>
      </c>
      <c r="M9">
        <v>1307400000</v>
      </c>
      <c r="N9">
        <v>268220000</v>
      </c>
      <c r="O9">
        <v>9711600000</v>
      </c>
      <c r="R9">
        <v>7256400000</v>
      </c>
      <c r="S9">
        <v>2210300000</v>
      </c>
      <c r="U9">
        <v>86630000</v>
      </c>
      <c r="V9">
        <v>774670000</v>
      </c>
      <c r="CC9">
        <v>26.785799999999998</v>
      </c>
      <c r="CE9">
        <v>1.0698099999999999</v>
      </c>
      <c r="CQ9">
        <v>7.95</v>
      </c>
      <c r="CR9">
        <v>5.34</v>
      </c>
      <c r="CS9">
        <v>5.19</v>
      </c>
      <c r="CT9">
        <v>4.22</v>
      </c>
      <c r="CX9">
        <v>3.5</v>
      </c>
      <c r="CY9">
        <v>1.98</v>
      </c>
    </row>
    <row r="10" spans="1:103" x14ac:dyDescent="0.3">
      <c r="A10">
        <f t="shared" si="4"/>
        <v>1964</v>
      </c>
      <c r="B10" s="1">
        <v>23377</v>
      </c>
      <c r="C10">
        <v>1938300000</v>
      </c>
      <c r="D10">
        <v>530719999.99999994</v>
      </c>
      <c r="E10">
        <v>17883000000</v>
      </c>
      <c r="F10">
        <v>4616000000</v>
      </c>
      <c r="K10">
        <v>1547250000</v>
      </c>
      <c r="L10">
        <v>380510000</v>
      </c>
      <c r="M10">
        <v>1410600000</v>
      </c>
      <c r="N10">
        <v>283310000</v>
      </c>
      <c r="O10">
        <v>10614600000</v>
      </c>
      <c r="R10">
        <v>8254799999.999999</v>
      </c>
      <c r="S10">
        <v>2442500000</v>
      </c>
      <c r="U10">
        <v>95070000</v>
      </c>
      <c r="V10">
        <v>850220000</v>
      </c>
      <c r="CC10">
        <v>26.617100000000001</v>
      </c>
      <c r="CE10">
        <v>1.0698099999999999</v>
      </c>
      <c r="CQ10">
        <v>8.41</v>
      </c>
      <c r="CR10">
        <v>5.45</v>
      </c>
      <c r="CS10">
        <v>5.74</v>
      </c>
      <c r="CT10">
        <v>4.92</v>
      </c>
      <c r="CX10">
        <v>3.5</v>
      </c>
      <c r="CY10">
        <v>3.45</v>
      </c>
    </row>
    <row r="11" spans="1:103" x14ac:dyDescent="0.3">
      <c r="A11">
        <f t="shared" si="4"/>
        <v>1965</v>
      </c>
      <c r="B11" s="1">
        <v>23743</v>
      </c>
      <c r="C11">
        <v>2187000000</v>
      </c>
      <c r="D11">
        <v>588290000</v>
      </c>
      <c r="E11">
        <v>19441100000</v>
      </c>
      <c r="F11">
        <v>5216600000</v>
      </c>
      <c r="K11">
        <v>1785440000</v>
      </c>
      <c r="L11">
        <v>443980000</v>
      </c>
      <c r="M11">
        <v>1566900000</v>
      </c>
      <c r="N11">
        <v>316840000</v>
      </c>
      <c r="O11">
        <v>11521200000</v>
      </c>
      <c r="R11">
        <v>8867400000</v>
      </c>
      <c r="S11">
        <v>2689000000</v>
      </c>
      <c r="U11">
        <v>106330000</v>
      </c>
      <c r="V11">
        <v>930440000</v>
      </c>
      <c r="CC11">
        <v>27.647200000000002</v>
      </c>
      <c r="CE11">
        <v>1.0698099999999999</v>
      </c>
      <c r="CP11">
        <v>6.51</v>
      </c>
      <c r="CQ11">
        <v>8.6199999999999992</v>
      </c>
      <c r="CR11">
        <v>6.2</v>
      </c>
      <c r="CS11">
        <v>5.39</v>
      </c>
      <c r="CT11">
        <v>5.21</v>
      </c>
      <c r="CX11">
        <v>3.5</v>
      </c>
      <c r="CY11">
        <v>3.96</v>
      </c>
    </row>
    <row r="12" spans="1:103" x14ac:dyDescent="0.3">
      <c r="A12">
        <f t="shared" si="4"/>
        <v>1966</v>
      </c>
      <c r="B12" s="1">
        <v>24108</v>
      </c>
      <c r="C12">
        <v>2440800000</v>
      </c>
      <c r="D12">
        <v>633230000</v>
      </c>
      <c r="E12">
        <v>21532000000</v>
      </c>
      <c r="F12">
        <v>5519300000</v>
      </c>
      <c r="K12">
        <v>1940650000</v>
      </c>
      <c r="L12">
        <v>459950000</v>
      </c>
      <c r="M12">
        <v>1703300000</v>
      </c>
      <c r="N12">
        <v>336950000</v>
      </c>
      <c r="O12">
        <v>12540800000</v>
      </c>
      <c r="R12">
        <v>9336900000</v>
      </c>
      <c r="S12">
        <v>2950800000</v>
      </c>
      <c r="U12">
        <v>114200000</v>
      </c>
      <c r="V12">
        <v>1025690000</v>
      </c>
      <c r="CC12">
        <v>32.299300000000002</v>
      </c>
      <c r="CE12">
        <v>1.0698099999999999</v>
      </c>
      <c r="CP12">
        <v>6.91</v>
      </c>
      <c r="CQ12">
        <v>8.41</v>
      </c>
      <c r="CR12">
        <v>6.58</v>
      </c>
      <c r="CS12">
        <v>5.49</v>
      </c>
      <c r="CT12">
        <v>6.24</v>
      </c>
      <c r="CX12">
        <v>3.5</v>
      </c>
      <c r="CY12">
        <v>4.87</v>
      </c>
    </row>
    <row r="13" spans="1:103" x14ac:dyDescent="0.3">
      <c r="A13">
        <f t="shared" si="4"/>
        <v>1967</v>
      </c>
      <c r="B13" s="1">
        <v>24473</v>
      </c>
      <c r="C13">
        <v>2428600000</v>
      </c>
      <c r="D13">
        <v>731070000</v>
      </c>
      <c r="E13">
        <v>23701800000</v>
      </c>
      <c r="F13">
        <v>6149200000</v>
      </c>
      <c r="K13">
        <v>1868740000</v>
      </c>
      <c r="L13">
        <v>458790000</v>
      </c>
      <c r="M13">
        <v>1853100000</v>
      </c>
      <c r="N13">
        <v>378950000</v>
      </c>
      <c r="O13">
        <v>13710500000</v>
      </c>
      <c r="R13">
        <v>10026000000</v>
      </c>
      <c r="S13">
        <v>3221300000</v>
      </c>
      <c r="U13">
        <v>121100000</v>
      </c>
      <c r="V13">
        <v>1059160000.0000001</v>
      </c>
      <c r="CC13">
        <v>31.873799999999999</v>
      </c>
      <c r="CE13">
        <v>1.0648169999999999</v>
      </c>
      <c r="CP13">
        <v>7.22</v>
      </c>
      <c r="CQ13">
        <v>8.19</v>
      </c>
      <c r="CR13">
        <v>6.71</v>
      </c>
      <c r="CS13">
        <v>5.59</v>
      </c>
      <c r="CT13">
        <v>6</v>
      </c>
      <c r="CU13">
        <v>4.75</v>
      </c>
      <c r="CX13">
        <v>3.5</v>
      </c>
      <c r="CY13">
        <v>4.6900000000000004</v>
      </c>
    </row>
    <row r="14" spans="1:103" x14ac:dyDescent="0.3">
      <c r="A14">
        <f t="shared" si="4"/>
        <v>1968</v>
      </c>
      <c r="B14" s="1">
        <v>24838</v>
      </c>
      <c r="C14">
        <v>2604400000</v>
      </c>
      <c r="D14">
        <v>788100000</v>
      </c>
      <c r="E14">
        <v>26671700000</v>
      </c>
      <c r="F14">
        <v>6658500000</v>
      </c>
      <c r="K14">
        <v>1660270000</v>
      </c>
      <c r="L14">
        <v>427050000</v>
      </c>
      <c r="M14">
        <v>2028400000</v>
      </c>
      <c r="N14">
        <v>409620000</v>
      </c>
      <c r="O14">
        <v>14867900000</v>
      </c>
      <c r="R14">
        <v>11130800000</v>
      </c>
      <c r="S14">
        <v>3605000000</v>
      </c>
      <c r="U14">
        <v>121660000</v>
      </c>
      <c r="V14">
        <v>1052200000</v>
      </c>
      <c r="CC14">
        <v>34.230200000000004</v>
      </c>
      <c r="CE14">
        <v>1.0288900000000001</v>
      </c>
      <c r="CP14">
        <v>7.74</v>
      </c>
      <c r="CQ14">
        <v>8.15</v>
      </c>
      <c r="CR14">
        <v>6.95</v>
      </c>
      <c r="CS14">
        <v>5.61</v>
      </c>
      <c r="CT14">
        <v>6.22</v>
      </c>
      <c r="CU14">
        <v>4.1399999999999997</v>
      </c>
      <c r="CX14">
        <v>3.5</v>
      </c>
      <c r="CY14">
        <v>4.55</v>
      </c>
    </row>
    <row r="15" spans="1:103" x14ac:dyDescent="0.3">
      <c r="A15">
        <f t="shared" si="4"/>
        <v>1969</v>
      </c>
      <c r="B15" s="1">
        <v>25204</v>
      </c>
      <c r="C15">
        <v>2808300000</v>
      </c>
      <c r="D15">
        <v>821810000</v>
      </c>
      <c r="E15">
        <v>29496500000</v>
      </c>
      <c r="F15">
        <v>6936900000</v>
      </c>
      <c r="K15">
        <v>2031170000</v>
      </c>
      <c r="L15">
        <v>440490000</v>
      </c>
      <c r="M15">
        <v>2172300000</v>
      </c>
      <c r="N15">
        <v>408790000</v>
      </c>
      <c r="O15">
        <v>15884500000</v>
      </c>
      <c r="R15">
        <v>12429500000</v>
      </c>
      <c r="S15">
        <v>4012100000</v>
      </c>
      <c r="U15">
        <v>134570000</v>
      </c>
      <c r="V15">
        <v>1156990000</v>
      </c>
      <c r="CC15">
        <v>34.841299999999997</v>
      </c>
      <c r="CE15">
        <v>1.022187</v>
      </c>
      <c r="CP15">
        <v>7.52</v>
      </c>
      <c r="CQ15">
        <v>7.91</v>
      </c>
      <c r="CR15">
        <v>7.87</v>
      </c>
      <c r="CS15">
        <v>5.8</v>
      </c>
      <c r="CT15">
        <v>7.04</v>
      </c>
      <c r="CU15">
        <v>4.49</v>
      </c>
      <c r="CX15">
        <v>3.71</v>
      </c>
      <c r="CY15">
        <v>5.71</v>
      </c>
    </row>
    <row r="16" spans="1:103" x14ac:dyDescent="0.3">
      <c r="A16">
        <f t="shared" si="4"/>
        <v>1970</v>
      </c>
      <c r="B16" s="1">
        <v>25569</v>
      </c>
      <c r="C16">
        <v>3270100000</v>
      </c>
      <c r="D16">
        <v>926410000</v>
      </c>
      <c r="E16">
        <v>30363000000</v>
      </c>
      <c r="F16">
        <v>7144300000</v>
      </c>
      <c r="G16">
        <v>25621100000</v>
      </c>
      <c r="H16">
        <v>3748410000</v>
      </c>
      <c r="I16">
        <v>8176600000.000001</v>
      </c>
      <c r="J16">
        <v>2414530000</v>
      </c>
      <c r="K16">
        <v>2605400000</v>
      </c>
      <c r="L16">
        <v>426640000</v>
      </c>
      <c r="M16">
        <v>2416300000</v>
      </c>
      <c r="N16">
        <v>456150000</v>
      </c>
      <c r="O16">
        <v>16419600000</v>
      </c>
      <c r="P16">
        <v>2670700000</v>
      </c>
      <c r="Q16">
        <v>3497000000</v>
      </c>
      <c r="R16">
        <v>14482100000</v>
      </c>
      <c r="S16">
        <v>4630400000</v>
      </c>
      <c r="T16">
        <v>893110000</v>
      </c>
      <c r="U16">
        <v>156550000</v>
      </c>
      <c r="V16">
        <v>1338640000</v>
      </c>
      <c r="CC16">
        <v>35.776600000000002</v>
      </c>
      <c r="CE16">
        <v>1.022227</v>
      </c>
      <c r="CP16">
        <v>7.82</v>
      </c>
      <c r="CQ16">
        <v>7.83</v>
      </c>
      <c r="CR16">
        <v>8.0399999999999991</v>
      </c>
      <c r="CS16">
        <v>7.73</v>
      </c>
      <c r="CT16">
        <v>7.83</v>
      </c>
      <c r="CU16">
        <v>5.62</v>
      </c>
      <c r="CV16">
        <v>10.61</v>
      </c>
      <c r="CW16">
        <v>10.61</v>
      </c>
      <c r="CX16">
        <v>5.25</v>
      </c>
      <c r="CY16">
        <v>6.15</v>
      </c>
    </row>
    <row r="17" spans="1:103" x14ac:dyDescent="0.3">
      <c r="A17">
        <f t="shared" si="4"/>
        <v>1971</v>
      </c>
      <c r="B17" s="1">
        <v>25934</v>
      </c>
      <c r="C17">
        <v>3996800000</v>
      </c>
      <c r="D17">
        <v>1127250000</v>
      </c>
      <c r="E17">
        <v>33939600000</v>
      </c>
      <c r="F17">
        <v>7556500000</v>
      </c>
      <c r="G17">
        <v>27188100000</v>
      </c>
      <c r="H17">
        <v>3882060000</v>
      </c>
      <c r="I17">
        <v>9422700000</v>
      </c>
      <c r="J17">
        <v>2808950000</v>
      </c>
      <c r="K17">
        <v>2944820000</v>
      </c>
      <c r="L17">
        <v>470440000</v>
      </c>
      <c r="M17">
        <v>2770300000</v>
      </c>
      <c r="N17">
        <v>537910000</v>
      </c>
      <c r="O17">
        <v>18520800000</v>
      </c>
      <c r="P17">
        <v>3101100000</v>
      </c>
      <c r="Q17">
        <v>3576760000</v>
      </c>
      <c r="R17">
        <v>15468700000</v>
      </c>
      <c r="S17">
        <v>5464700000</v>
      </c>
      <c r="T17">
        <v>1066319999.9999999</v>
      </c>
      <c r="U17">
        <v>173950000</v>
      </c>
      <c r="V17">
        <v>1532160000</v>
      </c>
      <c r="CC17">
        <v>40.415999999999997</v>
      </c>
      <c r="CE17">
        <v>1.04776</v>
      </c>
      <c r="CP17">
        <v>7.71</v>
      </c>
      <c r="CQ17">
        <v>8.1</v>
      </c>
      <c r="CR17">
        <v>7.75</v>
      </c>
      <c r="CS17">
        <v>7</v>
      </c>
      <c r="CT17">
        <v>7.05</v>
      </c>
      <c r="CU17">
        <v>4.3899999999999997</v>
      </c>
      <c r="CV17">
        <v>8.09</v>
      </c>
      <c r="CW17">
        <v>8.09</v>
      </c>
      <c r="CX17">
        <v>5.69</v>
      </c>
      <c r="CY17">
        <v>4.45</v>
      </c>
    </row>
    <row r="18" spans="1:103" x14ac:dyDescent="0.3">
      <c r="A18">
        <f t="shared" si="4"/>
        <v>1972</v>
      </c>
      <c r="B18" s="1">
        <v>26299</v>
      </c>
      <c r="C18">
        <v>5040000000</v>
      </c>
      <c r="D18">
        <v>1361760000</v>
      </c>
      <c r="E18">
        <v>39231900000</v>
      </c>
      <c r="F18">
        <v>8245100000.000001</v>
      </c>
      <c r="G18">
        <v>28674600000</v>
      </c>
      <c r="H18">
        <v>4378990000</v>
      </c>
      <c r="I18">
        <v>10048100000</v>
      </c>
      <c r="J18">
        <v>2806310000</v>
      </c>
      <c r="K18">
        <v>3249130000</v>
      </c>
      <c r="L18">
        <v>568970000</v>
      </c>
      <c r="M18">
        <v>3174200000</v>
      </c>
      <c r="N18">
        <v>609600000</v>
      </c>
      <c r="O18">
        <v>21783800000</v>
      </c>
      <c r="P18">
        <v>3706700000</v>
      </c>
      <c r="Q18">
        <v>3648220000</v>
      </c>
      <c r="R18">
        <v>16829500000</v>
      </c>
      <c r="S18">
        <v>6257900000</v>
      </c>
      <c r="T18">
        <v>1246280000</v>
      </c>
      <c r="U18">
        <v>189220000</v>
      </c>
      <c r="V18">
        <v>1692000000</v>
      </c>
      <c r="CC18">
        <v>45.906300000000002</v>
      </c>
      <c r="CE18">
        <v>1.12178</v>
      </c>
      <c r="CP18">
        <v>7.38</v>
      </c>
      <c r="CQ18">
        <v>7.97</v>
      </c>
      <c r="CR18">
        <v>7.35</v>
      </c>
      <c r="CS18">
        <v>6.59</v>
      </c>
      <c r="CT18">
        <v>6.67</v>
      </c>
      <c r="CU18">
        <v>5.17</v>
      </c>
      <c r="CV18">
        <v>7.77</v>
      </c>
      <c r="CW18">
        <v>7.77</v>
      </c>
      <c r="CX18">
        <v>5.18</v>
      </c>
      <c r="CY18">
        <v>2.74</v>
      </c>
    </row>
    <row r="19" spans="1:103" x14ac:dyDescent="0.3">
      <c r="A19">
        <f t="shared" si="4"/>
        <v>1973</v>
      </c>
      <c r="B19" s="1">
        <v>26665</v>
      </c>
      <c r="C19">
        <v>5809800000</v>
      </c>
      <c r="D19">
        <v>1546830000</v>
      </c>
      <c r="E19">
        <v>47375500000</v>
      </c>
      <c r="F19">
        <v>9508500000</v>
      </c>
      <c r="G19">
        <v>34125600000</v>
      </c>
      <c r="H19">
        <v>4353380000</v>
      </c>
      <c r="I19">
        <v>11642300000</v>
      </c>
      <c r="J19">
        <v>3034010000</v>
      </c>
      <c r="K19">
        <v>4101960000</v>
      </c>
      <c r="L19">
        <v>631220000</v>
      </c>
      <c r="M19">
        <v>3787400000</v>
      </c>
      <c r="N19">
        <v>732760000</v>
      </c>
      <c r="O19">
        <v>26177600000</v>
      </c>
      <c r="P19">
        <v>4605600000</v>
      </c>
      <c r="Q19">
        <v>4006330000</v>
      </c>
      <c r="R19">
        <v>18949300000</v>
      </c>
      <c r="S19">
        <v>7280300000</v>
      </c>
      <c r="T19">
        <v>1501540000</v>
      </c>
      <c r="U19">
        <v>236090000</v>
      </c>
      <c r="V19">
        <v>2064360000.0000002</v>
      </c>
      <c r="CC19">
        <v>48.810499999999998</v>
      </c>
      <c r="CE19">
        <v>1.23173</v>
      </c>
      <c r="CP19">
        <v>8.25</v>
      </c>
      <c r="CQ19">
        <v>8.26</v>
      </c>
      <c r="CR19">
        <v>8.2899999999999991</v>
      </c>
      <c r="CS19">
        <v>6.92</v>
      </c>
      <c r="CT19">
        <v>7.31</v>
      </c>
      <c r="CU19">
        <v>6.94</v>
      </c>
      <c r="CV19">
        <v>9.34</v>
      </c>
      <c r="CW19">
        <v>9.34</v>
      </c>
      <c r="CX19">
        <v>6.98</v>
      </c>
      <c r="CY19">
        <v>7.54</v>
      </c>
    </row>
    <row r="20" spans="1:103" x14ac:dyDescent="0.3">
      <c r="A20">
        <f t="shared" si="4"/>
        <v>1974</v>
      </c>
      <c r="B20" s="1">
        <v>27030</v>
      </c>
      <c r="C20">
        <v>7184000000</v>
      </c>
      <c r="D20">
        <v>2022910000</v>
      </c>
      <c r="E20">
        <v>54618100000</v>
      </c>
      <c r="F20">
        <v>10781300000</v>
      </c>
      <c r="G20">
        <v>40741900000</v>
      </c>
      <c r="H20">
        <v>5339450000</v>
      </c>
      <c r="I20">
        <v>13059400000</v>
      </c>
      <c r="J20">
        <v>3672870000</v>
      </c>
      <c r="K20">
        <v>5593020000</v>
      </c>
      <c r="L20">
        <v>820640000</v>
      </c>
      <c r="M20">
        <v>4779600000</v>
      </c>
      <c r="N20">
        <v>958160000</v>
      </c>
      <c r="O20">
        <v>31408400000</v>
      </c>
      <c r="P20">
        <v>5599900000</v>
      </c>
      <c r="Q20">
        <v>4691960000</v>
      </c>
      <c r="R20">
        <v>23174600000</v>
      </c>
      <c r="S20">
        <v>9166300000</v>
      </c>
      <c r="T20">
        <v>1896770000</v>
      </c>
      <c r="U20">
        <v>330280000</v>
      </c>
      <c r="V20">
        <v>2822060000</v>
      </c>
      <c r="CC20">
        <v>48.511899999999997</v>
      </c>
      <c r="CE20">
        <v>1.1927000000000001</v>
      </c>
      <c r="CP20">
        <v>9.74</v>
      </c>
      <c r="CQ20">
        <v>8.7899999999999991</v>
      </c>
      <c r="CR20">
        <v>10.45</v>
      </c>
      <c r="CS20">
        <v>9.61</v>
      </c>
      <c r="CT20">
        <v>10.69</v>
      </c>
      <c r="CU20">
        <v>7.26</v>
      </c>
      <c r="CV20">
        <v>10.41</v>
      </c>
      <c r="CW20">
        <v>10.41</v>
      </c>
      <c r="CX20">
        <v>14.88</v>
      </c>
      <c r="CY20">
        <v>10.36</v>
      </c>
    </row>
    <row r="21" spans="1:103" x14ac:dyDescent="0.3">
      <c r="A21">
        <f t="shared" si="4"/>
        <v>1975</v>
      </c>
      <c r="B21" s="1">
        <v>27395</v>
      </c>
      <c r="C21">
        <v>7124700000</v>
      </c>
      <c r="D21">
        <v>2231340000</v>
      </c>
      <c r="E21">
        <v>60523900000</v>
      </c>
      <c r="F21">
        <v>13887000000</v>
      </c>
      <c r="G21">
        <v>43125800000</v>
      </c>
      <c r="H21">
        <v>6740150000</v>
      </c>
      <c r="I21">
        <v>13866500000</v>
      </c>
      <c r="J21">
        <v>4519270000</v>
      </c>
      <c r="K21">
        <v>6750070000</v>
      </c>
      <c r="L21">
        <v>1087290000</v>
      </c>
      <c r="M21">
        <v>5262200000</v>
      </c>
      <c r="N21">
        <v>1071199999.9999999</v>
      </c>
      <c r="O21">
        <v>39623800000</v>
      </c>
      <c r="P21">
        <v>7388600000</v>
      </c>
      <c r="Q21">
        <v>5745980000</v>
      </c>
      <c r="R21">
        <v>28792900000</v>
      </c>
      <c r="S21">
        <v>10704100000</v>
      </c>
      <c r="T21">
        <v>2206170000</v>
      </c>
      <c r="U21">
        <v>434390000</v>
      </c>
      <c r="V21">
        <v>3447650000</v>
      </c>
      <c r="X21">
        <v>5.5330269999999997</v>
      </c>
      <c r="AC21">
        <v>10333800000</v>
      </c>
      <c r="AH21">
        <v>3791760000</v>
      </c>
      <c r="AM21">
        <v>2848400000</v>
      </c>
      <c r="AR21">
        <v>2118310000.0000002</v>
      </c>
      <c r="AX21">
        <v>346728000</v>
      </c>
      <c r="BB21">
        <v>9157500000</v>
      </c>
      <c r="BG21">
        <v>4010270000</v>
      </c>
      <c r="BL21">
        <v>779811000</v>
      </c>
      <c r="BR21">
        <v>2194200000</v>
      </c>
      <c r="BV21">
        <v>136074000</v>
      </c>
      <c r="CA21">
        <v>6.5094000000000003</v>
      </c>
      <c r="CC21">
        <v>54.7423</v>
      </c>
      <c r="CE21">
        <v>1.2407699999999999</v>
      </c>
      <c r="CP21">
        <v>9.61</v>
      </c>
      <c r="CQ21">
        <v>9.6300000000000008</v>
      </c>
      <c r="CR21">
        <v>9.52</v>
      </c>
      <c r="CS21">
        <v>10.039999999999999</v>
      </c>
      <c r="CT21">
        <v>9.15</v>
      </c>
      <c r="CU21">
        <v>5.49</v>
      </c>
      <c r="CV21">
        <v>11.72</v>
      </c>
      <c r="CW21">
        <v>11.72</v>
      </c>
      <c r="CX21">
        <v>10.44</v>
      </c>
      <c r="CY21">
        <v>5.35</v>
      </c>
    </row>
    <row r="22" spans="1:103" x14ac:dyDescent="0.3">
      <c r="A22">
        <f t="shared" si="4"/>
        <v>1976</v>
      </c>
      <c r="B22" s="1">
        <v>27760</v>
      </c>
      <c r="C22">
        <v>8441400000</v>
      </c>
      <c r="D22">
        <v>2364020000</v>
      </c>
      <c r="E22">
        <v>68415300000</v>
      </c>
      <c r="F22">
        <v>15711700000</v>
      </c>
      <c r="G22">
        <v>44755300000</v>
      </c>
      <c r="H22">
        <v>7106940000</v>
      </c>
      <c r="I22">
        <v>15969000000</v>
      </c>
      <c r="J22">
        <v>5273290000</v>
      </c>
      <c r="K22">
        <v>7204620000</v>
      </c>
      <c r="L22">
        <v>1201230000</v>
      </c>
      <c r="M22">
        <v>6031500000</v>
      </c>
      <c r="N22">
        <v>1238180000</v>
      </c>
      <c r="O22">
        <v>46426000000</v>
      </c>
      <c r="P22">
        <v>8917400000</v>
      </c>
      <c r="Q22">
        <v>6128090000</v>
      </c>
      <c r="R22">
        <v>30634200000</v>
      </c>
      <c r="S22">
        <v>12744700000</v>
      </c>
      <c r="T22">
        <v>2674690000</v>
      </c>
      <c r="U22">
        <v>553030000</v>
      </c>
      <c r="V22">
        <v>4284980000</v>
      </c>
      <c r="X22">
        <v>8.2490699999999997</v>
      </c>
      <c r="AC22">
        <v>13482500000</v>
      </c>
      <c r="AH22">
        <v>5312440000</v>
      </c>
      <c r="AM22">
        <v>3428540000</v>
      </c>
      <c r="AR22">
        <v>2730700000</v>
      </c>
      <c r="AX22">
        <v>427533000</v>
      </c>
      <c r="BB22">
        <v>11310300000</v>
      </c>
      <c r="BG22">
        <v>5105570000</v>
      </c>
      <c r="BL22">
        <v>906094000</v>
      </c>
      <c r="BR22">
        <v>2894810000</v>
      </c>
      <c r="BV22">
        <v>169634000</v>
      </c>
      <c r="CA22">
        <v>6.1066000000000003</v>
      </c>
      <c r="CC22">
        <v>54.434899999999999</v>
      </c>
      <c r="CE22">
        <v>1.11805</v>
      </c>
      <c r="CG22">
        <v>2370000000</v>
      </c>
      <c r="CL22">
        <v>10.423729</v>
      </c>
      <c r="CP22">
        <v>8.75</v>
      </c>
      <c r="CQ22">
        <v>10.17</v>
      </c>
      <c r="CR22">
        <v>9.33</v>
      </c>
      <c r="CS22">
        <v>12.66</v>
      </c>
      <c r="CT22">
        <v>9.1999999999999993</v>
      </c>
      <c r="CU22">
        <v>4.67</v>
      </c>
      <c r="CV22">
        <v>12.37</v>
      </c>
      <c r="CW22">
        <v>12.37</v>
      </c>
      <c r="CX22">
        <v>15.97</v>
      </c>
      <c r="CY22">
        <v>7.37</v>
      </c>
    </row>
    <row r="23" spans="1:103" x14ac:dyDescent="0.3">
      <c r="A23">
        <f t="shared" si="4"/>
        <v>1977</v>
      </c>
      <c r="B23" s="1">
        <v>28126</v>
      </c>
      <c r="C23">
        <v>10345100000</v>
      </c>
      <c r="D23">
        <v>2726180000</v>
      </c>
      <c r="E23">
        <v>71892800000</v>
      </c>
      <c r="F23">
        <v>15154100000</v>
      </c>
      <c r="G23">
        <v>50099700000</v>
      </c>
      <c r="H23">
        <v>7761990000</v>
      </c>
      <c r="I23">
        <v>20021000000</v>
      </c>
      <c r="J23">
        <v>5371570000</v>
      </c>
      <c r="K23">
        <v>7220140000</v>
      </c>
      <c r="L23">
        <v>1263330000</v>
      </c>
      <c r="M23">
        <v>7244100000</v>
      </c>
      <c r="N23">
        <v>1462370000</v>
      </c>
      <c r="O23">
        <v>51049600000</v>
      </c>
      <c r="P23">
        <v>9947500000</v>
      </c>
      <c r="Q23">
        <v>7248900000</v>
      </c>
      <c r="R23">
        <v>34840500000</v>
      </c>
      <c r="S23">
        <v>14742000000</v>
      </c>
      <c r="T23">
        <v>3157070000</v>
      </c>
      <c r="U23">
        <v>616130000</v>
      </c>
      <c r="V23">
        <v>4707720000</v>
      </c>
      <c r="X23">
        <v>7.0068429999999999</v>
      </c>
      <c r="AC23">
        <v>14033800000</v>
      </c>
      <c r="AH23">
        <v>5084390000</v>
      </c>
      <c r="AM23">
        <v>3834000000</v>
      </c>
      <c r="AR23">
        <v>2943460000</v>
      </c>
      <c r="AX23">
        <v>462099000</v>
      </c>
      <c r="BB23">
        <v>12195800000</v>
      </c>
      <c r="BG23">
        <v>5422220000</v>
      </c>
      <c r="BL23">
        <v>941026000</v>
      </c>
      <c r="BR23">
        <v>3353780000</v>
      </c>
      <c r="BV23">
        <v>210987000</v>
      </c>
      <c r="CA23">
        <v>7.7725999999999997</v>
      </c>
      <c r="CC23">
        <v>53.476900000000001</v>
      </c>
      <c r="CE23">
        <v>1.1411199999999999</v>
      </c>
      <c r="CG23">
        <v>2190000000</v>
      </c>
      <c r="CL23">
        <v>12.967383</v>
      </c>
      <c r="CP23">
        <v>8.73</v>
      </c>
      <c r="CQ23">
        <v>10.75</v>
      </c>
      <c r="CR23">
        <v>9.8699999999999992</v>
      </c>
      <c r="CS23">
        <v>14.71</v>
      </c>
      <c r="CT23">
        <v>8.49</v>
      </c>
      <c r="CU23">
        <v>7.49</v>
      </c>
      <c r="CV23">
        <v>11.76</v>
      </c>
      <c r="CW23">
        <v>11.76</v>
      </c>
      <c r="CX23">
        <v>13.95</v>
      </c>
      <c r="CY23">
        <v>4.75</v>
      </c>
    </row>
    <row r="24" spans="1:103" x14ac:dyDescent="0.3">
      <c r="A24">
        <f t="shared" si="4"/>
        <v>1978</v>
      </c>
      <c r="B24" s="1">
        <v>28491</v>
      </c>
      <c r="C24">
        <v>10123000000</v>
      </c>
      <c r="D24">
        <v>3066920000</v>
      </c>
      <c r="E24">
        <v>78951000000</v>
      </c>
      <c r="F24">
        <v>15878300000</v>
      </c>
      <c r="G24">
        <v>54015600000</v>
      </c>
      <c r="H24">
        <v>7904750000</v>
      </c>
      <c r="I24">
        <v>22028000000</v>
      </c>
      <c r="J24">
        <v>5980610000</v>
      </c>
      <c r="K24">
        <v>6149450000</v>
      </c>
      <c r="L24">
        <v>1215590000</v>
      </c>
      <c r="M24">
        <v>8005900000</v>
      </c>
      <c r="N24">
        <v>1637250000</v>
      </c>
      <c r="O24">
        <v>56792400000</v>
      </c>
      <c r="P24">
        <v>11222500000</v>
      </c>
      <c r="Q24">
        <v>7787920000</v>
      </c>
      <c r="R24">
        <v>37353100000</v>
      </c>
      <c r="S24">
        <v>16369000000</v>
      </c>
      <c r="T24">
        <v>3564370000</v>
      </c>
      <c r="U24">
        <v>606090000</v>
      </c>
      <c r="V24">
        <v>4592230000</v>
      </c>
      <c r="X24">
        <v>4.6110480000000003</v>
      </c>
      <c r="Y24">
        <v>-0.77262600000000003</v>
      </c>
      <c r="AC24">
        <v>12830100000</v>
      </c>
      <c r="AD24">
        <v>172906000000</v>
      </c>
      <c r="AH24">
        <v>4255130000.0000005</v>
      </c>
      <c r="AI24">
        <v>26524800000</v>
      </c>
      <c r="AM24">
        <v>3787510000</v>
      </c>
      <c r="AN24">
        <v>58053900000</v>
      </c>
      <c r="AR24">
        <v>2570780000</v>
      </c>
      <c r="AS24">
        <v>62802300000</v>
      </c>
      <c r="AW24">
        <v>6658050000</v>
      </c>
      <c r="AX24">
        <v>442652000</v>
      </c>
      <c r="BB24">
        <v>11739300000</v>
      </c>
      <c r="BC24">
        <v>180064000000</v>
      </c>
      <c r="BG24">
        <v>5149510000</v>
      </c>
      <c r="BH24">
        <v>81863300000</v>
      </c>
      <c r="BL24">
        <v>862603000</v>
      </c>
      <c r="BM24">
        <v>7804290000</v>
      </c>
      <c r="BQ24">
        <v>58729300000</v>
      </c>
      <c r="BR24">
        <v>3353940000</v>
      </c>
      <c r="BV24">
        <v>219056000</v>
      </c>
      <c r="BW24">
        <v>4110710000</v>
      </c>
      <c r="CA24">
        <v>10.9762</v>
      </c>
      <c r="CC24">
        <v>57.513100000000001</v>
      </c>
      <c r="CE24">
        <v>1.2741</v>
      </c>
      <c r="CG24">
        <v>1990000000</v>
      </c>
      <c r="CL24">
        <v>10.990888</v>
      </c>
      <c r="CP24">
        <v>8.2100000000000009</v>
      </c>
      <c r="CQ24">
        <v>9.7799999999999994</v>
      </c>
      <c r="CR24">
        <v>9.5</v>
      </c>
      <c r="CS24">
        <v>13.05</v>
      </c>
      <c r="CT24">
        <v>8.0500000000000007</v>
      </c>
      <c r="CU24">
        <v>6.44</v>
      </c>
      <c r="CV24">
        <v>8.58</v>
      </c>
      <c r="CW24">
        <v>8.58</v>
      </c>
      <c r="CX24">
        <v>11.5</v>
      </c>
      <c r="CY24">
        <v>6.97</v>
      </c>
    </row>
    <row r="25" spans="1:103" x14ac:dyDescent="0.3">
      <c r="A25">
        <f t="shared" si="4"/>
        <v>1979</v>
      </c>
      <c r="B25" s="1">
        <v>28856</v>
      </c>
      <c r="C25">
        <v>11539900000</v>
      </c>
      <c r="D25">
        <v>3146990000</v>
      </c>
      <c r="E25">
        <v>88235200000</v>
      </c>
      <c r="F25">
        <v>18006200000</v>
      </c>
      <c r="G25">
        <v>63287400000</v>
      </c>
      <c r="H25">
        <v>8962690000</v>
      </c>
      <c r="I25">
        <v>22854800000</v>
      </c>
      <c r="J25">
        <v>6173950000</v>
      </c>
      <c r="K25">
        <v>6871860000</v>
      </c>
      <c r="L25">
        <v>1331700000</v>
      </c>
      <c r="M25">
        <v>8732900000</v>
      </c>
      <c r="N25">
        <v>1805310000</v>
      </c>
      <c r="O25">
        <v>64021800000</v>
      </c>
      <c r="P25">
        <v>12818000000</v>
      </c>
      <c r="Q25">
        <v>10519030000</v>
      </c>
      <c r="R25">
        <v>41893500000</v>
      </c>
      <c r="S25">
        <v>18059300000</v>
      </c>
      <c r="T25">
        <v>3968560000</v>
      </c>
      <c r="U25">
        <v>680370000</v>
      </c>
      <c r="V25">
        <v>5050840000</v>
      </c>
      <c r="X25">
        <v>4.2992990000000004</v>
      </c>
      <c r="Y25">
        <v>0.65730299999999997</v>
      </c>
      <c r="AC25">
        <v>14199500000</v>
      </c>
      <c r="AD25">
        <v>201579000000</v>
      </c>
      <c r="AH25">
        <v>4534690000</v>
      </c>
      <c r="AI25">
        <v>30985100000</v>
      </c>
      <c r="AM25">
        <v>4258740000.0000005</v>
      </c>
      <c r="AN25">
        <v>68118200000</v>
      </c>
      <c r="AR25">
        <v>2881240000</v>
      </c>
      <c r="AS25">
        <v>75096600000</v>
      </c>
      <c r="AW25">
        <v>7230390000</v>
      </c>
      <c r="AX25">
        <v>506089000</v>
      </c>
      <c r="BB25">
        <v>13093500000</v>
      </c>
      <c r="BC25">
        <v>203739000000</v>
      </c>
      <c r="BG25">
        <v>5737910000</v>
      </c>
      <c r="BH25">
        <v>91669300000</v>
      </c>
      <c r="BL25">
        <v>1057982999.9999999</v>
      </c>
      <c r="BM25">
        <v>8841640000</v>
      </c>
      <c r="BQ25">
        <v>66263900000.000008</v>
      </c>
      <c r="BR25">
        <v>3606300000</v>
      </c>
      <c r="BV25">
        <v>288236000</v>
      </c>
      <c r="BW25">
        <v>5077930000</v>
      </c>
      <c r="CA25">
        <v>11.1341</v>
      </c>
      <c r="CC25">
        <v>56.329799999999999</v>
      </c>
      <c r="CE25">
        <v>1.3704700000000001</v>
      </c>
      <c r="CG25">
        <v>1700000000</v>
      </c>
      <c r="CL25">
        <v>9.3920639999999995</v>
      </c>
      <c r="CP25">
        <v>7.96</v>
      </c>
      <c r="CQ25">
        <v>9.5</v>
      </c>
      <c r="CR25">
        <v>9.89</v>
      </c>
      <c r="CS25">
        <v>13.02</v>
      </c>
      <c r="CT25">
        <v>9.1999999999999993</v>
      </c>
      <c r="CU25">
        <v>5.6</v>
      </c>
      <c r="CV25">
        <v>8.52</v>
      </c>
      <c r="CW25">
        <v>8.52</v>
      </c>
      <c r="CX25">
        <v>11.95</v>
      </c>
      <c r="CY25">
        <v>9.58</v>
      </c>
    </row>
    <row r="26" spans="1:103" x14ac:dyDescent="0.3">
      <c r="A26">
        <f t="shared" si="4"/>
        <v>1980</v>
      </c>
      <c r="B26" s="1">
        <v>29221</v>
      </c>
      <c r="C26">
        <v>13220800000</v>
      </c>
      <c r="D26">
        <v>3231730000</v>
      </c>
      <c r="E26">
        <v>103085200000</v>
      </c>
      <c r="F26">
        <v>20853500000</v>
      </c>
      <c r="G26">
        <v>78572000000</v>
      </c>
      <c r="H26">
        <v>12608650000</v>
      </c>
      <c r="I26">
        <v>25092500000</v>
      </c>
      <c r="J26">
        <v>6851420000</v>
      </c>
      <c r="K26">
        <v>8899790000</v>
      </c>
      <c r="L26">
        <v>1670290000</v>
      </c>
      <c r="M26">
        <v>9812200000</v>
      </c>
      <c r="N26">
        <v>2080830000.0000002</v>
      </c>
      <c r="O26">
        <v>75462600000</v>
      </c>
      <c r="P26">
        <v>15169000000</v>
      </c>
      <c r="Q26">
        <v>6667620000</v>
      </c>
      <c r="R26">
        <v>49597400000</v>
      </c>
      <c r="S26">
        <v>19921900000</v>
      </c>
      <c r="T26">
        <v>4414600000</v>
      </c>
      <c r="U26">
        <v>846070000</v>
      </c>
      <c r="V26">
        <v>6142030000</v>
      </c>
      <c r="X26">
        <v>4.663259</v>
      </c>
      <c r="Y26">
        <v>0.79836300000000004</v>
      </c>
      <c r="AC26">
        <v>16945500000</v>
      </c>
      <c r="AD26">
        <v>232147000000</v>
      </c>
      <c r="AH26">
        <v>5412060000</v>
      </c>
      <c r="AI26">
        <v>37191600000</v>
      </c>
      <c r="AM26">
        <v>5014320000</v>
      </c>
      <c r="AN26">
        <v>75403700000</v>
      </c>
      <c r="AR26">
        <v>3517610000</v>
      </c>
      <c r="AS26">
        <v>86615100000</v>
      </c>
      <c r="AW26">
        <v>8315480000.000001</v>
      </c>
      <c r="AX26">
        <v>596615000</v>
      </c>
      <c r="BB26">
        <v>15513100000</v>
      </c>
      <c r="BC26">
        <v>234311000000</v>
      </c>
      <c r="BG26">
        <v>6858190000</v>
      </c>
      <c r="BH26">
        <v>106268200000</v>
      </c>
      <c r="BL26">
        <v>1184033000</v>
      </c>
      <c r="BM26">
        <v>9760630000</v>
      </c>
      <c r="BQ26">
        <v>76293400000</v>
      </c>
      <c r="BR26">
        <v>4152160000.0000005</v>
      </c>
      <c r="BV26">
        <v>370154000</v>
      </c>
      <c r="BW26">
        <v>6156140000</v>
      </c>
      <c r="CA26">
        <v>11.221</v>
      </c>
      <c r="CC26">
        <v>54.266500000000001</v>
      </c>
      <c r="CE26">
        <v>1.3923300000000001</v>
      </c>
      <c r="CG26">
        <v>2290000000</v>
      </c>
      <c r="CL26">
        <v>9.9628709999999998</v>
      </c>
      <c r="CP26">
        <v>9.32</v>
      </c>
      <c r="CQ26">
        <v>11.6</v>
      </c>
      <c r="CR26">
        <v>13.13</v>
      </c>
      <c r="CS26">
        <v>15.25</v>
      </c>
      <c r="CT26">
        <v>10.74</v>
      </c>
      <c r="CU26">
        <v>10.28</v>
      </c>
      <c r="CV26">
        <v>13.8</v>
      </c>
      <c r="CW26">
        <v>13.8</v>
      </c>
      <c r="CX26">
        <v>16.93</v>
      </c>
      <c r="CY26">
        <v>10.55</v>
      </c>
    </row>
    <row r="27" spans="1:103" x14ac:dyDescent="0.3">
      <c r="A27">
        <f t="shared" si="4"/>
        <v>1981</v>
      </c>
      <c r="B27" s="1">
        <v>29587</v>
      </c>
      <c r="C27">
        <v>14308300000</v>
      </c>
      <c r="D27">
        <v>3399870000</v>
      </c>
      <c r="E27">
        <v>109209300000</v>
      </c>
      <c r="F27">
        <v>23751600000</v>
      </c>
      <c r="G27">
        <v>87468800000</v>
      </c>
      <c r="H27">
        <v>16699310000</v>
      </c>
      <c r="I27">
        <v>23869300000</v>
      </c>
      <c r="J27">
        <v>6956760000</v>
      </c>
      <c r="K27">
        <v>10824670000</v>
      </c>
      <c r="L27">
        <v>1983570000</v>
      </c>
      <c r="M27">
        <v>10935500000</v>
      </c>
      <c r="N27">
        <v>2332710000</v>
      </c>
      <c r="O27">
        <v>84653100000</v>
      </c>
      <c r="P27">
        <v>17269000000</v>
      </c>
      <c r="Q27">
        <v>8214710000</v>
      </c>
      <c r="R27">
        <v>59476500000</v>
      </c>
      <c r="S27">
        <v>21762600000</v>
      </c>
      <c r="T27">
        <v>4801170000</v>
      </c>
      <c r="U27">
        <v>1056910000</v>
      </c>
      <c r="V27">
        <v>7601830000</v>
      </c>
      <c r="X27">
        <v>6.1451000000000002</v>
      </c>
      <c r="Y27">
        <v>-0.71506499999999995</v>
      </c>
      <c r="AC27">
        <v>21789500000</v>
      </c>
      <c r="AD27">
        <v>257821000000.00003</v>
      </c>
      <c r="AH27">
        <v>7302870000</v>
      </c>
      <c r="AI27">
        <v>41629900000</v>
      </c>
      <c r="AM27">
        <v>6254640000</v>
      </c>
      <c r="AN27">
        <v>83293400000</v>
      </c>
      <c r="AR27">
        <v>4385200000</v>
      </c>
      <c r="AS27">
        <v>94432800000</v>
      </c>
      <c r="AW27">
        <v>9318170000</v>
      </c>
      <c r="AX27">
        <v>743064000</v>
      </c>
      <c r="BB27">
        <v>19378000000</v>
      </c>
      <c r="BC27">
        <v>271156000000</v>
      </c>
      <c r="BG27">
        <v>8659990000</v>
      </c>
      <c r="BH27">
        <v>120481400000</v>
      </c>
      <c r="BL27">
        <v>1458837000</v>
      </c>
      <c r="BM27">
        <v>11576040000</v>
      </c>
      <c r="BQ27">
        <v>88410800000</v>
      </c>
      <c r="BR27">
        <v>5179120000</v>
      </c>
      <c r="BV27">
        <v>487520000</v>
      </c>
      <c r="BW27">
        <v>9414830000</v>
      </c>
      <c r="CA27">
        <v>11.5092</v>
      </c>
      <c r="CC27">
        <v>56.529200000000003</v>
      </c>
      <c r="CE27">
        <v>1.1164499999999999</v>
      </c>
      <c r="CG27">
        <v>3460000000</v>
      </c>
      <c r="CL27">
        <v>10.416115</v>
      </c>
      <c r="CP27">
        <v>10.61</v>
      </c>
      <c r="CQ27">
        <v>12.4</v>
      </c>
      <c r="CR27">
        <v>15.85</v>
      </c>
      <c r="CS27">
        <v>19.36</v>
      </c>
      <c r="CT27">
        <v>12.24</v>
      </c>
      <c r="CU27">
        <v>11.37</v>
      </c>
      <c r="CV27">
        <v>12.7</v>
      </c>
      <c r="CW27">
        <v>12.7</v>
      </c>
      <c r="CX27">
        <v>19.309999999999999</v>
      </c>
      <c r="CY27">
        <v>11.77</v>
      </c>
    </row>
    <row r="28" spans="1:103" x14ac:dyDescent="0.3">
      <c r="A28">
        <f t="shared" si="4"/>
        <v>1982</v>
      </c>
      <c r="B28" s="1">
        <v>29952</v>
      </c>
      <c r="C28">
        <v>14665400000</v>
      </c>
      <c r="D28">
        <v>3559160000</v>
      </c>
      <c r="E28">
        <v>113063700000</v>
      </c>
      <c r="F28">
        <v>26476300000</v>
      </c>
      <c r="G28">
        <v>92568300000</v>
      </c>
      <c r="H28">
        <v>18664380000</v>
      </c>
      <c r="I28">
        <v>25513000000</v>
      </c>
      <c r="J28">
        <v>7255830000</v>
      </c>
      <c r="K28">
        <v>12439120000</v>
      </c>
      <c r="L28">
        <v>2383490000</v>
      </c>
      <c r="M28">
        <v>12583100000</v>
      </c>
      <c r="N28">
        <v>2655420000</v>
      </c>
      <c r="O28">
        <v>92205500000</v>
      </c>
      <c r="P28">
        <v>19273300000</v>
      </c>
      <c r="Q28">
        <v>9463680000</v>
      </c>
      <c r="R28">
        <v>68002100000</v>
      </c>
      <c r="S28">
        <v>24502200000</v>
      </c>
      <c r="T28">
        <v>5377980000</v>
      </c>
      <c r="U28">
        <v>1221430000</v>
      </c>
      <c r="V28">
        <v>8686420000</v>
      </c>
      <c r="X28">
        <v>4.2327560000000002</v>
      </c>
      <c r="Y28">
        <v>-1.099869</v>
      </c>
      <c r="AC28">
        <v>24749400000</v>
      </c>
      <c r="AD28">
        <v>283308000000</v>
      </c>
      <c r="AH28">
        <v>8249380000</v>
      </c>
      <c r="AI28">
        <v>45882100000</v>
      </c>
      <c r="AM28">
        <v>7132790000</v>
      </c>
      <c r="AN28">
        <v>91442900000</v>
      </c>
      <c r="AR28">
        <v>4732880000</v>
      </c>
      <c r="AS28">
        <v>104905500000</v>
      </c>
      <c r="AW28">
        <v>10271050000</v>
      </c>
      <c r="AX28">
        <v>862705000</v>
      </c>
      <c r="BB28">
        <v>23098500000</v>
      </c>
      <c r="BC28">
        <v>300263000000</v>
      </c>
      <c r="BG28">
        <v>9968470000</v>
      </c>
      <c r="BH28">
        <v>132695400000</v>
      </c>
      <c r="BL28">
        <v>1588994000</v>
      </c>
      <c r="BM28">
        <v>12728150000</v>
      </c>
      <c r="BQ28">
        <v>99003900000</v>
      </c>
      <c r="BR28">
        <v>6450710000</v>
      </c>
      <c r="BV28">
        <v>635345000</v>
      </c>
      <c r="BW28">
        <v>10457700000</v>
      </c>
      <c r="CA28">
        <v>13.806699999999999</v>
      </c>
      <c r="CC28">
        <v>61.0334</v>
      </c>
      <c r="CE28">
        <v>0.979715</v>
      </c>
      <c r="CG28">
        <v>3010000000</v>
      </c>
      <c r="CL28">
        <v>11.491889</v>
      </c>
      <c r="CP28">
        <v>9.92</v>
      </c>
      <c r="CQ28">
        <v>12.38</v>
      </c>
      <c r="CR28">
        <v>15.65</v>
      </c>
      <c r="CS28">
        <v>20.22</v>
      </c>
      <c r="CT28">
        <v>10.45</v>
      </c>
      <c r="CU28">
        <v>8.77</v>
      </c>
      <c r="CV28">
        <v>13.67</v>
      </c>
      <c r="CW28">
        <v>13.67</v>
      </c>
      <c r="CX28">
        <v>19.88</v>
      </c>
      <c r="CY28">
        <v>8.2100000000000009</v>
      </c>
    </row>
    <row r="29" spans="1:103" x14ac:dyDescent="0.3">
      <c r="A29">
        <f t="shared" si="4"/>
        <v>1983</v>
      </c>
      <c r="B29" s="1">
        <v>30317</v>
      </c>
      <c r="C29">
        <v>15785300000</v>
      </c>
      <c r="D29">
        <v>3800630000</v>
      </c>
      <c r="E29">
        <v>111882200000</v>
      </c>
      <c r="F29">
        <v>26509400000</v>
      </c>
      <c r="G29">
        <v>100268200000</v>
      </c>
      <c r="H29">
        <v>20858270000</v>
      </c>
      <c r="I29">
        <v>27568500000</v>
      </c>
      <c r="J29">
        <v>7064540000</v>
      </c>
      <c r="K29">
        <v>13311290000</v>
      </c>
      <c r="L29">
        <v>2636300000</v>
      </c>
      <c r="M29">
        <v>13836300000</v>
      </c>
      <c r="N29">
        <v>2890950000</v>
      </c>
      <c r="O29">
        <v>96781400000</v>
      </c>
      <c r="P29">
        <v>20460200000</v>
      </c>
      <c r="Q29">
        <v>10871770000</v>
      </c>
      <c r="R29">
        <v>76989600000</v>
      </c>
      <c r="S29">
        <v>26056800000</v>
      </c>
      <c r="T29">
        <v>5661270000</v>
      </c>
      <c r="U29">
        <v>1334970000</v>
      </c>
      <c r="V29">
        <v>9364050000</v>
      </c>
      <c r="X29">
        <v>2.943028</v>
      </c>
      <c r="Y29">
        <v>-0.337976</v>
      </c>
      <c r="AC29">
        <v>26327000000</v>
      </c>
      <c r="AD29">
        <v>303788000000</v>
      </c>
      <c r="AH29">
        <v>8772860000</v>
      </c>
      <c r="AI29">
        <v>48881100000</v>
      </c>
      <c r="AM29">
        <v>7565250000</v>
      </c>
      <c r="AN29">
        <v>96264400000</v>
      </c>
      <c r="AR29">
        <v>4791970000</v>
      </c>
      <c r="AS29">
        <v>113093500000</v>
      </c>
      <c r="AW29">
        <v>10565790000</v>
      </c>
      <c r="AX29">
        <v>936044000</v>
      </c>
      <c r="BB29">
        <v>25455800000</v>
      </c>
      <c r="BC29">
        <v>319801000000</v>
      </c>
      <c r="BG29">
        <v>10765110000</v>
      </c>
      <c r="BH29">
        <v>140886600000</v>
      </c>
      <c r="BL29">
        <v>1750727000</v>
      </c>
      <c r="BM29">
        <v>13497400000</v>
      </c>
      <c r="BQ29">
        <v>105269500000</v>
      </c>
      <c r="BR29">
        <v>7303310000</v>
      </c>
      <c r="BV29">
        <v>815884000</v>
      </c>
      <c r="BW29">
        <v>13907210000</v>
      </c>
      <c r="CA29">
        <v>15.3063</v>
      </c>
      <c r="CC29">
        <v>67.025899999999993</v>
      </c>
      <c r="CE29">
        <v>0.89022000000000001</v>
      </c>
      <c r="CG29">
        <v>3040000000</v>
      </c>
      <c r="CL29">
        <v>11.500678000000001</v>
      </c>
      <c r="CP29">
        <v>8.17</v>
      </c>
      <c r="CQ29">
        <v>13.06</v>
      </c>
      <c r="CR29">
        <v>13.59</v>
      </c>
      <c r="CS29">
        <v>18.3</v>
      </c>
      <c r="CT29">
        <v>8.81</v>
      </c>
      <c r="CU29">
        <v>5.38</v>
      </c>
      <c r="CV29">
        <v>14.22</v>
      </c>
      <c r="CW29">
        <v>14.22</v>
      </c>
      <c r="CX29">
        <v>18.309999999999999</v>
      </c>
      <c r="CY29">
        <v>5.67</v>
      </c>
    </row>
    <row r="30" spans="1:103" x14ac:dyDescent="0.3">
      <c r="A30">
        <f t="shared" si="4"/>
        <v>1984</v>
      </c>
      <c r="B30" s="1">
        <v>30682</v>
      </c>
      <c r="C30">
        <v>16474499999.999998</v>
      </c>
      <c r="D30">
        <v>3957510000</v>
      </c>
      <c r="E30">
        <v>115250000000</v>
      </c>
      <c r="F30">
        <v>28159200000</v>
      </c>
      <c r="G30">
        <v>111056600000</v>
      </c>
      <c r="H30">
        <v>22742110000</v>
      </c>
      <c r="I30">
        <v>29775300000</v>
      </c>
      <c r="J30">
        <v>7916710000</v>
      </c>
      <c r="K30">
        <v>14886730000</v>
      </c>
      <c r="L30">
        <v>2824300000</v>
      </c>
      <c r="M30">
        <v>14730800000</v>
      </c>
      <c r="N30">
        <v>3044720000</v>
      </c>
      <c r="O30">
        <v>103155900000</v>
      </c>
      <c r="P30">
        <v>22276100000</v>
      </c>
      <c r="Q30">
        <v>12140720000</v>
      </c>
      <c r="R30">
        <v>85404200000</v>
      </c>
      <c r="S30">
        <v>27276100000</v>
      </c>
      <c r="T30">
        <v>5890410000</v>
      </c>
      <c r="U30">
        <v>1587100000</v>
      </c>
      <c r="V30">
        <v>10981290000</v>
      </c>
      <c r="X30">
        <v>4.8082269999999996</v>
      </c>
      <c r="Y30">
        <v>-0.408719</v>
      </c>
      <c r="AC30">
        <v>32016300000</v>
      </c>
      <c r="AD30">
        <v>330290000000</v>
      </c>
      <c r="AH30">
        <v>10549590000</v>
      </c>
      <c r="AI30">
        <v>53907200000</v>
      </c>
      <c r="AM30">
        <v>9348890000</v>
      </c>
      <c r="AN30">
        <v>105223700000</v>
      </c>
      <c r="AR30">
        <v>5780750000</v>
      </c>
      <c r="AS30">
        <v>123615600000</v>
      </c>
      <c r="AW30">
        <v>11371950000</v>
      </c>
      <c r="AX30">
        <v>1098758000</v>
      </c>
      <c r="BB30">
        <v>29843900000</v>
      </c>
      <c r="BC30">
        <v>348755000000</v>
      </c>
      <c r="BG30">
        <v>12729490000</v>
      </c>
      <c r="BH30">
        <v>152063200000</v>
      </c>
      <c r="BL30">
        <v>2035157000</v>
      </c>
      <c r="BM30">
        <v>17098490000.000002</v>
      </c>
      <c r="BQ30">
        <v>114005900000</v>
      </c>
      <c r="BR30">
        <v>8652880000</v>
      </c>
      <c r="BV30">
        <v>1059742000</v>
      </c>
      <c r="BW30">
        <v>15736300000</v>
      </c>
      <c r="CA30">
        <v>15.132400000000001</v>
      </c>
      <c r="CC30">
        <v>72.296599999999998</v>
      </c>
      <c r="CE30">
        <v>0.78903400000000001</v>
      </c>
      <c r="CG30">
        <v>3520000000</v>
      </c>
      <c r="CL30">
        <v>11.531086999999999</v>
      </c>
      <c r="CP30">
        <v>8.02</v>
      </c>
      <c r="CQ30">
        <v>14.01</v>
      </c>
      <c r="CR30">
        <v>12.49</v>
      </c>
      <c r="CS30">
        <v>15.6</v>
      </c>
      <c r="CT30">
        <v>8.56</v>
      </c>
      <c r="CU30">
        <v>6.57</v>
      </c>
      <c r="CV30">
        <v>15.8</v>
      </c>
      <c r="CW30">
        <v>15.8</v>
      </c>
      <c r="CX30">
        <v>17.27</v>
      </c>
      <c r="CY30">
        <v>6.08</v>
      </c>
    </row>
    <row r="31" spans="1:103" x14ac:dyDescent="0.3">
      <c r="A31">
        <f t="shared" si="4"/>
        <v>1985</v>
      </c>
      <c r="B31" s="1">
        <v>31048</v>
      </c>
      <c r="C31">
        <v>18164500000</v>
      </c>
      <c r="D31">
        <v>4065489999.9999995</v>
      </c>
      <c r="E31">
        <v>122424600000</v>
      </c>
      <c r="F31">
        <v>31600700000</v>
      </c>
      <c r="G31">
        <v>115925500000</v>
      </c>
      <c r="H31">
        <v>25139170000</v>
      </c>
      <c r="I31">
        <v>32695300000.000004</v>
      </c>
      <c r="J31">
        <v>7781680000</v>
      </c>
      <c r="K31">
        <v>16411390000</v>
      </c>
      <c r="L31">
        <v>3251370000</v>
      </c>
      <c r="M31">
        <v>15494600000</v>
      </c>
      <c r="N31">
        <v>3179630000</v>
      </c>
      <c r="O31">
        <v>110776700000</v>
      </c>
      <c r="P31">
        <v>24184900000</v>
      </c>
      <c r="Q31">
        <v>13264340000</v>
      </c>
      <c r="R31">
        <v>92229800000</v>
      </c>
      <c r="S31">
        <v>28576800000</v>
      </c>
      <c r="T31">
        <v>6109190000</v>
      </c>
      <c r="U31">
        <v>1789710000</v>
      </c>
      <c r="V31">
        <v>12112530000</v>
      </c>
      <c r="X31">
        <v>5.0679809999999996</v>
      </c>
      <c r="Y31">
        <v>-0.45065</v>
      </c>
      <c r="AC31">
        <v>36587100000</v>
      </c>
      <c r="AD31">
        <v>360884000000</v>
      </c>
      <c r="AH31">
        <v>11980810000</v>
      </c>
      <c r="AI31">
        <v>57532800000</v>
      </c>
      <c r="AM31">
        <v>10353220000</v>
      </c>
      <c r="AN31">
        <v>114693000000</v>
      </c>
      <c r="AR31">
        <v>6970120000</v>
      </c>
      <c r="AS31">
        <v>133630300000</v>
      </c>
      <c r="AW31">
        <v>12404720000</v>
      </c>
      <c r="AX31">
        <v>1231139000</v>
      </c>
      <c r="BB31">
        <v>34126100000</v>
      </c>
      <c r="BC31">
        <v>382625000000</v>
      </c>
      <c r="BG31">
        <v>14516550000</v>
      </c>
      <c r="BH31">
        <v>165187500000</v>
      </c>
      <c r="BL31">
        <v>2179825000</v>
      </c>
      <c r="BM31">
        <v>17408120000</v>
      </c>
      <c r="BQ31">
        <v>125086900000</v>
      </c>
      <c r="BR31">
        <v>10030240000</v>
      </c>
      <c r="BV31">
        <v>1274204000</v>
      </c>
      <c r="BW31">
        <v>18480630000</v>
      </c>
      <c r="CA31">
        <v>15.79</v>
      </c>
      <c r="CC31">
        <v>78.0334</v>
      </c>
      <c r="CE31">
        <v>0.76308799999999999</v>
      </c>
      <c r="CG31">
        <v>3430000000</v>
      </c>
      <c r="CL31">
        <v>12.447414</v>
      </c>
      <c r="CP31">
        <v>7.77</v>
      </c>
      <c r="CQ31">
        <v>12.7</v>
      </c>
      <c r="CR31">
        <v>11.12</v>
      </c>
      <c r="CS31">
        <v>13.71</v>
      </c>
      <c r="CT31">
        <v>7.34</v>
      </c>
      <c r="CU31">
        <v>6.2</v>
      </c>
      <c r="CV31">
        <v>12.81</v>
      </c>
      <c r="CW31">
        <v>12.81</v>
      </c>
      <c r="CX31">
        <v>15.04</v>
      </c>
      <c r="CY31">
        <v>6.26</v>
      </c>
    </row>
    <row r="32" spans="1:103" x14ac:dyDescent="0.3">
      <c r="A32">
        <f t="shared" si="4"/>
        <v>1986</v>
      </c>
      <c r="B32" s="1">
        <v>31413</v>
      </c>
      <c r="C32">
        <v>19628700000</v>
      </c>
      <c r="D32">
        <v>4678180000</v>
      </c>
      <c r="E32">
        <v>132134899999.99998</v>
      </c>
      <c r="F32">
        <v>33630600000</v>
      </c>
      <c r="G32">
        <v>123617600000</v>
      </c>
      <c r="H32">
        <v>26652290000</v>
      </c>
      <c r="I32">
        <v>36904000000</v>
      </c>
      <c r="J32">
        <v>7712900000</v>
      </c>
      <c r="K32">
        <v>16305050000.000002</v>
      </c>
      <c r="L32">
        <v>3257190000</v>
      </c>
      <c r="M32">
        <v>17058000000</v>
      </c>
      <c r="N32">
        <v>3468500000</v>
      </c>
      <c r="O32">
        <v>117222400000</v>
      </c>
      <c r="P32">
        <v>25644000000</v>
      </c>
      <c r="Q32">
        <v>14182190000</v>
      </c>
      <c r="R32">
        <v>98533300000</v>
      </c>
      <c r="S32">
        <v>31012200000</v>
      </c>
      <c r="T32">
        <v>6466380000</v>
      </c>
      <c r="U32">
        <v>1861420000</v>
      </c>
      <c r="V32">
        <v>12352960000</v>
      </c>
      <c r="X32">
        <v>5.4620150000000001</v>
      </c>
      <c r="Y32">
        <v>-0.64813100000000001</v>
      </c>
      <c r="AC32">
        <v>37986600000</v>
      </c>
      <c r="AD32">
        <v>382727000000</v>
      </c>
      <c r="AH32">
        <v>12787570000</v>
      </c>
      <c r="AI32">
        <v>61743200000</v>
      </c>
      <c r="AM32">
        <v>10743470000</v>
      </c>
      <c r="AN32">
        <v>121482700000</v>
      </c>
      <c r="AR32">
        <v>7015850000</v>
      </c>
      <c r="AS32">
        <v>139939900000</v>
      </c>
      <c r="AW32">
        <v>13497760000</v>
      </c>
      <c r="AX32">
        <v>1271593000</v>
      </c>
      <c r="BB32">
        <v>35119800000</v>
      </c>
      <c r="BC32">
        <v>407853000000</v>
      </c>
      <c r="BG32">
        <v>14903310000</v>
      </c>
      <c r="BH32">
        <v>175285600000</v>
      </c>
      <c r="BL32">
        <v>2213646000</v>
      </c>
      <c r="BM32">
        <v>19196100000</v>
      </c>
      <c r="BQ32">
        <v>132947900000</v>
      </c>
      <c r="BR32">
        <v>10443780000</v>
      </c>
      <c r="BV32">
        <v>1217864000</v>
      </c>
      <c r="BW32">
        <v>20075890000</v>
      </c>
      <c r="CA32">
        <v>16.402000000000001</v>
      </c>
      <c r="CC32">
        <v>81.950999999999993</v>
      </c>
      <c r="CE32">
        <v>0.98416700000000001</v>
      </c>
      <c r="CG32">
        <v>3430000000</v>
      </c>
      <c r="CL32">
        <v>11.101437000000001</v>
      </c>
      <c r="CP32">
        <v>7.44</v>
      </c>
      <c r="CQ32">
        <v>11.66</v>
      </c>
      <c r="CR32">
        <v>8.5399999999999991</v>
      </c>
      <c r="CS32">
        <v>11.47</v>
      </c>
      <c r="CT32">
        <v>6.19</v>
      </c>
      <c r="CU32">
        <v>5.32</v>
      </c>
      <c r="CV32">
        <v>11.67</v>
      </c>
      <c r="CW32">
        <v>11.67</v>
      </c>
      <c r="CX32">
        <v>12.83</v>
      </c>
      <c r="CY32">
        <v>5.66</v>
      </c>
    </row>
    <row r="33" spans="1:103" x14ac:dyDescent="0.3">
      <c r="A33">
        <f t="shared" si="4"/>
        <v>1987</v>
      </c>
      <c r="B33" s="1">
        <v>31778</v>
      </c>
      <c r="C33">
        <v>21872700000</v>
      </c>
      <c r="D33">
        <v>4561050000</v>
      </c>
      <c r="E33">
        <v>140544500000</v>
      </c>
      <c r="F33">
        <v>35439500000</v>
      </c>
      <c r="G33">
        <v>132266699999.99998</v>
      </c>
      <c r="H33">
        <v>28339350000</v>
      </c>
      <c r="I33">
        <v>38705900000</v>
      </c>
      <c r="J33">
        <v>8261120000</v>
      </c>
      <c r="K33">
        <v>17679260000</v>
      </c>
      <c r="L33">
        <v>3717560000</v>
      </c>
      <c r="M33">
        <v>18311800000</v>
      </c>
      <c r="N33">
        <v>3712840000</v>
      </c>
      <c r="O33">
        <v>121509400000</v>
      </c>
      <c r="P33">
        <v>26511500000</v>
      </c>
      <c r="Q33">
        <v>15111600000</v>
      </c>
      <c r="R33">
        <v>104617200000</v>
      </c>
      <c r="S33">
        <v>33656599999.999996</v>
      </c>
      <c r="T33">
        <v>6846770000</v>
      </c>
      <c r="U33">
        <v>2062440000</v>
      </c>
      <c r="V33">
        <v>13401770000</v>
      </c>
      <c r="X33">
        <v>3.2268690000000002</v>
      </c>
      <c r="Y33">
        <v>0.45240999999999998</v>
      </c>
      <c r="AC33">
        <v>39227500000</v>
      </c>
      <c r="AD33">
        <v>399531000000</v>
      </c>
      <c r="AH33">
        <v>12222060000</v>
      </c>
      <c r="AI33">
        <v>64256200000.000008</v>
      </c>
      <c r="AM33">
        <v>11572930000</v>
      </c>
      <c r="AN33">
        <v>126801700000</v>
      </c>
      <c r="AR33">
        <v>7465650000</v>
      </c>
      <c r="AS33">
        <v>146540700000</v>
      </c>
      <c r="AW33">
        <v>13592290000</v>
      </c>
      <c r="AX33">
        <v>1366354000</v>
      </c>
      <c r="BB33">
        <v>37933900000</v>
      </c>
      <c r="BC33">
        <v>415853000000</v>
      </c>
      <c r="BG33">
        <v>16126270000.000002</v>
      </c>
      <c r="BH33">
        <v>179456400000</v>
      </c>
      <c r="BL33">
        <v>2264345000</v>
      </c>
      <c r="BM33">
        <v>18747850000</v>
      </c>
      <c r="BQ33">
        <v>134981900000</v>
      </c>
      <c r="BR33">
        <v>11263030000</v>
      </c>
      <c r="BV33">
        <v>1268925000</v>
      </c>
      <c r="BW33">
        <v>19957690000</v>
      </c>
      <c r="CA33">
        <v>17.618400000000001</v>
      </c>
      <c r="CC33">
        <v>85.682500000000005</v>
      </c>
      <c r="CE33">
        <v>1.1544399999999999</v>
      </c>
      <c r="CG33">
        <v>3170000000</v>
      </c>
      <c r="CL33">
        <v>10.522729999999999</v>
      </c>
      <c r="CP33">
        <v>7.01</v>
      </c>
      <c r="CQ33">
        <v>10.41</v>
      </c>
      <c r="CR33">
        <v>9.5</v>
      </c>
      <c r="CS33">
        <v>10.64</v>
      </c>
      <c r="CT33">
        <v>6.41</v>
      </c>
      <c r="CU33">
        <v>4.3499999999999996</v>
      </c>
      <c r="CV33">
        <v>10.029999999999999</v>
      </c>
      <c r="CW33">
        <v>10.029999999999999</v>
      </c>
      <c r="CX33">
        <v>11.39</v>
      </c>
      <c r="CY33">
        <v>5.36</v>
      </c>
    </row>
    <row r="34" spans="1:103" x14ac:dyDescent="0.3">
      <c r="A34">
        <f t="shared" si="4"/>
        <v>1988</v>
      </c>
      <c r="B34" s="1">
        <v>32143</v>
      </c>
      <c r="C34">
        <v>23946700000</v>
      </c>
      <c r="D34">
        <v>4522770000</v>
      </c>
      <c r="E34">
        <v>154084300000</v>
      </c>
      <c r="F34">
        <v>39623400000</v>
      </c>
      <c r="G34">
        <v>146497600000</v>
      </c>
      <c r="H34">
        <v>30019010000</v>
      </c>
      <c r="I34">
        <v>43405100000</v>
      </c>
      <c r="J34">
        <v>8704010000</v>
      </c>
      <c r="K34">
        <v>21707670000</v>
      </c>
      <c r="L34">
        <v>4290060000.0000005</v>
      </c>
      <c r="M34">
        <v>19017800000</v>
      </c>
      <c r="N34">
        <v>3536540000</v>
      </c>
      <c r="O34">
        <v>127498300000</v>
      </c>
      <c r="P34">
        <v>27677900000</v>
      </c>
      <c r="Q34">
        <v>16327060000</v>
      </c>
      <c r="R34">
        <v>111824400000</v>
      </c>
      <c r="S34">
        <v>35674400000</v>
      </c>
      <c r="T34">
        <v>7117190000</v>
      </c>
      <c r="U34">
        <v>2384970000</v>
      </c>
      <c r="V34">
        <v>15401880000</v>
      </c>
      <c r="X34">
        <v>6.6550079999999996</v>
      </c>
      <c r="Y34">
        <v>-0.19598399999999999</v>
      </c>
      <c r="AC34">
        <v>47529800000</v>
      </c>
      <c r="AD34">
        <v>414690000000</v>
      </c>
      <c r="AH34">
        <v>15393460000</v>
      </c>
      <c r="AI34">
        <v>65367900000.000008</v>
      </c>
      <c r="AM34">
        <v>14430090000</v>
      </c>
      <c r="AN34">
        <v>132652400000</v>
      </c>
      <c r="AR34">
        <v>9507400000</v>
      </c>
      <c r="AS34">
        <v>154134700000</v>
      </c>
      <c r="AW34">
        <v>13996480000</v>
      </c>
      <c r="AX34">
        <v>698773000</v>
      </c>
      <c r="BB34">
        <v>42829600000</v>
      </c>
      <c r="BC34">
        <v>436808000000</v>
      </c>
      <c r="BG34">
        <v>18082710000</v>
      </c>
      <c r="BH34">
        <v>187141100000</v>
      </c>
      <c r="BL34">
        <v>2552146000</v>
      </c>
      <c r="BM34">
        <v>16658919999.999998</v>
      </c>
      <c r="BQ34">
        <v>141224200000</v>
      </c>
      <c r="BR34">
        <v>12431190000</v>
      </c>
      <c r="BV34">
        <v>1434830000</v>
      </c>
      <c r="BW34">
        <v>20440970000</v>
      </c>
      <c r="CA34">
        <v>16.512899999999998</v>
      </c>
      <c r="CC34">
        <v>87.234399999999994</v>
      </c>
      <c r="CE34">
        <v>1.18248</v>
      </c>
      <c r="CG34">
        <v>6360000000</v>
      </c>
      <c r="CL34">
        <v>10.009228999999999</v>
      </c>
      <c r="CP34">
        <v>6.86</v>
      </c>
      <c r="CQ34">
        <v>10.56</v>
      </c>
      <c r="CR34">
        <v>9.08</v>
      </c>
      <c r="CS34">
        <v>10.9</v>
      </c>
      <c r="CT34">
        <v>6.42</v>
      </c>
      <c r="CU34">
        <v>4.59</v>
      </c>
      <c r="CV34">
        <v>9.9700000000000006</v>
      </c>
      <c r="CW34">
        <v>9.9700000000000006</v>
      </c>
      <c r="CX34">
        <v>11.29</v>
      </c>
      <c r="CY34">
        <v>4.82</v>
      </c>
    </row>
    <row r="35" spans="1:103" x14ac:dyDescent="0.3">
      <c r="A35">
        <f t="shared" si="4"/>
        <v>1989</v>
      </c>
      <c r="B35" s="1">
        <v>32509</v>
      </c>
      <c r="C35">
        <v>25941800000</v>
      </c>
      <c r="D35">
        <v>4849990000</v>
      </c>
      <c r="E35">
        <v>171291100000</v>
      </c>
      <c r="F35">
        <v>42625900000</v>
      </c>
      <c r="G35">
        <v>163631700000</v>
      </c>
      <c r="H35">
        <v>32913890000.000004</v>
      </c>
      <c r="I35">
        <v>45388600000</v>
      </c>
      <c r="J35">
        <v>8863610000</v>
      </c>
      <c r="K35">
        <v>28751690000</v>
      </c>
      <c r="L35">
        <v>4289020000</v>
      </c>
      <c r="M35">
        <v>20402500000</v>
      </c>
      <c r="N35">
        <v>3734630000</v>
      </c>
      <c r="O35">
        <v>136981800000</v>
      </c>
      <c r="P35">
        <v>29440200000</v>
      </c>
      <c r="Q35">
        <v>18322160000</v>
      </c>
      <c r="R35">
        <v>124906800000</v>
      </c>
      <c r="S35">
        <v>37901700000</v>
      </c>
      <c r="T35">
        <v>7473280000</v>
      </c>
      <c r="U35">
        <v>2809830000</v>
      </c>
      <c r="V35">
        <v>18464080000</v>
      </c>
      <c r="X35">
        <v>8.141413</v>
      </c>
      <c r="Y35">
        <v>0.67601500000000003</v>
      </c>
      <c r="AC35">
        <v>55268900000</v>
      </c>
      <c r="AD35">
        <v>444100000000</v>
      </c>
      <c r="AH35">
        <v>17697420000</v>
      </c>
      <c r="AI35">
        <v>70914500000</v>
      </c>
      <c r="AM35">
        <v>16673940000.000002</v>
      </c>
      <c r="AN35">
        <v>138987200000</v>
      </c>
      <c r="AR35">
        <v>11244370000</v>
      </c>
      <c r="AS35">
        <v>168059400000</v>
      </c>
      <c r="AW35">
        <v>14152270000</v>
      </c>
      <c r="AX35">
        <v>785545000</v>
      </c>
      <c r="BB35">
        <v>47990000000</v>
      </c>
      <c r="BC35">
        <v>460696000000</v>
      </c>
      <c r="BG35">
        <v>20984370000</v>
      </c>
      <c r="BH35">
        <v>196830900000</v>
      </c>
      <c r="BL35">
        <v>2821163000</v>
      </c>
      <c r="BM35">
        <v>16297429999.999998</v>
      </c>
      <c r="BQ35">
        <v>149741000000</v>
      </c>
      <c r="BR35">
        <v>14191420000</v>
      </c>
      <c r="BV35">
        <v>1515698000</v>
      </c>
      <c r="BW35">
        <v>22839380000</v>
      </c>
      <c r="CA35">
        <v>14.245699999999999</v>
      </c>
      <c r="CC35">
        <v>89.542400000000001</v>
      </c>
      <c r="CE35">
        <v>1.10175</v>
      </c>
      <c r="CG35">
        <v>6850000000</v>
      </c>
      <c r="CL35">
        <v>9.5125229999999998</v>
      </c>
      <c r="CP35">
        <v>7.15</v>
      </c>
      <c r="CQ35">
        <v>12.09</v>
      </c>
      <c r="CR35">
        <v>8.7899999999999991</v>
      </c>
      <c r="CS35">
        <v>12.79</v>
      </c>
      <c r="CT35">
        <v>7.21</v>
      </c>
      <c r="CU35">
        <v>7.46</v>
      </c>
      <c r="CV35">
        <v>12.56</v>
      </c>
      <c r="CW35">
        <v>12.56</v>
      </c>
      <c r="CX35">
        <v>12.68</v>
      </c>
      <c r="CY35">
        <v>7.39</v>
      </c>
    </row>
    <row r="36" spans="1:103" x14ac:dyDescent="0.3">
      <c r="A36">
        <f t="shared" si="4"/>
        <v>1990</v>
      </c>
      <c r="B36" s="1">
        <v>32874</v>
      </c>
      <c r="C36">
        <v>28511400000</v>
      </c>
      <c r="D36">
        <v>5101950000</v>
      </c>
      <c r="E36">
        <v>185450400000</v>
      </c>
      <c r="F36">
        <v>46123000000</v>
      </c>
      <c r="G36">
        <v>179816600000</v>
      </c>
      <c r="H36">
        <v>36438000000</v>
      </c>
      <c r="I36">
        <v>47505000000</v>
      </c>
      <c r="J36">
        <v>9664700000</v>
      </c>
      <c r="K36">
        <v>28046200000</v>
      </c>
      <c r="L36">
        <v>5015030000</v>
      </c>
      <c r="M36">
        <v>21956400000</v>
      </c>
      <c r="N36">
        <v>4000479999.9999995</v>
      </c>
      <c r="O36">
        <v>148396500000</v>
      </c>
      <c r="P36">
        <v>31057300000</v>
      </c>
      <c r="Q36">
        <v>20377650000</v>
      </c>
      <c r="R36">
        <v>136846399999.99998</v>
      </c>
      <c r="S36">
        <v>40746100000</v>
      </c>
      <c r="T36">
        <v>7924170000</v>
      </c>
      <c r="U36">
        <v>3181700000</v>
      </c>
      <c r="V36">
        <v>20258510000</v>
      </c>
      <c r="X36">
        <v>6.6863780000000004</v>
      </c>
      <c r="Y36">
        <v>0.236787</v>
      </c>
      <c r="AC36">
        <v>59253300000</v>
      </c>
      <c r="AD36">
        <v>476755000000</v>
      </c>
      <c r="AH36">
        <v>18976280000</v>
      </c>
      <c r="AI36">
        <v>77902300000</v>
      </c>
      <c r="AM36">
        <v>16409370000</v>
      </c>
      <c r="AN36">
        <v>148623800000</v>
      </c>
      <c r="AR36">
        <v>13035400000</v>
      </c>
      <c r="AS36">
        <v>181073800000</v>
      </c>
      <c r="AW36">
        <v>15087510000</v>
      </c>
      <c r="AX36">
        <v>837675000</v>
      </c>
      <c r="BB36">
        <v>53339300000</v>
      </c>
      <c r="BC36">
        <v>501082000000</v>
      </c>
      <c r="BG36">
        <v>23255280000</v>
      </c>
      <c r="BH36">
        <v>211588500000</v>
      </c>
      <c r="BL36">
        <v>3033511000</v>
      </c>
      <c r="BM36">
        <v>16802800000.000002</v>
      </c>
      <c r="BQ36">
        <v>161708500000</v>
      </c>
      <c r="BR36">
        <v>16007680000</v>
      </c>
      <c r="BV36">
        <v>1527165000</v>
      </c>
      <c r="BW36">
        <v>26673290000</v>
      </c>
      <c r="CA36">
        <v>13.807399999999999</v>
      </c>
      <c r="CC36">
        <v>91.375699999999995</v>
      </c>
      <c r="CE36">
        <v>1.2734300000000001</v>
      </c>
      <c r="CG36">
        <v>6010000000</v>
      </c>
      <c r="CL36">
        <v>10.201244000000001</v>
      </c>
      <c r="CP36">
        <v>8.77</v>
      </c>
      <c r="CQ36">
        <v>13.3</v>
      </c>
      <c r="CR36">
        <v>9.94</v>
      </c>
      <c r="CS36">
        <v>13.54</v>
      </c>
      <c r="CT36">
        <v>8.92</v>
      </c>
      <c r="CU36">
        <v>8.5299999999999994</v>
      </c>
      <c r="CV36">
        <v>14</v>
      </c>
      <c r="CW36">
        <v>14</v>
      </c>
      <c r="CX36">
        <v>12.33</v>
      </c>
      <c r="CY36">
        <v>8.68</v>
      </c>
    </row>
    <row r="37" spans="1:103" x14ac:dyDescent="0.3">
      <c r="A37">
        <f t="shared" si="4"/>
        <v>1991</v>
      </c>
      <c r="B37" s="1">
        <v>33239</v>
      </c>
      <c r="C37">
        <v>32009000000</v>
      </c>
      <c r="D37">
        <v>5547070000</v>
      </c>
      <c r="E37">
        <v>186940800000</v>
      </c>
      <c r="F37">
        <v>48905300000</v>
      </c>
      <c r="G37">
        <v>191331100000</v>
      </c>
      <c r="H37">
        <v>38850970000</v>
      </c>
      <c r="I37">
        <v>48766200000</v>
      </c>
      <c r="J37">
        <v>10116630000</v>
      </c>
      <c r="K37">
        <v>21827080000</v>
      </c>
      <c r="L37">
        <v>4899590000</v>
      </c>
      <c r="M37">
        <v>23614800000</v>
      </c>
      <c r="N37">
        <v>4252550000.0000005</v>
      </c>
      <c r="O37">
        <v>157970900000</v>
      </c>
      <c r="P37">
        <v>33124600000</v>
      </c>
      <c r="Q37">
        <v>22508520000</v>
      </c>
      <c r="R37">
        <v>148899900000</v>
      </c>
      <c r="S37">
        <v>43191300000</v>
      </c>
      <c r="T37">
        <v>8338100000.000001</v>
      </c>
      <c r="U37">
        <v>3266390000</v>
      </c>
      <c r="V37">
        <v>20455380000</v>
      </c>
      <c r="X37">
        <v>0.93877500000000003</v>
      </c>
      <c r="Y37">
        <v>-6.5753000000000006E-2</v>
      </c>
      <c r="AC37">
        <v>57631400000</v>
      </c>
      <c r="AD37">
        <v>497123000000</v>
      </c>
      <c r="AH37">
        <v>17694160000</v>
      </c>
      <c r="AI37">
        <v>81505000000</v>
      </c>
      <c r="AM37">
        <v>15288340000</v>
      </c>
      <c r="AN37">
        <v>151332600000</v>
      </c>
      <c r="AR37">
        <v>13409100000</v>
      </c>
      <c r="AS37">
        <v>185829600000</v>
      </c>
      <c r="AW37">
        <v>15826720000</v>
      </c>
      <c r="AX37">
        <v>288841000</v>
      </c>
      <c r="BB37">
        <v>58560900000</v>
      </c>
      <c r="BC37">
        <v>526524000000</v>
      </c>
      <c r="BG37">
        <v>24717860000</v>
      </c>
      <c r="BH37">
        <v>222382100000</v>
      </c>
      <c r="BL37">
        <v>3305620000</v>
      </c>
      <c r="BM37">
        <v>16564200000</v>
      </c>
      <c r="BQ37">
        <v>170662300000</v>
      </c>
      <c r="BR37">
        <v>18538100000</v>
      </c>
      <c r="BV37">
        <v>1898265000</v>
      </c>
      <c r="BW37">
        <v>28731720000</v>
      </c>
      <c r="CA37">
        <v>21.881</v>
      </c>
      <c r="CC37">
        <v>94.537899999999993</v>
      </c>
      <c r="CE37">
        <v>1.23916</v>
      </c>
      <c r="CG37">
        <v>4320000000</v>
      </c>
      <c r="CL37">
        <v>12.728142</v>
      </c>
      <c r="CP37">
        <v>8.56</v>
      </c>
      <c r="CQ37">
        <v>11.23</v>
      </c>
      <c r="CR37">
        <v>9.0500000000000007</v>
      </c>
      <c r="CS37">
        <v>13.17</v>
      </c>
      <c r="CT37">
        <v>8.74</v>
      </c>
      <c r="CU37">
        <v>9.1</v>
      </c>
      <c r="CV37">
        <v>13.08</v>
      </c>
      <c r="CW37">
        <v>13.08</v>
      </c>
      <c r="CX37">
        <v>12.2</v>
      </c>
      <c r="CY37">
        <v>9.2799999999999994</v>
      </c>
    </row>
    <row r="38" spans="1:103" x14ac:dyDescent="0.3">
      <c r="A38">
        <f t="shared" si="4"/>
        <v>1992</v>
      </c>
      <c r="B38" s="1">
        <v>33604</v>
      </c>
      <c r="C38">
        <v>33706100000</v>
      </c>
      <c r="D38">
        <v>5961210000</v>
      </c>
      <c r="E38">
        <v>184382900000</v>
      </c>
      <c r="F38">
        <v>51160400000</v>
      </c>
      <c r="G38">
        <v>189722100000</v>
      </c>
      <c r="H38">
        <v>36547410000</v>
      </c>
      <c r="I38">
        <v>50769300000</v>
      </c>
      <c r="J38">
        <v>11078050000</v>
      </c>
      <c r="K38">
        <v>15135070000</v>
      </c>
      <c r="L38">
        <v>4159020000</v>
      </c>
      <c r="M38">
        <v>25827200000</v>
      </c>
      <c r="N38">
        <v>4574640000</v>
      </c>
      <c r="O38">
        <v>165885100000</v>
      </c>
      <c r="P38">
        <v>35037300000</v>
      </c>
      <c r="Q38">
        <v>23412750000</v>
      </c>
      <c r="R38">
        <v>153489500000</v>
      </c>
      <c r="S38">
        <v>46284900000</v>
      </c>
      <c r="T38">
        <v>8802100000</v>
      </c>
      <c r="U38">
        <v>2857660000</v>
      </c>
      <c r="V38">
        <v>17586250000</v>
      </c>
      <c r="X38">
        <v>-2.8488690000000001</v>
      </c>
      <c r="Y38">
        <v>-1.6384920000000001</v>
      </c>
      <c r="AC38">
        <v>49036900000</v>
      </c>
      <c r="AD38">
        <v>519869000000</v>
      </c>
      <c r="AH38">
        <v>14030290000</v>
      </c>
      <c r="AI38">
        <v>83539700000</v>
      </c>
      <c r="AM38">
        <v>12589690000</v>
      </c>
      <c r="AN38">
        <v>157243500000</v>
      </c>
      <c r="AR38">
        <v>12033720000</v>
      </c>
      <c r="AS38">
        <v>198290200000</v>
      </c>
      <c r="AW38">
        <v>17299310000</v>
      </c>
      <c r="AX38">
        <v>239589000</v>
      </c>
      <c r="BB38">
        <v>53656700000</v>
      </c>
      <c r="BC38">
        <v>569713000000</v>
      </c>
      <c r="BG38">
        <v>21075650000</v>
      </c>
      <c r="BH38">
        <v>241130900000</v>
      </c>
      <c r="BL38">
        <v>2878140000</v>
      </c>
      <c r="BM38">
        <v>16895100000</v>
      </c>
      <c r="BQ38">
        <v>184268600000</v>
      </c>
      <c r="BR38">
        <v>18796480000</v>
      </c>
      <c r="BV38">
        <v>2149134000</v>
      </c>
      <c r="BW38">
        <v>32244270000</v>
      </c>
      <c r="CA38">
        <v>39.256100000000004</v>
      </c>
      <c r="CC38">
        <v>101.0719</v>
      </c>
      <c r="CE38">
        <v>1.2981</v>
      </c>
      <c r="CG38">
        <v>6240000000</v>
      </c>
      <c r="CL38">
        <v>11.049695</v>
      </c>
      <c r="CP38">
        <v>7.37</v>
      </c>
      <c r="CQ38">
        <v>11.98</v>
      </c>
      <c r="CR38">
        <v>8.59</v>
      </c>
      <c r="CS38">
        <v>13.28</v>
      </c>
      <c r="CT38">
        <v>8.1</v>
      </c>
      <c r="CU38">
        <v>9.32</v>
      </c>
      <c r="CV38">
        <v>13.25</v>
      </c>
      <c r="CW38">
        <v>13.25</v>
      </c>
      <c r="CX38">
        <v>14.01</v>
      </c>
      <c r="CY38">
        <v>9.35</v>
      </c>
    </row>
    <row r="39" spans="1:103" x14ac:dyDescent="0.3">
      <c r="A39">
        <f t="shared" si="4"/>
        <v>1993</v>
      </c>
      <c r="B39" s="1">
        <v>33970</v>
      </c>
      <c r="C39">
        <v>35208200000</v>
      </c>
      <c r="D39">
        <v>6807990000</v>
      </c>
      <c r="E39">
        <v>178003000000</v>
      </c>
      <c r="F39">
        <v>51656400000</v>
      </c>
      <c r="G39">
        <v>153952900000</v>
      </c>
      <c r="H39">
        <v>28544480000</v>
      </c>
      <c r="I39">
        <v>52545700000</v>
      </c>
      <c r="J39">
        <v>11644410000</v>
      </c>
      <c r="K39">
        <v>11513600000</v>
      </c>
      <c r="L39">
        <v>3059760000</v>
      </c>
      <c r="M39">
        <v>28433600000</v>
      </c>
      <c r="N39">
        <v>5051970000</v>
      </c>
      <c r="O39">
        <v>174454800000</v>
      </c>
      <c r="P39">
        <v>37687800000</v>
      </c>
      <c r="Q39">
        <v>21689990000</v>
      </c>
      <c r="R39">
        <v>141295600000</v>
      </c>
      <c r="S39">
        <v>50223500000</v>
      </c>
      <c r="T39">
        <v>9554480000</v>
      </c>
      <c r="U39">
        <v>2542100000</v>
      </c>
      <c r="V39">
        <v>15427530000</v>
      </c>
      <c r="X39">
        <v>-3.665969</v>
      </c>
      <c r="Y39">
        <v>-3.1604489999999998</v>
      </c>
      <c r="AC39">
        <v>42678500000</v>
      </c>
      <c r="AD39">
        <v>551644000000</v>
      </c>
      <c r="AH39">
        <v>11646790000</v>
      </c>
      <c r="AI39">
        <v>88645500000</v>
      </c>
      <c r="AM39">
        <v>10797940000</v>
      </c>
      <c r="AN39">
        <v>168120600000</v>
      </c>
      <c r="AR39">
        <v>10929350000</v>
      </c>
      <c r="AS39">
        <v>208163200000</v>
      </c>
      <c r="AW39">
        <v>18978580000</v>
      </c>
      <c r="AX39">
        <v>190014000</v>
      </c>
      <c r="BB39">
        <v>48744800000</v>
      </c>
      <c r="BC39">
        <v>623457000000</v>
      </c>
      <c r="BG39">
        <v>17649090000</v>
      </c>
      <c r="BH39">
        <v>264372100000</v>
      </c>
      <c r="BL39">
        <v>2380501000</v>
      </c>
      <c r="BM39">
        <v>18208280000</v>
      </c>
      <c r="BQ39">
        <v>200851800000</v>
      </c>
      <c r="BR39">
        <v>17591380000</v>
      </c>
      <c r="BV39">
        <v>3279071000</v>
      </c>
      <c r="BW39">
        <v>36348340000</v>
      </c>
      <c r="CA39">
        <v>54.194200000000002</v>
      </c>
      <c r="CC39">
        <v>110.7187</v>
      </c>
      <c r="CE39">
        <v>1.171</v>
      </c>
      <c r="CG39">
        <v>5420000000</v>
      </c>
      <c r="CL39">
        <v>11.106767</v>
      </c>
      <c r="CP39">
        <v>6.7</v>
      </c>
      <c r="CQ39">
        <v>8.83</v>
      </c>
      <c r="CR39">
        <v>6.78</v>
      </c>
      <c r="CS39">
        <v>11.19</v>
      </c>
      <c r="CT39">
        <v>6.36</v>
      </c>
      <c r="CU39">
        <v>7.23</v>
      </c>
      <c r="CV39">
        <v>7.77</v>
      </c>
      <c r="CW39">
        <v>7.77</v>
      </c>
      <c r="CX39">
        <v>10.19</v>
      </c>
      <c r="CY39">
        <v>6.85</v>
      </c>
    </row>
    <row r="40" spans="1:103" x14ac:dyDescent="0.3">
      <c r="A40">
        <f t="shared" si="4"/>
        <v>1994</v>
      </c>
      <c r="B40" s="1">
        <v>34335</v>
      </c>
      <c r="C40">
        <v>38255100000</v>
      </c>
      <c r="D40">
        <v>7220180000</v>
      </c>
      <c r="E40">
        <v>182767800000</v>
      </c>
      <c r="F40">
        <v>52581200000</v>
      </c>
      <c r="G40">
        <v>155967700000</v>
      </c>
      <c r="H40">
        <v>24839320000</v>
      </c>
      <c r="I40">
        <v>54017700000</v>
      </c>
      <c r="J40">
        <v>12209310000</v>
      </c>
      <c r="K40">
        <v>12618940000</v>
      </c>
      <c r="L40">
        <v>3638070000</v>
      </c>
      <c r="M40">
        <v>29954400000</v>
      </c>
      <c r="N40">
        <v>5317520000</v>
      </c>
      <c r="O40">
        <v>179243300000</v>
      </c>
      <c r="P40">
        <v>39331600000</v>
      </c>
      <c r="Q40">
        <v>22046710000</v>
      </c>
      <c r="R40">
        <v>143375800000</v>
      </c>
      <c r="S40">
        <v>52047800000</v>
      </c>
      <c r="T40">
        <v>9921270000</v>
      </c>
      <c r="U40">
        <v>2908150000</v>
      </c>
      <c r="V40">
        <v>16932179999.999998</v>
      </c>
      <c r="X40">
        <v>-2.3648400000000001</v>
      </c>
      <c r="Y40">
        <v>-2.1155870000000001</v>
      </c>
      <c r="AC40">
        <v>48889100000</v>
      </c>
      <c r="AD40">
        <v>578490000000</v>
      </c>
      <c r="AH40">
        <v>14548420000</v>
      </c>
      <c r="AI40">
        <v>94245800000</v>
      </c>
      <c r="AM40">
        <v>12372110000</v>
      </c>
      <c r="AN40">
        <v>181072700000</v>
      </c>
      <c r="AR40">
        <v>13170220000</v>
      </c>
      <c r="AS40">
        <v>214627800000</v>
      </c>
      <c r="AW40">
        <v>19864200000</v>
      </c>
      <c r="AX40">
        <v>206490000</v>
      </c>
      <c r="BB40">
        <v>54451900000</v>
      </c>
      <c r="BC40">
        <v>642249000000</v>
      </c>
      <c r="BG40">
        <v>19426380000</v>
      </c>
      <c r="BH40">
        <v>272609100000</v>
      </c>
      <c r="BL40">
        <v>2557594000</v>
      </c>
      <c r="BM40">
        <v>17867220000</v>
      </c>
      <c r="BQ40">
        <v>208518300000</v>
      </c>
      <c r="BR40">
        <v>20026650000</v>
      </c>
      <c r="BV40">
        <v>3503607000</v>
      </c>
      <c r="BW40">
        <v>39030850000</v>
      </c>
      <c r="CA40">
        <v>56.198</v>
      </c>
      <c r="CC40">
        <v>116.61750000000001</v>
      </c>
      <c r="CE40">
        <v>1.1895199999999999</v>
      </c>
      <c r="CG40">
        <v>3700000000</v>
      </c>
      <c r="CL40">
        <v>7.8613910000000002</v>
      </c>
      <c r="CP40">
        <v>7.03</v>
      </c>
      <c r="CQ40">
        <v>9.0399999999999991</v>
      </c>
      <c r="CR40">
        <v>7.22</v>
      </c>
      <c r="CS40">
        <v>10.52</v>
      </c>
      <c r="CT40">
        <v>6.86</v>
      </c>
      <c r="CU40">
        <v>5.04</v>
      </c>
      <c r="CV40">
        <v>5.34</v>
      </c>
      <c r="CW40">
        <v>5.34</v>
      </c>
      <c r="CX40">
        <v>8.4499999999999993</v>
      </c>
      <c r="CY40">
        <v>5.18</v>
      </c>
    </row>
    <row r="41" spans="1:103" x14ac:dyDescent="0.3">
      <c r="A41">
        <f t="shared" si="4"/>
        <v>1995</v>
      </c>
      <c r="B41" s="1">
        <v>34700</v>
      </c>
      <c r="C41">
        <v>39947500000</v>
      </c>
      <c r="D41">
        <v>7211090000</v>
      </c>
      <c r="E41">
        <v>184381600000</v>
      </c>
      <c r="F41">
        <v>56574300000</v>
      </c>
      <c r="G41">
        <v>156057300000</v>
      </c>
      <c r="H41">
        <v>22847390000</v>
      </c>
      <c r="I41">
        <v>59346300000</v>
      </c>
      <c r="J41">
        <v>13099990000</v>
      </c>
      <c r="K41">
        <v>15985680000</v>
      </c>
      <c r="L41">
        <v>3802690000</v>
      </c>
      <c r="M41">
        <v>31688000000</v>
      </c>
      <c r="N41">
        <v>5756000000</v>
      </c>
      <c r="O41">
        <v>183772500000</v>
      </c>
      <c r="P41">
        <v>44897600000</v>
      </c>
      <c r="Q41">
        <v>20982150000</v>
      </c>
      <c r="R41">
        <v>137322800000</v>
      </c>
      <c r="S41">
        <v>55469900000</v>
      </c>
      <c r="T41">
        <v>10982270000</v>
      </c>
      <c r="U41">
        <v>3340250000</v>
      </c>
      <c r="V41">
        <v>18535390000</v>
      </c>
      <c r="W41">
        <v>-2.1523620000000001</v>
      </c>
      <c r="X41">
        <v>-1.9948399999999999</v>
      </c>
      <c r="Y41">
        <v>-1.6523369999999999</v>
      </c>
      <c r="Z41">
        <v>3.884118</v>
      </c>
      <c r="AA41">
        <v>-3.380884</v>
      </c>
      <c r="AB41">
        <v>91559100000</v>
      </c>
      <c r="AC41">
        <v>56589400000</v>
      </c>
      <c r="AD41">
        <v>621602000000</v>
      </c>
      <c r="AE41">
        <v>398399000000</v>
      </c>
      <c r="AF41">
        <v>159611500000</v>
      </c>
      <c r="AG41">
        <v>22029370000</v>
      </c>
      <c r="AH41">
        <v>17266790000</v>
      </c>
      <c r="AI41">
        <v>98329500000</v>
      </c>
      <c r="AJ41">
        <v>124564000000</v>
      </c>
      <c r="AK41">
        <v>39345100000</v>
      </c>
      <c r="AL41">
        <v>26897520000</v>
      </c>
      <c r="AM41">
        <v>13975490000</v>
      </c>
      <c r="AN41">
        <v>192183700000</v>
      </c>
      <c r="AO41">
        <v>105195300000</v>
      </c>
      <c r="AP41">
        <v>36057800000</v>
      </c>
      <c r="AQ41">
        <v>27526260000</v>
      </c>
      <c r="AR41">
        <v>14463980000</v>
      </c>
      <c r="AS41">
        <v>222810400000</v>
      </c>
      <c r="AT41">
        <v>111590900000</v>
      </c>
      <c r="AU41">
        <v>52204700000</v>
      </c>
      <c r="AV41">
        <v>2258084000</v>
      </c>
      <c r="AW41">
        <v>20950320000</v>
      </c>
      <c r="AX41">
        <v>234348000</v>
      </c>
      <c r="AY41">
        <v>14412900000</v>
      </c>
      <c r="AZ41">
        <v>4339363000</v>
      </c>
      <c r="BA41">
        <v>102891400000</v>
      </c>
      <c r="BB41">
        <v>62570000000</v>
      </c>
      <c r="BC41">
        <v>683969000000</v>
      </c>
      <c r="BD41">
        <v>189840100000</v>
      </c>
      <c r="BE41">
        <v>463213000000</v>
      </c>
      <c r="BF41">
        <v>36567300000</v>
      </c>
      <c r="BG41">
        <v>22378700000</v>
      </c>
      <c r="BH41">
        <v>286309400000</v>
      </c>
      <c r="BI41">
        <v>157442000000</v>
      </c>
      <c r="BJ41">
        <v>77257000000</v>
      </c>
      <c r="BK41">
        <v>4726430000</v>
      </c>
      <c r="BL41">
        <v>2740313000</v>
      </c>
      <c r="BM41">
        <v>18468660000</v>
      </c>
      <c r="BN41">
        <v>15778200000</v>
      </c>
      <c r="BO41">
        <v>2847410000</v>
      </c>
      <c r="BP41">
        <v>36683000000</v>
      </c>
      <c r="BQ41">
        <v>216215800000</v>
      </c>
      <c r="BR41">
        <v>21864180000</v>
      </c>
      <c r="BS41">
        <v>140078600000</v>
      </c>
      <c r="BT41">
        <v>50626600000</v>
      </c>
      <c r="BU41">
        <v>7379940000</v>
      </c>
      <c r="BV41">
        <v>3934969000</v>
      </c>
      <c r="BW41">
        <v>42204640000</v>
      </c>
      <c r="BX41">
        <v>99785000000</v>
      </c>
      <c r="BY41">
        <v>18513430000</v>
      </c>
      <c r="BZ41">
        <v>68.583500000000001</v>
      </c>
      <c r="CA41">
        <v>55.204500000000003</v>
      </c>
      <c r="CB41">
        <v>57.805</v>
      </c>
      <c r="CC41">
        <v>119.0877</v>
      </c>
      <c r="CD41">
        <v>73.162300000000002</v>
      </c>
      <c r="CE41">
        <v>1.3080099999999999</v>
      </c>
      <c r="CG41">
        <v>-1420000000</v>
      </c>
      <c r="CI41">
        <v>-4820000000</v>
      </c>
      <c r="CL41">
        <v>7.4151129999999998</v>
      </c>
      <c r="CN41">
        <v>10.265051</v>
      </c>
      <c r="CP41">
        <v>7.14</v>
      </c>
      <c r="CQ41">
        <v>8.7899999999999991</v>
      </c>
      <c r="CR41">
        <v>7.54</v>
      </c>
      <c r="CS41">
        <v>12.21</v>
      </c>
      <c r="CT41">
        <v>6.9</v>
      </c>
      <c r="CU41">
        <v>4.5199999999999996</v>
      </c>
      <c r="CV41">
        <v>5.75</v>
      </c>
      <c r="CW41">
        <v>5.75</v>
      </c>
      <c r="CX41">
        <v>10.33</v>
      </c>
      <c r="CY41">
        <v>4.37</v>
      </c>
    </row>
    <row r="42" spans="1:103" x14ac:dyDescent="0.3">
      <c r="A42">
        <f t="shared" si="4"/>
        <v>1996</v>
      </c>
      <c r="B42" s="1">
        <v>35065</v>
      </c>
      <c r="C42">
        <v>41408700000</v>
      </c>
      <c r="D42">
        <v>6898250000</v>
      </c>
      <c r="E42">
        <v>187564000000</v>
      </c>
      <c r="F42">
        <v>57601600000</v>
      </c>
      <c r="G42">
        <v>176445300000</v>
      </c>
      <c r="H42">
        <v>27238800000</v>
      </c>
      <c r="I42">
        <v>62337800000</v>
      </c>
      <c r="J42">
        <v>14218810000</v>
      </c>
      <c r="K42">
        <v>17181720000</v>
      </c>
      <c r="L42">
        <v>4170460000.0000005</v>
      </c>
      <c r="M42">
        <v>32258200000.000004</v>
      </c>
      <c r="N42">
        <v>5831840000</v>
      </c>
      <c r="O42">
        <v>189175300000</v>
      </c>
      <c r="P42">
        <v>46419200000</v>
      </c>
      <c r="Q42">
        <v>23355310000</v>
      </c>
      <c r="R42">
        <v>156680100000</v>
      </c>
      <c r="S42">
        <v>56271700000</v>
      </c>
      <c r="T42">
        <v>11100270000</v>
      </c>
      <c r="U42">
        <v>3399210000</v>
      </c>
      <c r="V42">
        <v>18682390000</v>
      </c>
      <c r="W42">
        <v>-0.61501499999999998</v>
      </c>
      <c r="X42">
        <v>0.91883499999999996</v>
      </c>
      <c r="Y42">
        <v>-0.28153</v>
      </c>
      <c r="Z42">
        <v>4.4220670000000002</v>
      </c>
      <c r="AA42">
        <v>3.088908</v>
      </c>
      <c r="AB42">
        <v>95557400000</v>
      </c>
      <c r="AC42">
        <v>58586400000</v>
      </c>
      <c r="AD42">
        <v>656603000000</v>
      </c>
      <c r="AE42">
        <v>463342000000</v>
      </c>
      <c r="AF42">
        <v>164351600000</v>
      </c>
      <c r="AG42">
        <v>24167680000</v>
      </c>
      <c r="AH42">
        <v>19144530000</v>
      </c>
      <c r="AI42">
        <v>108196100000</v>
      </c>
      <c r="AJ42">
        <v>149571300000</v>
      </c>
      <c r="AK42">
        <v>41829400000</v>
      </c>
      <c r="AL42">
        <v>27895500000</v>
      </c>
      <c r="AM42">
        <v>14285450000</v>
      </c>
      <c r="AN42">
        <v>205247100000</v>
      </c>
      <c r="AO42">
        <v>119370200000</v>
      </c>
      <c r="AP42">
        <v>37926100000</v>
      </c>
      <c r="AQ42">
        <v>28049650000</v>
      </c>
      <c r="AR42">
        <v>14112030000</v>
      </c>
      <c r="AS42">
        <v>230756500000</v>
      </c>
      <c r="AT42">
        <v>144181400000</v>
      </c>
      <c r="AU42">
        <v>51346700000</v>
      </c>
      <c r="AV42">
        <v>2385819000</v>
      </c>
      <c r="AW42">
        <v>22778870000</v>
      </c>
      <c r="AX42">
        <v>228518000</v>
      </c>
      <c r="AY42">
        <v>4132570000.0000005</v>
      </c>
      <c r="AZ42">
        <v>4445053000</v>
      </c>
      <c r="BA42">
        <v>104061900000</v>
      </c>
      <c r="BB42">
        <v>61857000000</v>
      </c>
      <c r="BC42">
        <v>705685000000</v>
      </c>
      <c r="BD42">
        <v>171130400000</v>
      </c>
      <c r="BE42">
        <v>531778000000</v>
      </c>
      <c r="BF42">
        <v>37040100000</v>
      </c>
      <c r="BG42">
        <v>22973230000</v>
      </c>
      <c r="BH42">
        <v>299086100000</v>
      </c>
      <c r="BI42">
        <v>183063800000</v>
      </c>
      <c r="BJ42">
        <v>75625600000</v>
      </c>
      <c r="BK42">
        <v>4302200000</v>
      </c>
      <c r="BL42">
        <v>2013818000</v>
      </c>
      <c r="BM42">
        <v>19311280000</v>
      </c>
      <c r="BN42">
        <v>17046250000</v>
      </c>
      <c r="BO42">
        <v>3330700000</v>
      </c>
      <c r="BP42">
        <v>37054400000</v>
      </c>
      <c r="BQ42">
        <v>224349500000</v>
      </c>
      <c r="BR42">
        <v>21534790000</v>
      </c>
      <c r="BS42">
        <v>163832100000</v>
      </c>
      <c r="BT42">
        <v>49785400000</v>
      </c>
      <c r="BU42">
        <v>7360851000</v>
      </c>
      <c r="BV42">
        <v>4226568000.0000005</v>
      </c>
      <c r="BW42">
        <v>45535520000</v>
      </c>
      <c r="BX42">
        <v>114231400000</v>
      </c>
      <c r="BY42">
        <v>17763730000</v>
      </c>
      <c r="BZ42">
        <v>68.632400000000004</v>
      </c>
      <c r="CA42">
        <v>55.363500000000002</v>
      </c>
      <c r="CB42">
        <v>60.593499999999999</v>
      </c>
      <c r="CC42">
        <v>118.8963</v>
      </c>
      <c r="CD42">
        <v>71.372399999999999</v>
      </c>
      <c r="CE42">
        <v>1.2697499999999999</v>
      </c>
      <c r="CF42">
        <v>-8570000000</v>
      </c>
      <c r="CG42">
        <v>-2080000000</v>
      </c>
      <c r="CH42">
        <v>-8460000000.000001</v>
      </c>
      <c r="CI42">
        <v>95320000000</v>
      </c>
      <c r="CJ42">
        <v>-10540000000</v>
      </c>
      <c r="CK42">
        <v>5.9565440000000001</v>
      </c>
      <c r="CL42">
        <v>7.6226750000000001</v>
      </c>
      <c r="CM42">
        <v>6.4240219999999999</v>
      </c>
      <c r="CN42">
        <v>9.7974800000000002</v>
      </c>
      <c r="CO42">
        <v>7.1432419999999999</v>
      </c>
      <c r="CP42">
        <v>6.32</v>
      </c>
      <c r="CQ42">
        <v>7.08</v>
      </c>
      <c r="CR42">
        <v>6.31</v>
      </c>
      <c r="CS42">
        <v>9.4</v>
      </c>
      <c r="CT42">
        <v>6.15</v>
      </c>
      <c r="CU42">
        <v>3.34</v>
      </c>
      <c r="CV42">
        <v>3.63</v>
      </c>
      <c r="CW42">
        <v>3.63</v>
      </c>
      <c r="CX42">
        <v>8.69</v>
      </c>
      <c r="CY42">
        <v>2.99</v>
      </c>
    </row>
    <row r="43" spans="1:103" x14ac:dyDescent="0.3">
      <c r="A43">
        <f t="shared" si="4"/>
        <v>1997</v>
      </c>
      <c r="B43" s="1">
        <v>35431</v>
      </c>
      <c r="C43">
        <v>42147100000</v>
      </c>
      <c r="D43">
        <v>5592550000</v>
      </c>
      <c r="E43">
        <v>188910000000</v>
      </c>
      <c r="F43">
        <v>53678700000</v>
      </c>
      <c r="G43">
        <v>186828100000</v>
      </c>
      <c r="H43">
        <v>29057600000</v>
      </c>
      <c r="I43">
        <v>66094100000</v>
      </c>
      <c r="J43">
        <v>13684910000</v>
      </c>
      <c r="K43">
        <v>19016180000</v>
      </c>
      <c r="L43">
        <v>4915820000</v>
      </c>
      <c r="M43">
        <v>32596700000</v>
      </c>
      <c r="N43">
        <v>4914780000</v>
      </c>
      <c r="O43">
        <v>189803900000</v>
      </c>
      <c r="P43">
        <v>46784300000</v>
      </c>
      <c r="Q43">
        <v>24469080000</v>
      </c>
      <c r="R43">
        <v>166272400000</v>
      </c>
      <c r="S43">
        <v>56839900000</v>
      </c>
      <c r="T43">
        <v>11138110000</v>
      </c>
      <c r="U43">
        <v>3570080000</v>
      </c>
      <c r="V43">
        <v>19384210000</v>
      </c>
      <c r="W43">
        <v>0.98714599999999997</v>
      </c>
      <c r="X43">
        <v>2.8827060000000002</v>
      </c>
      <c r="Y43">
        <v>-0.16042899999999999</v>
      </c>
      <c r="Z43">
        <v>6.1391210000000003</v>
      </c>
      <c r="AA43">
        <v>3.0473949999999999</v>
      </c>
      <c r="AB43">
        <v>93563700000</v>
      </c>
      <c r="AC43">
        <v>61456800000</v>
      </c>
      <c r="AD43">
        <v>663418000000</v>
      </c>
      <c r="AE43">
        <v>509346000000</v>
      </c>
      <c r="AF43">
        <v>165268500000</v>
      </c>
      <c r="AG43">
        <v>25389520000</v>
      </c>
      <c r="AH43">
        <v>20003990000</v>
      </c>
      <c r="AI43">
        <v>116778300000</v>
      </c>
      <c r="AJ43">
        <v>166369900000</v>
      </c>
      <c r="AK43">
        <v>41335800000</v>
      </c>
      <c r="AL43">
        <v>28522830000</v>
      </c>
      <c r="AM43">
        <v>16010269999.999998</v>
      </c>
      <c r="AN43">
        <v>208371400000</v>
      </c>
      <c r="AO43">
        <v>131685000000</v>
      </c>
      <c r="AP43">
        <v>39315300000</v>
      </c>
      <c r="AQ43">
        <v>28009980000</v>
      </c>
      <c r="AR43">
        <v>14265170000</v>
      </c>
      <c r="AS43">
        <v>228006900000</v>
      </c>
      <c r="AT43">
        <v>154040500000</v>
      </c>
      <c r="AU43">
        <v>52491900000</v>
      </c>
      <c r="AV43">
        <v>2334354000</v>
      </c>
      <c r="AW43">
        <v>23195880000</v>
      </c>
      <c r="AX43">
        <v>227490000</v>
      </c>
      <c r="AY43">
        <v>3956240000</v>
      </c>
      <c r="AZ43">
        <v>4341014000</v>
      </c>
      <c r="BA43">
        <v>98465300000</v>
      </c>
      <c r="BB43">
        <v>62774200000</v>
      </c>
      <c r="BC43">
        <v>710900000000</v>
      </c>
      <c r="BD43">
        <v>171169500000</v>
      </c>
      <c r="BE43">
        <v>542101000000</v>
      </c>
      <c r="BF43">
        <v>37209800000</v>
      </c>
      <c r="BG43">
        <v>23838970000</v>
      </c>
      <c r="BH43">
        <v>303192300000</v>
      </c>
      <c r="BI43">
        <v>194915600000</v>
      </c>
      <c r="BJ43">
        <v>76952100000</v>
      </c>
      <c r="BK43">
        <v>4048990000</v>
      </c>
      <c r="BL43">
        <v>2000905000</v>
      </c>
      <c r="BM43">
        <v>18463040000</v>
      </c>
      <c r="BN43">
        <v>14864510000</v>
      </c>
      <c r="BO43">
        <v>3869530000</v>
      </c>
      <c r="BP43">
        <v>36042600000</v>
      </c>
      <c r="BQ43">
        <v>228450700000</v>
      </c>
      <c r="BR43">
        <v>21377020000</v>
      </c>
      <c r="BS43">
        <v>178410200000</v>
      </c>
      <c r="BT43">
        <v>47755100000</v>
      </c>
      <c r="BU43">
        <v>6746748000</v>
      </c>
      <c r="BV43">
        <v>4545764000</v>
      </c>
      <c r="BW43">
        <v>45429030000</v>
      </c>
      <c r="BX43">
        <v>100226800000</v>
      </c>
      <c r="BY43">
        <v>17129810000</v>
      </c>
      <c r="BZ43">
        <v>63.9039</v>
      </c>
      <c r="CA43">
        <v>52.235399999999998</v>
      </c>
      <c r="CB43">
        <v>61.983199999999997</v>
      </c>
      <c r="CC43">
        <v>116.4905</v>
      </c>
      <c r="CD43">
        <v>65.809100000000001</v>
      </c>
      <c r="CE43">
        <v>1.1340399999999999</v>
      </c>
      <c r="CF43">
        <v>-11300000000</v>
      </c>
      <c r="CG43">
        <v>-1570000000</v>
      </c>
      <c r="CH43">
        <v>-9770000000</v>
      </c>
      <c r="CI43">
        <v>-21270000000</v>
      </c>
      <c r="CJ43">
        <v>-13810000000</v>
      </c>
      <c r="CK43">
        <v>5.43994</v>
      </c>
      <c r="CL43">
        <v>7.9634419999999997</v>
      </c>
      <c r="CM43">
        <v>6.0610400000000002</v>
      </c>
      <c r="CN43">
        <v>8.0166590000000006</v>
      </c>
      <c r="CO43">
        <v>6.9730449999999999</v>
      </c>
      <c r="CP43">
        <v>5.68</v>
      </c>
      <c r="CQ43">
        <v>5.96</v>
      </c>
      <c r="CR43">
        <v>5.58</v>
      </c>
      <c r="CS43">
        <v>6.86</v>
      </c>
      <c r="CT43">
        <v>5.58</v>
      </c>
      <c r="CU43">
        <v>3.51</v>
      </c>
      <c r="CV43">
        <v>3.23</v>
      </c>
      <c r="CW43">
        <v>3.23</v>
      </c>
      <c r="CX43">
        <v>6.78</v>
      </c>
      <c r="CY43">
        <v>3.32</v>
      </c>
    </row>
    <row r="44" spans="1:103" x14ac:dyDescent="0.3">
      <c r="A44">
        <f t="shared" si="4"/>
        <v>1998</v>
      </c>
      <c r="B44" s="1">
        <v>35796</v>
      </c>
      <c r="C44">
        <v>43905800000</v>
      </c>
      <c r="D44">
        <v>5711320000</v>
      </c>
      <c r="E44">
        <v>204483300000</v>
      </c>
      <c r="F44">
        <v>54305200000</v>
      </c>
      <c r="G44">
        <v>195869300000</v>
      </c>
      <c r="H44">
        <v>31106600000</v>
      </c>
      <c r="I44">
        <v>71426000000</v>
      </c>
      <c r="J44">
        <v>14055270000</v>
      </c>
      <c r="K44">
        <v>21662990000</v>
      </c>
      <c r="L44">
        <v>4929510000</v>
      </c>
      <c r="M44">
        <v>33807100000</v>
      </c>
      <c r="N44">
        <v>5046740000</v>
      </c>
      <c r="O44">
        <v>195250000000</v>
      </c>
      <c r="P44">
        <v>47695000000</v>
      </c>
      <c r="Q44">
        <v>25230960000</v>
      </c>
      <c r="R44">
        <v>172660300000</v>
      </c>
      <c r="S44">
        <v>59413000000</v>
      </c>
      <c r="T44">
        <v>11448140000</v>
      </c>
      <c r="U44">
        <v>3725950000</v>
      </c>
      <c r="V44">
        <v>20113580000</v>
      </c>
      <c r="W44">
        <v>0.84262899999999996</v>
      </c>
      <c r="X44">
        <v>5.0892210000000002</v>
      </c>
      <c r="Y44">
        <v>0.99464600000000003</v>
      </c>
      <c r="Z44">
        <v>4.8460609999999997</v>
      </c>
      <c r="AA44">
        <v>3.022751</v>
      </c>
      <c r="AB44">
        <v>96767400000</v>
      </c>
      <c r="AC44">
        <v>64616299999.999992</v>
      </c>
      <c r="AD44">
        <v>690119000000</v>
      </c>
      <c r="AE44">
        <v>511826000000</v>
      </c>
      <c r="AF44">
        <v>172643400000</v>
      </c>
      <c r="AG44">
        <v>26662500000</v>
      </c>
      <c r="AH44">
        <v>21853810000</v>
      </c>
      <c r="AI44">
        <v>150697300000</v>
      </c>
      <c r="AJ44">
        <v>155160400000</v>
      </c>
      <c r="AK44">
        <v>42760500000</v>
      </c>
      <c r="AL44">
        <v>29414720000</v>
      </c>
      <c r="AM44">
        <v>16722560000.000002</v>
      </c>
      <c r="AN44">
        <v>216594300000</v>
      </c>
      <c r="AO44">
        <v>167913900000</v>
      </c>
      <c r="AP44">
        <v>42110200000</v>
      </c>
      <c r="AQ44">
        <v>28902660000</v>
      </c>
      <c r="AR44">
        <v>14972380000</v>
      </c>
      <c r="AS44">
        <v>211371900000</v>
      </c>
      <c r="AT44">
        <v>133899300000.00002</v>
      </c>
      <c r="AU44">
        <v>55734600000</v>
      </c>
      <c r="AV44">
        <v>2382172000</v>
      </c>
      <c r="AW44">
        <v>23899360000</v>
      </c>
      <c r="AX44">
        <v>121250000</v>
      </c>
      <c r="AY44">
        <v>3995790000</v>
      </c>
      <c r="AZ44">
        <v>4350512000</v>
      </c>
      <c r="BA44">
        <v>102108300000</v>
      </c>
      <c r="BB44">
        <v>62610700000</v>
      </c>
      <c r="BC44">
        <v>722110000000</v>
      </c>
      <c r="BD44">
        <v>177877600000</v>
      </c>
      <c r="BE44">
        <v>545774000000</v>
      </c>
      <c r="BF44">
        <v>38557800000</v>
      </c>
      <c r="BG44">
        <v>24597840000</v>
      </c>
      <c r="BH44">
        <v>306121800000</v>
      </c>
      <c r="BI44">
        <v>199981800000</v>
      </c>
      <c r="BJ44">
        <v>81216200000</v>
      </c>
      <c r="BK44">
        <v>4656670000</v>
      </c>
      <c r="BL44">
        <v>1961864000</v>
      </c>
      <c r="BM44">
        <v>18977650000</v>
      </c>
      <c r="BN44">
        <v>15304750000</v>
      </c>
      <c r="BO44">
        <v>4651330000</v>
      </c>
      <c r="BP44">
        <v>36655800000</v>
      </c>
      <c r="BQ44">
        <v>234113000000</v>
      </c>
      <c r="BR44">
        <v>21104450000</v>
      </c>
      <c r="BS44">
        <v>181261100000</v>
      </c>
      <c r="BT44">
        <v>48201100000</v>
      </c>
      <c r="BU44">
        <v>6975189000</v>
      </c>
      <c r="BV44">
        <v>4085726000</v>
      </c>
      <c r="BW44">
        <v>45296880000</v>
      </c>
      <c r="BX44">
        <v>89044100000</v>
      </c>
      <c r="BY44">
        <v>17083350000</v>
      </c>
      <c r="BZ44">
        <v>64.345399999999998</v>
      </c>
      <c r="CA44">
        <v>46.843400000000003</v>
      </c>
      <c r="CB44">
        <v>62.099699999999999</v>
      </c>
      <c r="CC44">
        <v>113.88679999999999</v>
      </c>
      <c r="CD44">
        <v>62.778799999999997</v>
      </c>
      <c r="CE44">
        <v>1.1210899999999999</v>
      </c>
      <c r="CF44">
        <v>1530000000</v>
      </c>
      <c r="CG44">
        <v>960000000</v>
      </c>
      <c r="CH44">
        <v>11050000000</v>
      </c>
      <c r="CI44">
        <v>-6100000000</v>
      </c>
      <c r="CJ44">
        <v>1960000000</v>
      </c>
      <c r="CK44">
        <v>5.8525479999999996</v>
      </c>
      <c r="CL44">
        <v>7.1053269999999999</v>
      </c>
      <c r="CM44">
        <v>5.7026529999999998</v>
      </c>
      <c r="CN44">
        <v>7.0067060000000003</v>
      </c>
      <c r="CO44">
        <v>7.0732109999999997</v>
      </c>
      <c r="CP44">
        <v>4.71</v>
      </c>
      <c r="CQ44">
        <v>4.79</v>
      </c>
      <c r="CR44">
        <v>4.6399999999999997</v>
      </c>
      <c r="CS44">
        <v>4.88</v>
      </c>
      <c r="CT44">
        <v>4.63</v>
      </c>
      <c r="CU44">
        <v>3.58</v>
      </c>
      <c r="CV44">
        <v>3.57</v>
      </c>
      <c r="CW44">
        <v>3.57</v>
      </c>
      <c r="CX44">
        <v>4.91</v>
      </c>
      <c r="CY44">
        <v>3.42</v>
      </c>
    </row>
    <row r="45" spans="1:103" x14ac:dyDescent="0.3">
      <c r="A45">
        <f t="shared" si="4"/>
        <v>1999</v>
      </c>
      <c r="B45" s="1">
        <v>36161</v>
      </c>
      <c r="C45">
        <v>45073900000</v>
      </c>
      <c r="D45">
        <v>5853030000</v>
      </c>
      <c r="E45">
        <v>223899800000</v>
      </c>
      <c r="F45">
        <v>57567200000</v>
      </c>
      <c r="G45">
        <v>206358800000</v>
      </c>
      <c r="H45">
        <v>33526000000.000004</v>
      </c>
      <c r="I45">
        <v>80261000000</v>
      </c>
      <c r="J45">
        <v>15810000000</v>
      </c>
      <c r="K45">
        <v>23489000000</v>
      </c>
      <c r="L45">
        <v>4996000000</v>
      </c>
      <c r="M45">
        <v>35405800000</v>
      </c>
      <c r="N45">
        <v>5229660000</v>
      </c>
      <c r="O45">
        <v>203978800000</v>
      </c>
      <c r="P45">
        <v>49244300000</v>
      </c>
      <c r="Q45">
        <v>26057000000</v>
      </c>
      <c r="R45">
        <v>179479100000</v>
      </c>
      <c r="S45">
        <v>63648000000</v>
      </c>
      <c r="T45">
        <v>12090000000</v>
      </c>
      <c r="U45">
        <v>3854000000</v>
      </c>
      <c r="V45">
        <v>21381000000</v>
      </c>
      <c r="W45">
        <v>0.82323400000000002</v>
      </c>
      <c r="X45">
        <v>4.5843579999999999</v>
      </c>
      <c r="Y45">
        <v>1.5338160000000001</v>
      </c>
      <c r="Z45">
        <v>4.594201</v>
      </c>
      <c r="AA45">
        <v>4.3218620000000003</v>
      </c>
      <c r="AB45">
        <v>101085000000</v>
      </c>
      <c r="AC45">
        <v>66818000000</v>
      </c>
      <c r="AD45">
        <v>727045000000</v>
      </c>
      <c r="AE45">
        <v>533453000000</v>
      </c>
      <c r="AF45">
        <v>187210000000</v>
      </c>
      <c r="AG45">
        <v>27016490000</v>
      </c>
      <c r="AH45">
        <v>22647000000</v>
      </c>
      <c r="AI45">
        <v>164811900000</v>
      </c>
      <c r="AJ45">
        <v>168082000000</v>
      </c>
      <c r="AK45">
        <v>45492000000</v>
      </c>
      <c r="AL45">
        <v>30965230000</v>
      </c>
      <c r="AM45">
        <v>17622000000</v>
      </c>
      <c r="AN45">
        <v>225153100000</v>
      </c>
      <c r="AO45">
        <v>170780000000</v>
      </c>
      <c r="AP45">
        <v>47381000000</v>
      </c>
      <c r="AQ45">
        <v>30124590000</v>
      </c>
      <c r="AR45">
        <v>15798000000</v>
      </c>
      <c r="AS45">
        <v>222916300000</v>
      </c>
      <c r="AT45">
        <v>138974000000</v>
      </c>
      <c r="AU45">
        <v>61842000000</v>
      </c>
      <c r="AV45">
        <v>2507970000</v>
      </c>
      <c r="AW45">
        <v>24893600000</v>
      </c>
      <c r="AX45">
        <v>72000000</v>
      </c>
      <c r="AY45">
        <v>3809000000</v>
      </c>
      <c r="AZ45">
        <v>4392000000</v>
      </c>
      <c r="BA45">
        <v>106429100000</v>
      </c>
      <c r="BB45">
        <v>64681000000</v>
      </c>
      <c r="BC45">
        <v>748589000000</v>
      </c>
      <c r="BD45">
        <v>186022000000</v>
      </c>
      <c r="BE45">
        <v>554351000000</v>
      </c>
      <c r="BF45">
        <v>40881300000</v>
      </c>
      <c r="BG45">
        <v>25692000000</v>
      </c>
      <c r="BH45">
        <v>319142100000</v>
      </c>
      <c r="BI45">
        <v>207383000000</v>
      </c>
      <c r="BJ45">
        <v>86110000000</v>
      </c>
      <c r="BK45">
        <v>4530720000</v>
      </c>
      <c r="BL45">
        <v>1955000000</v>
      </c>
      <c r="BM45">
        <v>19937200000</v>
      </c>
      <c r="BN45">
        <v>14946000000</v>
      </c>
      <c r="BO45">
        <v>5519000000</v>
      </c>
      <c r="BP45">
        <v>38429800000</v>
      </c>
      <c r="BQ45">
        <v>242066100000</v>
      </c>
      <c r="BR45">
        <v>21633000000</v>
      </c>
      <c r="BS45">
        <v>190424000000</v>
      </c>
      <c r="BT45">
        <v>48956000000</v>
      </c>
      <c r="BU45">
        <v>7015850000</v>
      </c>
      <c r="BV45">
        <v>3680000000</v>
      </c>
      <c r="BW45">
        <v>42943300000</v>
      </c>
      <c r="BX45">
        <v>74997000000</v>
      </c>
      <c r="BY45">
        <v>16969999999.999998</v>
      </c>
      <c r="BZ45">
        <v>67.080100000000002</v>
      </c>
      <c r="CA45">
        <v>44.064799999999998</v>
      </c>
      <c r="CB45">
        <v>61.423099999999998</v>
      </c>
      <c r="CC45">
        <v>113.0586</v>
      </c>
      <c r="CD45">
        <v>58.694299999999998</v>
      </c>
      <c r="CE45">
        <v>1.0657760000000001</v>
      </c>
      <c r="CF45">
        <v>5220000000</v>
      </c>
      <c r="CG45">
        <v>1640000000</v>
      </c>
      <c r="CH45">
        <v>-660000000</v>
      </c>
      <c r="CI45">
        <v>10680000000</v>
      </c>
      <c r="CJ45">
        <v>-90000000</v>
      </c>
      <c r="CK45">
        <v>5.5836360000000003</v>
      </c>
      <c r="CL45">
        <v>6.5232039999999998</v>
      </c>
      <c r="CM45">
        <v>5.136393</v>
      </c>
      <c r="CN45">
        <v>5.7701500000000001</v>
      </c>
      <c r="CO45">
        <v>6.8461930000000004</v>
      </c>
      <c r="CP45">
        <v>4.68</v>
      </c>
      <c r="CQ45">
        <v>4.72</v>
      </c>
      <c r="CR45">
        <v>4.6100000000000003</v>
      </c>
      <c r="CS45">
        <v>4.7300000000000004</v>
      </c>
      <c r="CT45">
        <v>4.63</v>
      </c>
      <c r="CU45">
        <v>2.96</v>
      </c>
      <c r="CV45">
        <v>2.96</v>
      </c>
      <c r="CW45">
        <v>2.96</v>
      </c>
      <c r="CX45">
        <v>2.96</v>
      </c>
      <c r="CY45">
        <v>2.96</v>
      </c>
    </row>
    <row r="46" spans="1:103" x14ac:dyDescent="0.3">
      <c r="A46">
        <f t="shared" si="4"/>
        <v>2000</v>
      </c>
      <c r="B46" s="1">
        <v>36526</v>
      </c>
      <c r="C46">
        <v>48862200000</v>
      </c>
      <c r="D46">
        <v>5739210000</v>
      </c>
      <c r="E46">
        <v>244613300000</v>
      </c>
      <c r="F46">
        <v>63078300000</v>
      </c>
      <c r="G46">
        <v>229601400000</v>
      </c>
      <c r="H46">
        <v>34605000000</v>
      </c>
      <c r="I46">
        <v>84751000000</v>
      </c>
      <c r="J46">
        <v>17117999999.999998</v>
      </c>
      <c r="K46">
        <v>26651000000</v>
      </c>
      <c r="L46">
        <v>4809000000</v>
      </c>
      <c r="M46">
        <v>37239500000</v>
      </c>
      <c r="N46">
        <v>5408590000</v>
      </c>
      <c r="O46">
        <v>217397300000</v>
      </c>
      <c r="P46">
        <v>50377700000</v>
      </c>
      <c r="Q46">
        <v>27743000000</v>
      </c>
      <c r="R46">
        <v>190691500000</v>
      </c>
      <c r="S46">
        <v>69098000000</v>
      </c>
      <c r="T46">
        <v>12928000000</v>
      </c>
      <c r="U46">
        <v>4139000000</v>
      </c>
      <c r="V46">
        <v>23105000000</v>
      </c>
      <c r="W46">
        <v>1.1766289999999999</v>
      </c>
      <c r="X46">
        <v>9.6006920000000004</v>
      </c>
      <c r="Y46">
        <v>1.646652</v>
      </c>
      <c r="Z46">
        <v>3.6824430000000001</v>
      </c>
      <c r="AA46">
        <v>4.5743939999999998</v>
      </c>
      <c r="AB46">
        <v>104170500000</v>
      </c>
      <c r="AC46">
        <v>74768000000</v>
      </c>
      <c r="AD46">
        <v>756007000000</v>
      </c>
      <c r="AE46">
        <v>547044999999.99994</v>
      </c>
      <c r="AF46">
        <v>200529000000</v>
      </c>
      <c r="AG46">
        <v>28046400000</v>
      </c>
      <c r="AH46">
        <v>27887000000</v>
      </c>
      <c r="AI46">
        <v>174235000000</v>
      </c>
      <c r="AJ46">
        <v>171067000000</v>
      </c>
      <c r="AK46">
        <v>48522000000</v>
      </c>
      <c r="AL46">
        <v>31563930000</v>
      </c>
      <c r="AM46">
        <v>18285000000</v>
      </c>
      <c r="AN46">
        <v>228692100000</v>
      </c>
      <c r="AO46">
        <v>178425000000</v>
      </c>
      <c r="AP46">
        <v>50228000000</v>
      </c>
      <c r="AQ46">
        <v>30940370000</v>
      </c>
      <c r="AR46">
        <v>15992000000</v>
      </c>
      <c r="AS46">
        <v>231767600000</v>
      </c>
      <c r="AT46">
        <v>141832000000</v>
      </c>
      <c r="AU46">
        <v>66376000000.000008</v>
      </c>
      <c r="AV46">
        <v>2484540000</v>
      </c>
      <c r="AW46">
        <v>25980800000</v>
      </c>
      <c r="AX46">
        <v>30000000</v>
      </c>
      <c r="AY46">
        <v>4040000000</v>
      </c>
      <c r="AZ46">
        <v>4285000000</v>
      </c>
      <c r="BA46">
        <v>109281900000</v>
      </c>
      <c r="BB46">
        <v>65373000000.000008</v>
      </c>
      <c r="BC46">
        <v>775349000000</v>
      </c>
      <c r="BD46">
        <v>195393000000</v>
      </c>
      <c r="BE46">
        <v>577169000000</v>
      </c>
      <c r="BF46">
        <v>41486200000</v>
      </c>
      <c r="BG46">
        <v>26886000000</v>
      </c>
      <c r="BH46">
        <v>332531200000</v>
      </c>
      <c r="BI46">
        <v>221855000000</v>
      </c>
      <c r="BJ46">
        <v>92704000000</v>
      </c>
      <c r="BK46">
        <v>4454270000</v>
      </c>
      <c r="BL46">
        <v>2001000000</v>
      </c>
      <c r="BM46">
        <v>19764800000</v>
      </c>
      <c r="BN46">
        <v>16420000000.000002</v>
      </c>
      <c r="BO46">
        <v>5445000000</v>
      </c>
      <c r="BP46">
        <v>39876900000</v>
      </c>
      <c r="BQ46">
        <v>247651800000</v>
      </c>
      <c r="BR46">
        <v>21340000000</v>
      </c>
      <c r="BS46">
        <v>195723000000</v>
      </c>
      <c r="BT46">
        <v>49862000000</v>
      </c>
      <c r="BU46">
        <v>7610630000</v>
      </c>
      <c r="BV46">
        <v>3699000000</v>
      </c>
      <c r="BW46">
        <v>43605900000</v>
      </c>
      <c r="BX46">
        <v>75961000000</v>
      </c>
      <c r="BY46">
        <v>15549000000</v>
      </c>
      <c r="BZ46">
        <v>66.637799999999999</v>
      </c>
      <c r="CA46">
        <v>45.139499999999998</v>
      </c>
      <c r="CB46">
        <v>59.721400000000003</v>
      </c>
      <c r="CC46">
        <v>108.7427</v>
      </c>
      <c r="CD46">
        <v>52.241900000000001</v>
      </c>
      <c r="CE46">
        <v>0.92361300000000002</v>
      </c>
      <c r="CF46">
        <v>220000000</v>
      </c>
      <c r="CG46">
        <v>15050000000</v>
      </c>
      <c r="CH46">
        <v>3720000000</v>
      </c>
      <c r="CI46">
        <v>-7880000000</v>
      </c>
      <c r="CJ46">
        <v>-5230000000</v>
      </c>
      <c r="CK46">
        <v>5.5871740000000001</v>
      </c>
      <c r="CL46">
        <v>6.6156350000000002</v>
      </c>
      <c r="CM46">
        <v>5.0885389999999999</v>
      </c>
      <c r="CN46">
        <v>5.705686</v>
      </c>
      <c r="CO46">
        <v>6.3053530000000002</v>
      </c>
      <c r="CP46">
        <v>5.56</v>
      </c>
      <c r="CQ46">
        <v>5.48</v>
      </c>
      <c r="CR46">
        <v>5.39</v>
      </c>
      <c r="CS46">
        <v>5.58</v>
      </c>
      <c r="CT46">
        <v>5.4</v>
      </c>
      <c r="CU46">
        <v>4.3899999999999997</v>
      </c>
      <c r="CV46">
        <v>4.3899999999999997</v>
      </c>
      <c r="CW46">
        <v>4.3899999999999997</v>
      </c>
      <c r="CX46">
        <v>4.3899999999999997</v>
      </c>
      <c r="CY46">
        <v>4.3899999999999997</v>
      </c>
    </row>
    <row r="47" spans="1:103" x14ac:dyDescent="0.3">
      <c r="A47">
        <f t="shared" si="4"/>
        <v>2001</v>
      </c>
      <c r="B47" s="1">
        <v>36892</v>
      </c>
      <c r="C47">
        <v>49276000000</v>
      </c>
      <c r="D47">
        <v>5409180000</v>
      </c>
      <c r="E47">
        <v>254961000000</v>
      </c>
      <c r="F47">
        <v>64216200000</v>
      </c>
      <c r="G47">
        <v>238642000000</v>
      </c>
      <c r="H47">
        <v>38680000000</v>
      </c>
      <c r="I47">
        <v>87747000000</v>
      </c>
      <c r="J47">
        <v>18945000000</v>
      </c>
      <c r="K47">
        <v>28163000000</v>
      </c>
      <c r="L47">
        <v>4921000000</v>
      </c>
      <c r="M47">
        <v>38949500000</v>
      </c>
      <c r="N47">
        <v>5517590000</v>
      </c>
      <c r="O47">
        <v>228792500000</v>
      </c>
      <c r="P47">
        <v>52100700000</v>
      </c>
      <c r="Q47">
        <v>30129000000</v>
      </c>
      <c r="R47">
        <v>201314200000</v>
      </c>
      <c r="S47">
        <v>74565000000</v>
      </c>
      <c r="T47">
        <v>13824000000</v>
      </c>
      <c r="U47">
        <v>4326000000</v>
      </c>
      <c r="V47">
        <v>24652000000</v>
      </c>
      <c r="W47">
        <v>2.9179900000000001</v>
      </c>
      <c r="X47">
        <v>7.5332090000000003</v>
      </c>
      <c r="Y47">
        <v>1.635205</v>
      </c>
      <c r="Z47">
        <v>2.8623219999999998</v>
      </c>
      <c r="AA47">
        <v>2.542754</v>
      </c>
      <c r="AB47">
        <v>112105900000</v>
      </c>
      <c r="AC47">
        <v>75573000000</v>
      </c>
      <c r="AD47">
        <v>786539000000</v>
      </c>
      <c r="AE47">
        <v>575153000000</v>
      </c>
      <c r="AF47">
        <v>210599000000</v>
      </c>
      <c r="AG47">
        <v>32560229999.999996</v>
      </c>
      <c r="AH47">
        <v>26447000000</v>
      </c>
      <c r="AI47">
        <v>185318600000</v>
      </c>
      <c r="AJ47">
        <v>183261000000</v>
      </c>
      <c r="AK47">
        <v>49493000000</v>
      </c>
      <c r="AL47">
        <v>32470830000</v>
      </c>
      <c r="AM47">
        <v>18615000000</v>
      </c>
      <c r="AN47">
        <v>231405800000</v>
      </c>
      <c r="AO47">
        <v>182701000000</v>
      </c>
      <c r="AP47">
        <v>56641000000</v>
      </c>
      <c r="AQ47">
        <v>31843730000</v>
      </c>
      <c r="AR47">
        <v>17015999999.999998</v>
      </c>
      <c r="AS47">
        <v>241101200000</v>
      </c>
      <c r="AT47">
        <v>149948000000</v>
      </c>
      <c r="AU47">
        <v>65016000000.000008</v>
      </c>
      <c r="AV47">
        <v>2599120000</v>
      </c>
      <c r="AW47">
        <v>26724800000</v>
      </c>
      <c r="AX47">
        <v>0</v>
      </c>
      <c r="AY47">
        <v>4062999999.9999995</v>
      </c>
      <c r="AZ47">
        <v>4486000000</v>
      </c>
      <c r="BA47">
        <v>113669200000</v>
      </c>
      <c r="BB47">
        <v>68372000000</v>
      </c>
      <c r="BC47">
        <v>808226000000</v>
      </c>
      <c r="BD47">
        <v>212858000000</v>
      </c>
      <c r="BE47">
        <v>616778000000</v>
      </c>
      <c r="BF47">
        <v>42238800000</v>
      </c>
      <c r="BG47">
        <v>28814000000</v>
      </c>
      <c r="BH47">
        <v>342288700000</v>
      </c>
      <c r="BI47">
        <v>241767000000</v>
      </c>
      <c r="BJ47">
        <v>100928000000</v>
      </c>
      <c r="BK47">
        <v>4283019999.9999995</v>
      </c>
      <c r="BL47">
        <v>1995000000</v>
      </c>
      <c r="BM47">
        <v>21984400000</v>
      </c>
      <c r="BN47">
        <v>19014000000</v>
      </c>
      <c r="BO47">
        <v>5979000000</v>
      </c>
      <c r="BP47">
        <v>40825400000</v>
      </c>
      <c r="BQ47">
        <v>258920700000</v>
      </c>
      <c r="BR47">
        <v>22073000000</v>
      </c>
      <c r="BS47">
        <v>203108000000</v>
      </c>
      <c r="BT47">
        <v>52277000000</v>
      </c>
      <c r="BU47">
        <v>7964590000</v>
      </c>
      <c r="BV47">
        <v>3693000000</v>
      </c>
      <c r="BW47">
        <v>46706400000</v>
      </c>
      <c r="BX47">
        <v>79082000000</v>
      </c>
      <c r="BY47">
        <v>14539000000</v>
      </c>
      <c r="BZ47">
        <v>67.238100000000003</v>
      </c>
      <c r="CA47">
        <v>43.4435</v>
      </c>
      <c r="CB47">
        <v>59.322299999999998</v>
      </c>
      <c r="CC47">
        <v>108.51309999999999</v>
      </c>
      <c r="CD47">
        <v>49.496099999999998</v>
      </c>
      <c r="CE47">
        <v>0.89563000000000004</v>
      </c>
      <c r="CF47">
        <v>4400000000</v>
      </c>
      <c r="CG47">
        <v>8460000000.000001</v>
      </c>
      <c r="CH47">
        <v>5980000000</v>
      </c>
      <c r="CI47">
        <v>24830000000</v>
      </c>
      <c r="CJ47">
        <v>550000000</v>
      </c>
      <c r="CK47">
        <v>5.6269679999999997</v>
      </c>
      <c r="CL47">
        <v>5.9986360000000003</v>
      </c>
      <c r="CM47">
        <v>5.3075169999999998</v>
      </c>
      <c r="CN47">
        <v>5.8424800000000001</v>
      </c>
      <c r="CO47">
        <v>6.1545170000000002</v>
      </c>
      <c r="CP47">
        <v>5.08</v>
      </c>
      <c r="CQ47">
        <v>5.04</v>
      </c>
      <c r="CR47">
        <v>4.9400000000000004</v>
      </c>
      <c r="CS47">
        <v>5.19</v>
      </c>
      <c r="CT47">
        <v>4.96</v>
      </c>
      <c r="CU47">
        <v>4.26</v>
      </c>
      <c r="CV47">
        <v>4.26</v>
      </c>
      <c r="CW47">
        <v>4.26</v>
      </c>
      <c r="CX47">
        <v>4.26</v>
      </c>
      <c r="CY47">
        <v>4.26</v>
      </c>
    </row>
    <row r="48" spans="1:103" x14ac:dyDescent="0.3">
      <c r="A48">
        <f t="shared" si="4"/>
        <v>2002</v>
      </c>
      <c r="B48" s="1">
        <v>37257</v>
      </c>
      <c r="C48">
        <v>47058900000</v>
      </c>
      <c r="D48">
        <v>6113810000</v>
      </c>
      <c r="E48">
        <v>256286500000</v>
      </c>
      <c r="F48">
        <v>64688000000</v>
      </c>
      <c r="G48">
        <v>262565700000</v>
      </c>
      <c r="H48">
        <v>33101999999.999996</v>
      </c>
      <c r="I48">
        <v>84277000000</v>
      </c>
      <c r="J48">
        <v>21405000000</v>
      </c>
      <c r="K48">
        <v>26589000000</v>
      </c>
      <c r="L48">
        <v>5487000000</v>
      </c>
      <c r="M48">
        <v>40282200000</v>
      </c>
      <c r="N48">
        <v>5621400000</v>
      </c>
      <c r="O48">
        <v>238913900000</v>
      </c>
      <c r="P48">
        <v>53462700000</v>
      </c>
      <c r="Q48">
        <v>31849000000</v>
      </c>
      <c r="R48">
        <v>213249800000</v>
      </c>
      <c r="S48">
        <v>79464000000</v>
      </c>
      <c r="T48">
        <v>14805000000</v>
      </c>
      <c r="U48">
        <v>4430000000</v>
      </c>
      <c r="V48">
        <v>25409000000</v>
      </c>
      <c r="W48">
        <v>2.052216</v>
      </c>
      <c r="X48">
        <v>6.1135809999999999</v>
      </c>
      <c r="Y48">
        <v>-0.14746000000000001</v>
      </c>
      <c r="Z48">
        <v>2.5407920000000002</v>
      </c>
      <c r="AA48">
        <v>0.46351100000000001</v>
      </c>
      <c r="AB48">
        <v>112963800000</v>
      </c>
      <c r="AC48">
        <v>77995000000</v>
      </c>
      <c r="AD48">
        <v>800987000000</v>
      </c>
      <c r="AE48">
        <v>591190000000</v>
      </c>
      <c r="AF48">
        <v>213990000000</v>
      </c>
      <c r="AG48">
        <v>30963810000</v>
      </c>
      <c r="AH48">
        <v>27054000000</v>
      </c>
      <c r="AI48">
        <v>178105500000</v>
      </c>
      <c r="AJ48">
        <v>180544000000</v>
      </c>
      <c r="AK48">
        <v>52255000000</v>
      </c>
      <c r="AL48">
        <v>33658830000</v>
      </c>
      <c r="AM48">
        <v>19608000000</v>
      </c>
      <c r="AN48">
        <v>239331100000</v>
      </c>
      <c r="AO48">
        <v>190078000000</v>
      </c>
      <c r="AP48">
        <v>58432000000</v>
      </c>
      <c r="AQ48">
        <v>32329430000.000004</v>
      </c>
      <c r="AR48">
        <v>17268000000</v>
      </c>
      <c r="AS48">
        <v>250197500000</v>
      </c>
      <c r="AT48">
        <v>157811000000</v>
      </c>
      <c r="AU48">
        <v>64803000000</v>
      </c>
      <c r="AV48">
        <v>2626140000</v>
      </c>
      <c r="AW48">
        <v>27915200000</v>
      </c>
      <c r="AX48">
        <v>0</v>
      </c>
      <c r="AY48">
        <v>3880000000</v>
      </c>
      <c r="AZ48">
        <v>4610000000</v>
      </c>
      <c r="BA48">
        <v>116171900000</v>
      </c>
      <c r="BB48">
        <v>71933000000</v>
      </c>
      <c r="BC48">
        <v>851107000000</v>
      </c>
      <c r="BD48">
        <v>225205000000</v>
      </c>
      <c r="BE48">
        <v>630226000000</v>
      </c>
      <c r="BF48">
        <v>42972700000</v>
      </c>
      <c r="BG48">
        <v>30593000000</v>
      </c>
      <c r="BH48">
        <v>361855000000</v>
      </c>
      <c r="BI48">
        <v>252325000000</v>
      </c>
      <c r="BJ48">
        <v>110735000000</v>
      </c>
      <c r="BK48">
        <v>4233749999.9999995</v>
      </c>
      <c r="BL48">
        <v>2005000000</v>
      </c>
      <c r="BM48">
        <v>25182300000</v>
      </c>
      <c r="BN48">
        <v>19072000000</v>
      </c>
      <c r="BO48">
        <v>6047000000</v>
      </c>
      <c r="BP48">
        <v>42514200000</v>
      </c>
      <c r="BQ48">
        <v>271758100000</v>
      </c>
      <c r="BR48">
        <v>23409000000</v>
      </c>
      <c r="BS48">
        <v>214278000000</v>
      </c>
      <c r="BT48">
        <v>54579000000</v>
      </c>
      <c r="BU48">
        <v>7827430000</v>
      </c>
      <c r="BV48">
        <v>3013000000</v>
      </c>
      <c r="BW48">
        <v>47793500000</v>
      </c>
      <c r="BX48">
        <v>73477000000</v>
      </c>
      <c r="BY48">
        <v>13546000000</v>
      </c>
      <c r="BZ48">
        <v>67.440299999999993</v>
      </c>
      <c r="CA48">
        <v>42.642800000000001</v>
      </c>
      <c r="CB48">
        <v>61.256</v>
      </c>
      <c r="CC48">
        <v>105.94750000000001</v>
      </c>
      <c r="CD48">
        <v>48.767699999999998</v>
      </c>
      <c r="CE48">
        <v>0.94557400000000003</v>
      </c>
      <c r="CF48">
        <v>1090000000</v>
      </c>
      <c r="CG48">
        <v>6540000000</v>
      </c>
      <c r="CH48">
        <v>9030000000</v>
      </c>
      <c r="CI48">
        <v>-22920000000</v>
      </c>
      <c r="CJ48">
        <v>-5000000000</v>
      </c>
      <c r="CK48">
        <v>5.3066420000000001</v>
      </c>
      <c r="CL48">
        <v>4.7958619999999996</v>
      </c>
      <c r="CM48">
        <v>5.2655000000000003</v>
      </c>
      <c r="CN48">
        <v>5.1743379999999997</v>
      </c>
      <c r="CO48">
        <v>5.6669049999999999</v>
      </c>
      <c r="CP48">
        <v>4.96</v>
      </c>
      <c r="CQ48">
        <v>4.9800000000000004</v>
      </c>
      <c r="CR48">
        <v>4.8600000000000003</v>
      </c>
      <c r="CS48">
        <v>5.03</v>
      </c>
      <c r="CT48">
        <v>4.8899999999999997</v>
      </c>
      <c r="CU48">
        <v>3.32</v>
      </c>
      <c r="CV48">
        <v>3.32</v>
      </c>
      <c r="CW48">
        <v>3.32</v>
      </c>
      <c r="CX48">
        <v>3.32</v>
      </c>
      <c r="CY48">
        <v>3.32</v>
      </c>
    </row>
    <row r="49" spans="1:103" x14ac:dyDescent="0.3">
      <c r="A49">
        <f t="shared" si="4"/>
        <v>2003</v>
      </c>
      <c r="B49" s="1">
        <v>37622</v>
      </c>
      <c r="C49">
        <v>49788900000</v>
      </c>
      <c r="D49">
        <v>5988640000</v>
      </c>
      <c r="E49">
        <v>263394799999.99997</v>
      </c>
      <c r="F49">
        <v>69162300000</v>
      </c>
      <c r="G49">
        <v>255454600000</v>
      </c>
      <c r="H49">
        <v>42394000000</v>
      </c>
      <c r="I49">
        <v>83399000000</v>
      </c>
      <c r="J49">
        <v>22239000000</v>
      </c>
      <c r="K49">
        <v>27189000000</v>
      </c>
      <c r="L49">
        <v>5867000000</v>
      </c>
      <c r="M49">
        <v>41718000000</v>
      </c>
      <c r="N49">
        <v>5842300000</v>
      </c>
      <c r="O49">
        <v>248090500000</v>
      </c>
      <c r="P49">
        <v>55543400000</v>
      </c>
      <c r="Q49">
        <v>33473000000</v>
      </c>
      <c r="R49">
        <v>221945900000</v>
      </c>
      <c r="S49">
        <v>82835000000</v>
      </c>
      <c r="T49">
        <v>15611000000</v>
      </c>
      <c r="U49">
        <v>4538000000</v>
      </c>
      <c r="V49">
        <v>26150000000</v>
      </c>
      <c r="W49">
        <v>1.3673740000000001</v>
      </c>
      <c r="X49">
        <v>4.2566940000000004</v>
      </c>
      <c r="Y49">
        <v>-1.2117819999999999</v>
      </c>
      <c r="Z49">
        <v>1.7143949999999999</v>
      </c>
      <c r="AA49">
        <v>-0.71606000000000003</v>
      </c>
      <c r="AB49">
        <v>115095100000</v>
      </c>
      <c r="AC49">
        <v>78551000000</v>
      </c>
      <c r="AD49">
        <v>815469000000</v>
      </c>
      <c r="AE49">
        <v>612124000000</v>
      </c>
      <c r="AF49">
        <v>219143000000</v>
      </c>
      <c r="AG49">
        <v>31239400000</v>
      </c>
      <c r="AH49">
        <v>25885000000</v>
      </c>
      <c r="AI49">
        <v>177645500000</v>
      </c>
      <c r="AJ49">
        <v>178472000000</v>
      </c>
      <c r="AK49">
        <v>48776000000</v>
      </c>
      <c r="AL49">
        <v>34120240000.000004</v>
      </c>
      <c r="AM49">
        <v>20693000000</v>
      </c>
      <c r="AN49">
        <v>244883100000</v>
      </c>
      <c r="AO49">
        <v>190737000000</v>
      </c>
      <c r="AP49">
        <v>60002000000</v>
      </c>
      <c r="AQ49">
        <v>33139090000.000004</v>
      </c>
      <c r="AR49">
        <v>17375000000</v>
      </c>
      <c r="AS49">
        <v>260805200000</v>
      </c>
      <c r="AT49">
        <v>164873000000</v>
      </c>
      <c r="AU49">
        <v>70202000000</v>
      </c>
      <c r="AV49">
        <v>2635330000</v>
      </c>
      <c r="AW49">
        <v>29380300000</v>
      </c>
      <c r="AX49">
        <v>0</v>
      </c>
      <c r="AY49">
        <v>3860000000</v>
      </c>
      <c r="AZ49">
        <v>4662000000</v>
      </c>
      <c r="BA49">
        <v>119334400000</v>
      </c>
      <c r="BB49">
        <v>74848000000</v>
      </c>
      <c r="BC49">
        <v>881786000000</v>
      </c>
      <c r="BD49">
        <v>235578000000</v>
      </c>
      <c r="BE49">
        <v>657271000000</v>
      </c>
      <c r="BF49">
        <v>44262900000</v>
      </c>
      <c r="BG49">
        <v>31989000000</v>
      </c>
      <c r="BH49">
        <v>379531000000</v>
      </c>
      <c r="BI49">
        <v>266793999999.99997</v>
      </c>
      <c r="BJ49">
        <v>117563000000</v>
      </c>
      <c r="BK49">
        <v>4681970000</v>
      </c>
      <c r="BL49">
        <v>2016000000</v>
      </c>
      <c r="BM49">
        <v>25000500000</v>
      </c>
      <c r="BN49">
        <v>18563000000</v>
      </c>
      <c r="BO49">
        <v>5886000000</v>
      </c>
      <c r="BP49">
        <v>44132600000</v>
      </c>
      <c r="BQ49">
        <v>282799800000</v>
      </c>
      <c r="BR49">
        <v>24330000000</v>
      </c>
      <c r="BS49">
        <v>224365000000</v>
      </c>
      <c r="BT49">
        <v>58244000000</v>
      </c>
      <c r="BU49">
        <v>7391660000</v>
      </c>
      <c r="BV49">
        <v>2755000000</v>
      </c>
      <c r="BW49">
        <v>46658100000</v>
      </c>
      <c r="BX49">
        <v>69138000000</v>
      </c>
      <c r="BY49">
        <v>12748000000</v>
      </c>
      <c r="BZ49">
        <v>66.411799999999999</v>
      </c>
      <c r="CA49">
        <v>45.155999999999999</v>
      </c>
      <c r="CB49">
        <v>65.363900000000001</v>
      </c>
      <c r="CC49">
        <v>105.1408</v>
      </c>
      <c r="CD49">
        <v>49.877899999999997</v>
      </c>
      <c r="CE49">
        <v>1.1311599999999999</v>
      </c>
      <c r="CF49">
        <v>-2930000000</v>
      </c>
      <c r="CG49">
        <v>8910000000</v>
      </c>
      <c r="CH49">
        <v>27270000000</v>
      </c>
      <c r="CI49">
        <v>-9960000000</v>
      </c>
      <c r="CJ49">
        <v>-4870000000</v>
      </c>
      <c r="CK49">
        <v>4.8693410000000004</v>
      </c>
      <c r="CL49">
        <v>4.3523589999999999</v>
      </c>
      <c r="CM49">
        <v>4.8259220000000003</v>
      </c>
      <c r="CN49">
        <v>4.8141480000000003</v>
      </c>
      <c r="CO49">
        <v>5.1978980000000004</v>
      </c>
      <c r="CP49">
        <v>4.1399999999999997</v>
      </c>
      <c r="CQ49">
        <v>4.13</v>
      </c>
      <c r="CR49">
        <v>4.13</v>
      </c>
      <c r="CS49">
        <v>4.25</v>
      </c>
      <c r="CT49">
        <v>4.12</v>
      </c>
      <c r="CU49">
        <v>2.33</v>
      </c>
      <c r="CV49">
        <v>2.33</v>
      </c>
      <c r="CW49">
        <v>2.33</v>
      </c>
      <c r="CX49">
        <v>2.33</v>
      </c>
      <c r="CY49">
        <v>2.33</v>
      </c>
    </row>
    <row r="50" spans="1:103" x14ac:dyDescent="0.3">
      <c r="A50">
        <f t="shared" si="4"/>
        <v>2004</v>
      </c>
      <c r="B50" s="1">
        <v>37987</v>
      </c>
      <c r="C50">
        <v>51150400000</v>
      </c>
      <c r="D50">
        <v>6022150000</v>
      </c>
      <c r="E50">
        <v>279806600000</v>
      </c>
      <c r="F50">
        <v>73616100000</v>
      </c>
      <c r="G50">
        <v>265915399999.99997</v>
      </c>
      <c r="H50">
        <v>45373000000</v>
      </c>
      <c r="I50">
        <v>86221000000</v>
      </c>
      <c r="J50">
        <v>21045000000</v>
      </c>
      <c r="K50">
        <v>29131000000</v>
      </c>
      <c r="L50">
        <v>6205000000</v>
      </c>
      <c r="M50">
        <v>43253700000</v>
      </c>
      <c r="N50">
        <v>6027000000</v>
      </c>
      <c r="O50">
        <v>260346999999.99997</v>
      </c>
      <c r="P50">
        <v>57887500000</v>
      </c>
      <c r="Q50">
        <v>35624000000</v>
      </c>
      <c r="R50">
        <v>233278900000</v>
      </c>
      <c r="S50">
        <v>85821000000</v>
      </c>
      <c r="T50">
        <v>16300000000</v>
      </c>
      <c r="U50">
        <v>4705000000</v>
      </c>
      <c r="V50">
        <v>27436000000</v>
      </c>
      <c r="W50">
        <v>-1.8884369999999999</v>
      </c>
      <c r="X50">
        <v>3.9069929999999999</v>
      </c>
      <c r="Y50">
        <v>-0.75403200000000004</v>
      </c>
      <c r="Z50">
        <v>1.119219</v>
      </c>
      <c r="AA50">
        <v>0.58449200000000001</v>
      </c>
      <c r="AB50">
        <v>118767800000</v>
      </c>
      <c r="AC50">
        <v>81495000000</v>
      </c>
      <c r="AD50">
        <v>855607000000</v>
      </c>
      <c r="AE50">
        <v>629663000000</v>
      </c>
      <c r="AF50">
        <v>227769000000</v>
      </c>
      <c r="AG50">
        <v>32131929999.999996</v>
      </c>
      <c r="AH50">
        <v>26926000000</v>
      </c>
      <c r="AI50">
        <v>187956700000</v>
      </c>
      <c r="AJ50">
        <v>185289000000</v>
      </c>
      <c r="AK50">
        <v>51395000000</v>
      </c>
      <c r="AL50">
        <v>35223890000</v>
      </c>
      <c r="AM50">
        <v>20987000000</v>
      </c>
      <c r="AN50">
        <v>258891900000.00003</v>
      </c>
      <c r="AO50">
        <v>199155000000</v>
      </c>
      <c r="AP50">
        <v>62566000000</v>
      </c>
      <c r="AQ50">
        <v>34461520000</v>
      </c>
      <c r="AR50">
        <v>17988000000</v>
      </c>
      <c r="AS50">
        <v>268979400000</v>
      </c>
      <c r="AT50">
        <v>173070000000</v>
      </c>
      <c r="AU50">
        <v>70581000000</v>
      </c>
      <c r="AV50">
        <v>2641950000</v>
      </c>
      <c r="AW50">
        <v>30122600000</v>
      </c>
      <c r="AX50">
        <v>0</v>
      </c>
      <c r="AY50">
        <v>3643000000</v>
      </c>
      <c r="AZ50">
        <v>5056000000</v>
      </c>
      <c r="BA50">
        <v>130653799999.99998</v>
      </c>
      <c r="BB50">
        <v>77979000000</v>
      </c>
      <c r="BC50">
        <v>915906000000</v>
      </c>
      <c r="BD50">
        <v>237470000000</v>
      </c>
      <c r="BE50">
        <v>680101000000</v>
      </c>
      <c r="BF50">
        <v>46048100000</v>
      </c>
      <c r="BG50">
        <v>33624000000.000004</v>
      </c>
      <c r="BH50">
        <v>394321000000</v>
      </c>
      <c r="BI50">
        <v>280686000000</v>
      </c>
      <c r="BJ50">
        <v>119681000000</v>
      </c>
      <c r="BK50">
        <v>4562770000</v>
      </c>
      <c r="BL50">
        <v>2017000000</v>
      </c>
      <c r="BM50">
        <v>24295900000</v>
      </c>
      <c r="BN50">
        <v>16890000000</v>
      </c>
      <c r="BO50">
        <v>6309000000</v>
      </c>
      <c r="BP50">
        <v>45349600000</v>
      </c>
      <c r="BQ50">
        <v>295514000000</v>
      </c>
      <c r="BR50">
        <v>25192000000</v>
      </c>
      <c r="BS50">
        <v>234595000000</v>
      </c>
      <c r="BT50">
        <v>59562000000</v>
      </c>
      <c r="BU50">
        <v>7343490000</v>
      </c>
      <c r="BV50">
        <v>2686000000</v>
      </c>
      <c r="BW50">
        <v>47510600000</v>
      </c>
      <c r="BX50">
        <v>66748999999.999992</v>
      </c>
      <c r="BY50">
        <v>12808000000</v>
      </c>
      <c r="BZ50">
        <v>65.911900000000003</v>
      </c>
      <c r="CA50">
        <v>44.938000000000002</v>
      </c>
      <c r="CB50">
        <v>66.879400000000004</v>
      </c>
      <c r="CC50">
        <v>104.74209999999999</v>
      </c>
      <c r="CD50">
        <v>50.164499999999997</v>
      </c>
      <c r="CE50">
        <v>1.2439020000000001</v>
      </c>
      <c r="CF50">
        <v>-6450000000</v>
      </c>
      <c r="CG50">
        <v>6340000000</v>
      </c>
      <c r="CH50">
        <v>13640000000</v>
      </c>
      <c r="CI50">
        <v>4700000000</v>
      </c>
      <c r="CJ50">
        <v>140000000</v>
      </c>
      <c r="CK50">
        <v>4.796316</v>
      </c>
      <c r="CL50">
        <v>3.9207100000000001</v>
      </c>
      <c r="CM50">
        <v>4.4804139999999997</v>
      </c>
      <c r="CN50">
        <v>4.5366559999999998</v>
      </c>
      <c r="CO50">
        <v>4.9871119999999998</v>
      </c>
      <c r="CP50">
        <v>4.13</v>
      </c>
      <c r="CQ50">
        <v>4.1100000000000003</v>
      </c>
      <c r="CR50">
        <v>4.0999999999999996</v>
      </c>
      <c r="CS50">
        <v>4.26</v>
      </c>
      <c r="CT50">
        <v>4.0999999999999996</v>
      </c>
      <c r="CU50">
        <v>2.11</v>
      </c>
      <c r="CV50">
        <v>2.11</v>
      </c>
      <c r="CW50">
        <v>2.11</v>
      </c>
      <c r="CX50">
        <v>2.11</v>
      </c>
      <c r="CY50">
        <v>2.11</v>
      </c>
    </row>
    <row r="51" spans="1:103" x14ac:dyDescent="0.3">
      <c r="A51">
        <f t="shared" si="4"/>
        <v>2005</v>
      </c>
      <c r="B51" s="1">
        <v>38353</v>
      </c>
      <c r="C51">
        <v>51059500000</v>
      </c>
      <c r="D51">
        <v>7574100000</v>
      </c>
      <c r="E51">
        <v>296142900000</v>
      </c>
      <c r="F51">
        <v>78385000000</v>
      </c>
      <c r="G51">
        <v>277777700000</v>
      </c>
      <c r="H51">
        <v>47123000000</v>
      </c>
      <c r="I51">
        <v>90956000000</v>
      </c>
      <c r="J51">
        <v>21396000000</v>
      </c>
      <c r="K51">
        <v>31824000000</v>
      </c>
      <c r="L51">
        <v>5919000000</v>
      </c>
      <c r="M51">
        <v>44931500000</v>
      </c>
      <c r="N51">
        <v>7049390000</v>
      </c>
      <c r="O51">
        <v>274464000000</v>
      </c>
      <c r="P51">
        <v>60759600000</v>
      </c>
      <c r="Q51">
        <v>37509000000</v>
      </c>
      <c r="R51">
        <v>244183500000</v>
      </c>
      <c r="S51">
        <v>88843000000</v>
      </c>
      <c r="T51">
        <v>16911999999.999998</v>
      </c>
      <c r="U51">
        <v>5001000000</v>
      </c>
      <c r="V51">
        <v>29004000000</v>
      </c>
      <c r="W51">
        <v>0.677894</v>
      </c>
      <c r="X51">
        <v>4.2704630000000003</v>
      </c>
      <c r="Y51">
        <v>-0.79205000000000003</v>
      </c>
      <c r="Z51">
        <v>0.38583800000000001</v>
      </c>
      <c r="AA51">
        <v>1.7379530000000001</v>
      </c>
      <c r="AB51">
        <v>123866500000</v>
      </c>
      <c r="AC51">
        <v>85096000000</v>
      </c>
      <c r="AD51">
        <v>894341000000</v>
      </c>
      <c r="AE51">
        <v>643925000000</v>
      </c>
      <c r="AF51">
        <v>237320000000</v>
      </c>
      <c r="AG51">
        <v>32372990000</v>
      </c>
      <c r="AH51">
        <v>27825000000</v>
      </c>
      <c r="AI51">
        <v>198857900000</v>
      </c>
      <c r="AJ51">
        <v>191001000000</v>
      </c>
      <c r="AK51">
        <v>55677000000</v>
      </c>
      <c r="AL51">
        <v>36145420000</v>
      </c>
      <c r="AM51">
        <v>21886000000</v>
      </c>
      <c r="AN51">
        <v>270940500000</v>
      </c>
      <c r="AO51">
        <v>208059000000</v>
      </c>
      <c r="AP51">
        <v>65808000000.000008</v>
      </c>
      <c r="AQ51">
        <v>35830910000</v>
      </c>
      <c r="AR51">
        <v>19108000000</v>
      </c>
      <c r="AS51">
        <v>279506800000</v>
      </c>
      <c r="AT51">
        <v>178585000000</v>
      </c>
      <c r="AU51">
        <v>71722000000</v>
      </c>
      <c r="AV51">
        <v>2249350000</v>
      </c>
      <c r="AW51">
        <v>31191800000</v>
      </c>
      <c r="AX51">
        <v>0</v>
      </c>
      <c r="AY51">
        <v>3471000000</v>
      </c>
      <c r="AZ51">
        <v>4992000000</v>
      </c>
      <c r="BA51">
        <v>130398699999.99998</v>
      </c>
      <c r="BB51">
        <v>80717000000</v>
      </c>
      <c r="BC51">
        <v>956143000000</v>
      </c>
      <c r="BD51">
        <v>240167000000</v>
      </c>
      <c r="BE51">
        <v>705365000000</v>
      </c>
      <c r="BF51">
        <v>49408500000</v>
      </c>
      <c r="BG51">
        <v>35250000000</v>
      </c>
      <c r="BH51">
        <v>409986500000</v>
      </c>
      <c r="BI51">
        <v>295313000000</v>
      </c>
      <c r="BJ51">
        <v>123401000000</v>
      </c>
      <c r="BK51">
        <v>4011590000</v>
      </c>
      <c r="BL51">
        <v>2075000000.0000002</v>
      </c>
      <c r="BM51">
        <v>24117800000</v>
      </c>
      <c r="BN51">
        <v>15830000000</v>
      </c>
      <c r="BO51">
        <v>6064000000</v>
      </c>
      <c r="BP51">
        <v>46484600000</v>
      </c>
      <c r="BQ51">
        <v>308724300000</v>
      </c>
      <c r="BR51">
        <v>25889000000</v>
      </c>
      <c r="BS51">
        <v>242245000000</v>
      </c>
      <c r="BT51">
        <v>59673000000</v>
      </c>
      <c r="BU51">
        <v>8242900000.000001</v>
      </c>
      <c r="BV51">
        <v>2653000000</v>
      </c>
      <c r="BW51">
        <v>47845100000</v>
      </c>
      <c r="BX51">
        <v>67224000000</v>
      </c>
      <c r="BY51">
        <v>12460000000</v>
      </c>
      <c r="BZ51">
        <v>69.427599999999998</v>
      </c>
      <c r="CA51">
        <v>42.144100000000002</v>
      </c>
      <c r="CB51">
        <v>68.186000000000007</v>
      </c>
      <c r="CC51">
        <v>106.1767</v>
      </c>
      <c r="CD51">
        <v>49.645099999999999</v>
      </c>
      <c r="CE51">
        <v>1.2440899999999999</v>
      </c>
      <c r="CF51">
        <v>10130000000</v>
      </c>
      <c r="CG51">
        <v>2440000000</v>
      </c>
      <c r="CH51">
        <v>5320000000</v>
      </c>
      <c r="CI51">
        <v>3760000000</v>
      </c>
      <c r="CJ51">
        <v>5090000000</v>
      </c>
      <c r="CK51">
        <v>5.1990689999999997</v>
      </c>
      <c r="CL51">
        <v>3.7190720000000002</v>
      </c>
      <c r="CM51">
        <v>4.217854</v>
      </c>
      <c r="CN51">
        <v>4.4039010000000003</v>
      </c>
      <c r="CO51">
        <v>4.6725989999999999</v>
      </c>
      <c r="CP51">
        <v>3.39</v>
      </c>
      <c r="CQ51">
        <v>3.35</v>
      </c>
      <c r="CR51">
        <v>3.41</v>
      </c>
      <c r="CS51">
        <v>3.56</v>
      </c>
      <c r="CT51">
        <v>3.37</v>
      </c>
      <c r="CU51">
        <v>2.19</v>
      </c>
      <c r="CV51">
        <v>2.19</v>
      </c>
      <c r="CW51">
        <v>2.19</v>
      </c>
      <c r="CX51">
        <v>2.19</v>
      </c>
      <c r="CY51">
        <v>2.19</v>
      </c>
    </row>
    <row r="52" spans="1:103" x14ac:dyDescent="0.3">
      <c r="A52">
        <f t="shared" si="4"/>
        <v>2006</v>
      </c>
      <c r="B52" s="1">
        <v>38718</v>
      </c>
      <c r="C52">
        <v>52855600000</v>
      </c>
      <c r="D52">
        <v>7858860000</v>
      </c>
      <c r="E52">
        <v>323360300000</v>
      </c>
      <c r="F52">
        <v>80877400000</v>
      </c>
      <c r="G52">
        <v>293141400000</v>
      </c>
      <c r="H52">
        <v>48847000000</v>
      </c>
      <c r="I52">
        <v>99056000000</v>
      </c>
      <c r="J52">
        <v>23776000000</v>
      </c>
      <c r="K52">
        <v>33581000000.000004</v>
      </c>
      <c r="L52">
        <v>5777000000</v>
      </c>
      <c r="M52">
        <v>46749000000</v>
      </c>
      <c r="N52">
        <v>7301830000</v>
      </c>
      <c r="O52">
        <v>291162600000</v>
      </c>
      <c r="P52">
        <v>63745200000</v>
      </c>
      <c r="Q52">
        <v>39662000000</v>
      </c>
      <c r="R52">
        <v>255575300000</v>
      </c>
      <c r="S52">
        <v>92764000000</v>
      </c>
      <c r="T52">
        <v>17676000000</v>
      </c>
      <c r="U52">
        <v>5259000000</v>
      </c>
      <c r="V52">
        <v>30430000000</v>
      </c>
      <c r="W52">
        <v>0.56394500000000003</v>
      </c>
      <c r="X52">
        <v>5.4812830000000003</v>
      </c>
      <c r="Y52">
        <v>-5.4306E-2</v>
      </c>
      <c r="Z52">
        <v>0.80974999999999997</v>
      </c>
      <c r="AA52">
        <v>2.1149249999999999</v>
      </c>
      <c r="AB52">
        <v>128476200000</v>
      </c>
      <c r="AC52">
        <v>89977000000</v>
      </c>
      <c r="AD52">
        <v>943178000000</v>
      </c>
      <c r="AE52">
        <v>685630000000</v>
      </c>
      <c r="AF52">
        <v>258423000000</v>
      </c>
      <c r="AG52">
        <v>33935100000</v>
      </c>
      <c r="AH52">
        <v>28966000000</v>
      </c>
      <c r="AI52">
        <v>217141500000</v>
      </c>
      <c r="AJ52">
        <v>213472000000</v>
      </c>
      <c r="AK52">
        <v>58657000000</v>
      </c>
      <c r="AL52">
        <v>37042360000</v>
      </c>
      <c r="AM52">
        <v>22840000000</v>
      </c>
      <c r="AN52">
        <v>281529000000</v>
      </c>
      <c r="AO52">
        <v>224967000000</v>
      </c>
      <c r="AP52">
        <v>70359000000</v>
      </c>
      <c r="AQ52">
        <v>37380810000</v>
      </c>
      <c r="AR52">
        <v>20505000000</v>
      </c>
      <c r="AS52">
        <v>295287600000</v>
      </c>
      <c r="AT52">
        <v>180870000000</v>
      </c>
      <c r="AU52">
        <v>81531000000</v>
      </c>
      <c r="AV52">
        <v>2189500000</v>
      </c>
      <c r="AW52">
        <v>31916800000</v>
      </c>
      <c r="AX52">
        <v>0</v>
      </c>
      <c r="AY52">
        <v>3549000000</v>
      </c>
      <c r="AZ52">
        <v>3881000000</v>
      </c>
      <c r="BA52">
        <v>135413099999.99998</v>
      </c>
      <c r="BB52">
        <v>83083000000</v>
      </c>
      <c r="BC52">
        <v>992241000000</v>
      </c>
      <c r="BD52">
        <v>258252000000</v>
      </c>
      <c r="BE52">
        <v>741870000000</v>
      </c>
      <c r="BF52">
        <v>51920100000</v>
      </c>
      <c r="BG52">
        <v>36835000000</v>
      </c>
      <c r="BH52">
        <v>423187500000</v>
      </c>
      <c r="BI52">
        <v>304957000000</v>
      </c>
      <c r="BJ52">
        <v>136316000000</v>
      </c>
      <c r="BK52">
        <v>4182559999.9999995</v>
      </c>
      <c r="BL52">
        <v>2256000000</v>
      </c>
      <c r="BM52">
        <v>25294300000</v>
      </c>
      <c r="BN52">
        <v>17258000000</v>
      </c>
      <c r="BO52">
        <v>6193000000</v>
      </c>
      <c r="BP52">
        <v>48017300000</v>
      </c>
      <c r="BQ52">
        <v>323955400000</v>
      </c>
      <c r="BR52">
        <v>26460000000</v>
      </c>
      <c r="BS52">
        <v>252104000000</v>
      </c>
      <c r="BT52">
        <v>61140000000</v>
      </c>
      <c r="BU52">
        <v>8436579999.999999</v>
      </c>
      <c r="BV52">
        <v>2581000000</v>
      </c>
      <c r="BW52">
        <v>48060100000</v>
      </c>
      <c r="BX52">
        <v>68871000000</v>
      </c>
      <c r="BY52">
        <v>12253000000</v>
      </c>
      <c r="BZ52">
        <v>68.176599999999993</v>
      </c>
      <c r="CA52">
        <v>40.224200000000003</v>
      </c>
      <c r="CB52">
        <v>65.400800000000004</v>
      </c>
      <c r="CC52">
        <v>106.2569</v>
      </c>
      <c r="CD52">
        <v>45.020800000000001</v>
      </c>
      <c r="CE52">
        <v>1.2555989999999999</v>
      </c>
      <c r="CF52">
        <v>-840000000</v>
      </c>
      <c r="CG52">
        <v>7030000000</v>
      </c>
      <c r="CH52">
        <v>-43220000000</v>
      </c>
      <c r="CI52">
        <v>9560000000</v>
      </c>
      <c r="CJ52">
        <v>-9960000000</v>
      </c>
      <c r="CK52">
        <v>4.8152920000000003</v>
      </c>
      <c r="CL52">
        <v>3.7191809999999998</v>
      </c>
      <c r="CM52">
        <v>4.0001059999999997</v>
      </c>
      <c r="CN52">
        <v>4.3269729999999997</v>
      </c>
      <c r="CO52">
        <v>4.4621589999999998</v>
      </c>
      <c r="CP52">
        <v>3.8</v>
      </c>
      <c r="CQ52">
        <v>3.78</v>
      </c>
      <c r="CR52">
        <v>3.8</v>
      </c>
      <c r="CS52">
        <v>4.05</v>
      </c>
      <c r="CT52">
        <v>3.78</v>
      </c>
      <c r="CU52">
        <v>3.08</v>
      </c>
      <c r="CV52">
        <v>3.08</v>
      </c>
      <c r="CW52">
        <v>3.08</v>
      </c>
      <c r="CX52">
        <v>3.08</v>
      </c>
      <c r="CY52">
        <v>3.08</v>
      </c>
    </row>
    <row r="53" spans="1:103" x14ac:dyDescent="0.3">
      <c r="A53">
        <f t="shared" si="4"/>
        <v>2007</v>
      </c>
      <c r="B53" s="1">
        <v>39083</v>
      </c>
      <c r="C53">
        <v>56728400000</v>
      </c>
      <c r="D53">
        <v>8572860000</v>
      </c>
      <c r="E53">
        <v>352863200000</v>
      </c>
      <c r="F53">
        <v>84819900000</v>
      </c>
      <c r="G53">
        <v>305935600000</v>
      </c>
      <c r="H53">
        <v>50752000000</v>
      </c>
      <c r="I53">
        <v>119329000000</v>
      </c>
      <c r="J53">
        <v>24556000000</v>
      </c>
      <c r="K53">
        <v>38745000000</v>
      </c>
      <c r="L53">
        <v>6518000000</v>
      </c>
      <c r="M53">
        <v>49031300000</v>
      </c>
      <c r="N53">
        <v>7598410000</v>
      </c>
      <c r="O53">
        <v>307326300000</v>
      </c>
      <c r="P53">
        <v>66820800000.000008</v>
      </c>
      <c r="Q53">
        <v>41850000000</v>
      </c>
      <c r="R53">
        <v>267623700000</v>
      </c>
      <c r="S53">
        <v>97499000000</v>
      </c>
      <c r="T53">
        <v>18537000000</v>
      </c>
      <c r="U53">
        <v>5567000000</v>
      </c>
      <c r="V53">
        <v>32464000000</v>
      </c>
      <c r="W53">
        <v>1.8153300000000001</v>
      </c>
      <c r="X53">
        <v>6.5284219999999999</v>
      </c>
      <c r="Y53">
        <v>-0.30138700000000002</v>
      </c>
      <c r="Z53">
        <v>3.4022019999999999</v>
      </c>
      <c r="AA53">
        <v>1.807555</v>
      </c>
      <c r="AB53">
        <v>136448100000.00002</v>
      </c>
      <c r="AC53">
        <v>96675000000</v>
      </c>
      <c r="AD53">
        <v>981352000000</v>
      </c>
      <c r="AE53">
        <v>734222000000</v>
      </c>
      <c r="AF53">
        <v>267848000000</v>
      </c>
      <c r="AG53">
        <v>37298580000</v>
      </c>
      <c r="AH53">
        <v>31779000000</v>
      </c>
      <c r="AI53">
        <v>226017100000</v>
      </c>
      <c r="AJ53">
        <v>233507000000</v>
      </c>
      <c r="AK53">
        <v>65128000000</v>
      </c>
      <c r="AL53">
        <v>39103670000</v>
      </c>
      <c r="AM53">
        <v>23625000000</v>
      </c>
      <c r="AN53">
        <v>291869900000</v>
      </c>
      <c r="AO53">
        <v>232258000000</v>
      </c>
      <c r="AP53">
        <v>72540000000</v>
      </c>
      <c r="AQ53">
        <v>39000480000</v>
      </c>
      <c r="AR53">
        <v>21612000000</v>
      </c>
      <c r="AS53">
        <v>305923700000</v>
      </c>
      <c r="AT53">
        <v>199278000000</v>
      </c>
      <c r="AU53">
        <v>81968000000</v>
      </c>
      <c r="AV53">
        <v>2177440000</v>
      </c>
      <c r="AW53">
        <v>33638500000</v>
      </c>
      <c r="AX53">
        <v>0</v>
      </c>
      <c r="AY53">
        <v>3889000000</v>
      </c>
      <c r="AZ53">
        <v>4019999999.9999995</v>
      </c>
      <c r="BA53">
        <v>140313100000</v>
      </c>
      <c r="BB53">
        <v>87113000000</v>
      </c>
      <c r="BC53">
        <v>1039288000000</v>
      </c>
      <c r="BD53">
        <v>269466000000</v>
      </c>
      <c r="BE53">
        <v>755725000000</v>
      </c>
      <c r="BF53">
        <v>53606100000</v>
      </c>
      <c r="BG53">
        <v>38843000000</v>
      </c>
      <c r="BH53">
        <v>438020200000</v>
      </c>
      <c r="BI53">
        <v>309847000000</v>
      </c>
      <c r="BJ53">
        <v>144773000000</v>
      </c>
      <c r="BK53">
        <v>4150369999.9999995</v>
      </c>
      <c r="BL53">
        <v>2319000000</v>
      </c>
      <c r="BM53">
        <v>28471800000</v>
      </c>
      <c r="BN53">
        <v>17492000000</v>
      </c>
      <c r="BO53">
        <v>7398000000</v>
      </c>
      <c r="BP53">
        <v>49243600000</v>
      </c>
      <c r="BQ53">
        <v>338128100000</v>
      </c>
      <c r="BR53">
        <v>27080000000</v>
      </c>
      <c r="BS53">
        <v>264406999999.99997</v>
      </c>
      <c r="BT53">
        <v>62377000000</v>
      </c>
      <c r="BU53">
        <v>8988080000</v>
      </c>
      <c r="BV53">
        <v>2650000000</v>
      </c>
      <c r="BW53">
        <v>52095200000</v>
      </c>
      <c r="BX53">
        <v>76677000000</v>
      </c>
      <c r="BY53">
        <v>12875000000</v>
      </c>
      <c r="BZ53">
        <v>65.813100000000006</v>
      </c>
      <c r="CA53">
        <v>35.999299999999998</v>
      </c>
      <c r="CB53">
        <v>65.476799999999997</v>
      </c>
      <c r="CC53">
        <v>103.4635</v>
      </c>
      <c r="CD53">
        <v>42.799599999999998</v>
      </c>
      <c r="CE53">
        <v>1.3704780000000001</v>
      </c>
      <c r="CF53">
        <v>560000000</v>
      </c>
      <c r="CG53">
        <v>7370000000</v>
      </c>
      <c r="CH53">
        <v>3610000000</v>
      </c>
      <c r="CI53">
        <v>-1080000000</v>
      </c>
      <c r="CJ53">
        <v>460000000</v>
      </c>
      <c r="CK53">
        <v>4.9574530000000001</v>
      </c>
      <c r="CL53">
        <v>3.8111950000000001</v>
      </c>
      <c r="CM53">
        <v>4.314972</v>
      </c>
      <c r="CN53">
        <v>4.6261640000000002</v>
      </c>
      <c r="CO53">
        <v>4.8681900000000002</v>
      </c>
      <c r="CP53">
        <v>4.3</v>
      </c>
      <c r="CQ53">
        <v>4.29</v>
      </c>
      <c r="CR53">
        <v>4.3</v>
      </c>
      <c r="CS53">
        <v>4.49</v>
      </c>
      <c r="CT53">
        <v>4.29</v>
      </c>
      <c r="CU53">
        <v>4.28</v>
      </c>
      <c r="CV53">
        <v>4.28</v>
      </c>
      <c r="CW53">
        <v>4.28</v>
      </c>
      <c r="CX53">
        <v>4.28</v>
      </c>
      <c r="CY53">
        <v>4.28</v>
      </c>
    </row>
    <row r="54" spans="1:103" x14ac:dyDescent="0.3">
      <c r="A54">
        <f t="shared" si="4"/>
        <v>2008</v>
      </c>
      <c r="B54" s="1">
        <v>39448</v>
      </c>
      <c r="C54">
        <v>59023800000</v>
      </c>
      <c r="D54">
        <v>9658670000</v>
      </c>
      <c r="E54">
        <v>367957700000</v>
      </c>
      <c r="F54">
        <v>88409200000</v>
      </c>
      <c r="G54">
        <v>302925400000</v>
      </c>
      <c r="H54">
        <v>51494000000</v>
      </c>
      <c r="I54">
        <v>116603000000</v>
      </c>
      <c r="J54">
        <v>26234000000</v>
      </c>
      <c r="K54">
        <v>40618000000</v>
      </c>
      <c r="L54">
        <v>6965000000</v>
      </c>
      <c r="M54">
        <v>51708400000</v>
      </c>
      <c r="N54">
        <v>8010289999.999999</v>
      </c>
      <c r="O54">
        <v>324813800000</v>
      </c>
      <c r="P54">
        <v>70240400000</v>
      </c>
      <c r="Q54">
        <v>44224000000</v>
      </c>
      <c r="R54">
        <v>279474700000</v>
      </c>
      <c r="S54">
        <v>102870000000</v>
      </c>
      <c r="T54">
        <v>19453000000</v>
      </c>
      <c r="U54">
        <v>5956000000</v>
      </c>
      <c r="V54">
        <v>34829000000</v>
      </c>
      <c r="W54">
        <v>1.4038010000000001</v>
      </c>
      <c r="X54">
        <v>5.5762330000000002</v>
      </c>
      <c r="Y54">
        <v>-0.62918600000000002</v>
      </c>
      <c r="Z54">
        <v>2.324303</v>
      </c>
      <c r="AA54">
        <v>2.1354250000000001</v>
      </c>
      <c r="AB54">
        <v>142516600000</v>
      </c>
      <c r="AC54">
        <v>101120000000</v>
      </c>
      <c r="AD54">
        <v>1010530000000</v>
      </c>
      <c r="AE54">
        <v>742417000000</v>
      </c>
      <c r="AF54">
        <v>288237000000</v>
      </c>
      <c r="AG54">
        <v>40284800000</v>
      </c>
      <c r="AH54">
        <v>32570000000</v>
      </c>
      <c r="AI54">
        <v>235552000000</v>
      </c>
      <c r="AJ54">
        <v>239880000000</v>
      </c>
      <c r="AK54">
        <v>71469000000</v>
      </c>
      <c r="AL54">
        <v>40717240000</v>
      </c>
      <c r="AM54">
        <v>24061000000</v>
      </c>
      <c r="AN54">
        <v>295200000000</v>
      </c>
      <c r="AO54">
        <v>222498000000</v>
      </c>
      <c r="AP54">
        <v>75669000000</v>
      </c>
      <c r="AQ54">
        <v>40756800000</v>
      </c>
      <c r="AR54">
        <v>22559000000</v>
      </c>
      <c r="AS54">
        <v>314018300000</v>
      </c>
      <c r="AT54">
        <v>209088000000</v>
      </c>
      <c r="AU54">
        <v>85786000000</v>
      </c>
      <c r="AV54">
        <v>2160130000</v>
      </c>
      <c r="AW54">
        <v>34992400000</v>
      </c>
      <c r="AX54">
        <v>0</v>
      </c>
      <c r="AY54">
        <v>3933000000</v>
      </c>
      <c r="AZ54">
        <v>4105000000.0000005</v>
      </c>
      <c r="BA54">
        <v>147103100000</v>
      </c>
      <c r="BB54">
        <v>93001000000</v>
      </c>
      <c r="BC54">
        <v>1080221000000</v>
      </c>
      <c r="BD54">
        <v>288260000000</v>
      </c>
      <c r="BE54">
        <v>784890000000</v>
      </c>
      <c r="BF54">
        <v>57057300000</v>
      </c>
      <c r="BG54">
        <v>41888000000</v>
      </c>
      <c r="BH54">
        <v>451773700000</v>
      </c>
      <c r="BI54">
        <v>323353000000</v>
      </c>
      <c r="BJ54">
        <v>152765000000</v>
      </c>
      <c r="BK54">
        <v>4445710000</v>
      </c>
      <c r="BL54">
        <v>2463000000</v>
      </c>
      <c r="BM54">
        <v>29702700000</v>
      </c>
      <c r="BN54">
        <v>17925000000</v>
      </c>
      <c r="BO54">
        <v>7767000000</v>
      </c>
      <c r="BP54">
        <v>51510400000</v>
      </c>
      <c r="BQ54">
        <v>349719200000</v>
      </c>
      <c r="BR54">
        <v>28421000000</v>
      </c>
      <c r="BS54">
        <v>277270000000</v>
      </c>
      <c r="BT54">
        <v>65836000000</v>
      </c>
      <c r="BU54">
        <v>8683500000</v>
      </c>
      <c r="BV54">
        <v>2713000000</v>
      </c>
      <c r="BW54">
        <v>57169300000</v>
      </c>
      <c r="BX54">
        <v>80678000000</v>
      </c>
      <c r="BY54">
        <v>13931000000</v>
      </c>
      <c r="BZ54">
        <v>69.528000000000006</v>
      </c>
      <c r="CA54">
        <v>34.715000000000003</v>
      </c>
      <c r="CB54">
        <v>69.819199999999995</v>
      </c>
      <c r="CC54">
        <v>105.80159999999999</v>
      </c>
      <c r="CD54">
        <v>54.332299999999996</v>
      </c>
      <c r="CE54">
        <v>1.470755</v>
      </c>
      <c r="CF54">
        <v>12600000000</v>
      </c>
      <c r="CG54">
        <v>8210000000.000001</v>
      </c>
      <c r="CH54">
        <v>50850000000</v>
      </c>
      <c r="CI54">
        <v>18720000000</v>
      </c>
      <c r="CJ54">
        <v>87300000000</v>
      </c>
      <c r="CK54">
        <v>4.6753349999999996</v>
      </c>
      <c r="CL54">
        <v>4.0288089999999999</v>
      </c>
      <c r="CM54">
        <v>4.5055690000000004</v>
      </c>
      <c r="CN54">
        <v>4.8083239999999998</v>
      </c>
      <c r="CO54">
        <v>5.2265100000000002</v>
      </c>
      <c r="CP54">
        <v>4.3600000000000003</v>
      </c>
      <c r="CQ54">
        <v>4.29</v>
      </c>
      <c r="CR54">
        <v>4.2300000000000004</v>
      </c>
      <c r="CS54">
        <v>4.68</v>
      </c>
      <c r="CT54">
        <v>4.2300000000000004</v>
      </c>
      <c r="CU54">
        <v>4.63</v>
      </c>
      <c r="CV54">
        <v>4.63</v>
      </c>
      <c r="CW54">
        <v>4.63</v>
      </c>
      <c r="CX54">
        <v>4.63</v>
      </c>
      <c r="CY54">
        <v>4.63</v>
      </c>
    </row>
    <row r="55" spans="1:103" x14ac:dyDescent="0.3">
      <c r="A55">
        <f t="shared" si="4"/>
        <v>2009</v>
      </c>
      <c r="B55" s="1">
        <v>39814</v>
      </c>
      <c r="C55">
        <v>55074000000</v>
      </c>
      <c r="D55">
        <v>9806320000</v>
      </c>
      <c r="E55">
        <v>321798300000</v>
      </c>
      <c r="F55">
        <v>93430200000</v>
      </c>
      <c r="G55">
        <v>264475500000</v>
      </c>
      <c r="H55">
        <v>57351000000</v>
      </c>
      <c r="I55">
        <v>105350000000</v>
      </c>
      <c r="J55">
        <v>27506000000</v>
      </c>
      <c r="K55">
        <v>34598000000</v>
      </c>
      <c r="L55">
        <v>7122000000</v>
      </c>
      <c r="M55">
        <v>53391300000</v>
      </c>
      <c r="N55">
        <v>8323350000</v>
      </c>
      <c r="O55">
        <v>328684000000</v>
      </c>
      <c r="P55">
        <v>72106000000</v>
      </c>
      <c r="Q55">
        <v>45559000000</v>
      </c>
      <c r="R55">
        <v>286051700000</v>
      </c>
      <c r="S55">
        <v>106740000000</v>
      </c>
      <c r="T55">
        <v>20081000000</v>
      </c>
      <c r="U55">
        <v>6053000000</v>
      </c>
      <c r="V55">
        <v>35494000000</v>
      </c>
      <c r="W55">
        <v>-2.1706539999999999</v>
      </c>
      <c r="X55">
        <v>-1.1533279999999999</v>
      </c>
      <c r="Y55">
        <v>-4.8326510000000003</v>
      </c>
      <c r="Z55">
        <v>-0.66927300000000001</v>
      </c>
      <c r="AA55">
        <v>-2.999018</v>
      </c>
      <c r="AB55">
        <v>140893900000</v>
      </c>
      <c r="AC55">
        <v>93795000000</v>
      </c>
      <c r="AD55">
        <v>979773000000</v>
      </c>
      <c r="AE55">
        <v>728627000000</v>
      </c>
      <c r="AF55">
        <v>273028000000.00003</v>
      </c>
      <c r="AG55">
        <v>35916860000</v>
      </c>
      <c r="AH55">
        <v>28077000000</v>
      </c>
      <c r="AI55">
        <v>205223400000</v>
      </c>
      <c r="AJ55">
        <v>222527000000</v>
      </c>
      <c r="AK55">
        <v>65605000000.000008</v>
      </c>
      <c r="AL55">
        <v>41196770000</v>
      </c>
      <c r="AM55">
        <v>23378000000</v>
      </c>
      <c r="AN55">
        <v>290867100000</v>
      </c>
      <c r="AO55">
        <v>214317000000</v>
      </c>
      <c r="AP55">
        <v>71630000000</v>
      </c>
      <c r="AQ55">
        <v>41266430000</v>
      </c>
      <c r="AR55">
        <v>22275000000</v>
      </c>
      <c r="AS55">
        <v>315753000000</v>
      </c>
      <c r="AT55">
        <v>208113000000</v>
      </c>
      <c r="AU55">
        <v>83222000000</v>
      </c>
      <c r="AV55">
        <v>2129400000</v>
      </c>
      <c r="AW55">
        <v>36853700000</v>
      </c>
      <c r="AX55">
        <v>0</v>
      </c>
      <c r="AY55">
        <v>4042000000</v>
      </c>
      <c r="AZ55">
        <v>4195000000.0000005</v>
      </c>
      <c r="BA55">
        <v>156298200000</v>
      </c>
      <c r="BB55">
        <v>98305000000</v>
      </c>
      <c r="BC55">
        <v>1122607000000</v>
      </c>
      <c r="BD55">
        <v>305176000000</v>
      </c>
      <c r="BE55">
        <v>808728000000</v>
      </c>
      <c r="BF55">
        <v>59668000000</v>
      </c>
      <c r="BG55">
        <v>43737000000</v>
      </c>
      <c r="BH55">
        <v>470413600000</v>
      </c>
      <c r="BI55">
        <v>329825000000</v>
      </c>
      <c r="BJ55">
        <v>163571000000</v>
      </c>
      <c r="BK55">
        <v>4466130000</v>
      </c>
      <c r="BL55">
        <v>2477000000</v>
      </c>
      <c r="BM55">
        <v>33047600000.000004</v>
      </c>
      <c r="BN55">
        <v>21479000000</v>
      </c>
      <c r="BO55">
        <v>9591000000</v>
      </c>
      <c r="BP55">
        <v>54683800000</v>
      </c>
      <c r="BQ55">
        <v>369634300000</v>
      </c>
      <c r="BR55">
        <v>31228000000</v>
      </c>
      <c r="BS55">
        <v>291627000000</v>
      </c>
      <c r="BT55">
        <v>69538000000</v>
      </c>
      <c r="BU55">
        <v>9190290000</v>
      </c>
      <c r="BV55">
        <v>2414000000</v>
      </c>
      <c r="BW55">
        <v>49281500000</v>
      </c>
      <c r="BX55">
        <v>69499000000</v>
      </c>
      <c r="BY55">
        <v>13249000000</v>
      </c>
      <c r="BZ55">
        <v>80.752200000000002</v>
      </c>
      <c r="CA55">
        <v>44.130200000000002</v>
      </c>
      <c r="CB55">
        <v>84.055599999999998</v>
      </c>
      <c r="CC55">
        <v>116.13890000000001</v>
      </c>
      <c r="CD55">
        <v>56.342799999999997</v>
      </c>
      <c r="CE55">
        <v>1.394782</v>
      </c>
      <c r="CF55">
        <v>12850000000</v>
      </c>
      <c r="CG55">
        <v>8260000000</v>
      </c>
      <c r="CH55">
        <v>94950000000</v>
      </c>
      <c r="CI55">
        <v>20580000000</v>
      </c>
      <c r="CJ55">
        <v>-30960000000</v>
      </c>
      <c r="CK55">
        <v>4.5291399999999999</v>
      </c>
      <c r="CL55">
        <v>3.5797439999999998</v>
      </c>
      <c r="CM55">
        <v>3.5469590000000002</v>
      </c>
      <c r="CN55">
        <v>3.996308</v>
      </c>
      <c r="CO55">
        <v>3.7440730000000002</v>
      </c>
      <c r="CP55">
        <v>3.94</v>
      </c>
      <c r="CQ55">
        <v>3.74</v>
      </c>
      <c r="CR55">
        <v>3.65</v>
      </c>
      <c r="CS55">
        <v>4.3099999999999996</v>
      </c>
      <c r="CT55">
        <v>3.69</v>
      </c>
      <c r="CU55">
        <v>1.22</v>
      </c>
      <c r="CV55">
        <v>1.22</v>
      </c>
      <c r="CW55">
        <v>1.22</v>
      </c>
      <c r="CX55">
        <v>1.22</v>
      </c>
      <c r="CY55">
        <v>1.22</v>
      </c>
    </row>
    <row r="56" spans="1:103" x14ac:dyDescent="0.3">
      <c r="A56">
        <f t="shared" si="4"/>
        <v>2010</v>
      </c>
      <c r="B56" s="1">
        <v>40179</v>
      </c>
      <c r="C56">
        <v>54609000000</v>
      </c>
      <c r="D56">
        <v>9673840000</v>
      </c>
      <c r="E56">
        <v>333042800000</v>
      </c>
      <c r="F56">
        <v>95757400000</v>
      </c>
      <c r="G56">
        <v>278025400000</v>
      </c>
      <c r="H56">
        <v>49425000000</v>
      </c>
      <c r="I56">
        <v>97661000000</v>
      </c>
      <c r="J56">
        <v>27343000000</v>
      </c>
      <c r="K56">
        <v>36052000000</v>
      </c>
      <c r="L56">
        <v>6885000000</v>
      </c>
      <c r="M56">
        <v>54910100000</v>
      </c>
      <c r="N56">
        <v>8664320000</v>
      </c>
      <c r="O56">
        <v>337231400000</v>
      </c>
      <c r="P56">
        <v>75126300000</v>
      </c>
      <c r="Q56">
        <v>47687000000</v>
      </c>
      <c r="R56">
        <v>294994100000</v>
      </c>
      <c r="S56">
        <v>109569000000</v>
      </c>
      <c r="T56">
        <v>20843000000</v>
      </c>
      <c r="U56">
        <v>6150000000</v>
      </c>
      <c r="V56">
        <v>35307000000</v>
      </c>
      <c r="W56">
        <v>-1.5008809999999999</v>
      </c>
      <c r="X56">
        <v>-1.173019</v>
      </c>
      <c r="Y56">
        <v>-4.6116799999999998</v>
      </c>
      <c r="Z56">
        <v>9.4440999999999997E-2</v>
      </c>
      <c r="AA56">
        <v>-3.3973949999999999</v>
      </c>
      <c r="AB56">
        <v>143769100000</v>
      </c>
      <c r="AC56">
        <v>96789000000</v>
      </c>
      <c r="AD56">
        <v>1009201000000</v>
      </c>
      <c r="AE56">
        <v>738388000000</v>
      </c>
      <c r="AF56">
        <v>280291000000</v>
      </c>
      <c r="AG56">
        <v>37145150000</v>
      </c>
      <c r="AH56">
        <v>27733000000</v>
      </c>
      <c r="AI56">
        <v>222097900000</v>
      </c>
      <c r="AJ56">
        <v>226675000000</v>
      </c>
      <c r="AK56">
        <v>67370999999.999992</v>
      </c>
      <c r="AL56">
        <v>42474330000</v>
      </c>
      <c r="AM56">
        <v>25395000000</v>
      </c>
      <c r="AN56">
        <v>294785100000</v>
      </c>
      <c r="AO56">
        <v>225694000000</v>
      </c>
      <c r="AP56">
        <v>72910000000</v>
      </c>
      <c r="AQ56">
        <v>42102460000</v>
      </c>
      <c r="AR56">
        <v>22902000000</v>
      </c>
      <c r="AS56">
        <v>322078000000</v>
      </c>
      <c r="AT56">
        <v>209629000000</v>
      </c>
      <c r="AU56">
        <v>87874000000</v>
      </c>
      <c r="AV56">
        <v>2106360000</v>
      </c>
      <c r="AW56">
        <v>38171000000</v>
      </c>
      <c r="AX56">
        <v>0</v>
      </c>
      <c r="AY56">
        <v>4089000000.0000005</v>
      </c>
      <c r="AZ56">
        <v>4187000000.0000005</v>
      </c>
      <c r="BA56">
        <v>156896500000</v>
      </c>
      <c r="BB56">
        <v>101633000000</v>
      </c>
      <c r="BC56">
        <v>1151962000000</v>
      </c>
      <c r="BD56">
        <v>314223000000</v>
      </c>
      <c r="BE56">
        <v>805717000000</v>
      </c>
      <c r="BF56">
        <v>60872700000</v>
      </c>
      <c r="BG56">
        <v>44586000000</v>
      </c>
      <c r="BH56">
        <v>482412900000</v>
      </c>
      <c r="BI56">
        <v>334716000000</v>
      </c>
      <c r="BJ56">
        <v>168710000000</v>
      </c>
      <c r="BK56">
        <v>4360780000</v>
      </c>
      <c r="BL56">
        <v>2650000000</v>
      </c>
      <c r="BM56">
        <v>34832000000</v>
      </c>
      <c r="BN56">
        <v>22845000000</v>
      </c>
      <c r="BO56">
        <v>9833000000</v>
      </c>
      <c r="BP56">
        <v>56577500000</v>
      </c>
      <c r="BQ56">
        <v>381066800000</v>
      </c>
      <c r="BR56">
        <v>32576000000</v>
      </c>
      <c r="BS56">
        <v>298695000000</v>
      </c>
      <c r="BT56">
        <v>73043000000</v>
      </c>
      <c r="BU56">
        <v>8714100000</v>
      </c>
      <c r="BV56">
        <v>2637000000</v>
      </c>
      <c r="BW56">
        <v>50707900000</v>
      </c>
      <c r="BX56">
        <v>68857000000</v>
      </c>
      <c r="BY56">
        <v>12086000000</v>
      </c>
      <c r="BZ56">
        <v>83.6541</v>
      </c>
      <c r="CA56">
        <v>50.112900000000003</v>
      </c>
      <c r="CB56">
        <v>86.277900000000002</v>
      </c>
      <c r="CC56">
        <v>118.7555</v>
      </c>
      <c r="CD56">
        <v>58.947099999999999</v>
      </c>
      <c r="CE56">
        <v>1.3243529999999999</v>
      </c>
      <c r="CF56">
        <v>1690000000</v>
      </c>
      <c r="CG56">
        <v>9240000000</v>
      </c>
      <c r="CH56">
        <v>-47770000000</v>
      </c>
      <c r="CI56">
        <v>14310000000</v>
      </c>
      <c r="CJ56">
        <v>-9950000000</v>
      </c>
      <c r="CK56">
        <v>3.76952</v>
      </c>
      <c r="CL56">
        <v>3.28803</v>
      </c>
      <c r="CM56">
        <v>3.116301</v>
      </c>
      <c r="CN56">
        <v>3.7427079999999999</v>
      </c>
      <c r="CO56">
        <v>3.4039609999999998</v>
      </c>
      <c r="CP56">
        <v>3.23</v>
      </c>
      <c r="CQ56">
        <v>3.01</v>
      </c>
      <c r="CR56">
        <v>3.12</v>
      </c>
      <c r="CS56">
        <v>4.04</v>
      </c>
      <c r="CT56">
        <v>2.99</v>
      </c>
      <c r="CU56">
        <v>0.81</v>
      </c>
      <c r="CV56">
        <v>0.81</v>
      </c>
      <c r="CW56">
        <v>0.81</v>
      </c>
      <c r="CX56">
        <v>0.81</v>
      </c>
      <c r="CY56">
        <v>0.81</v>
      </c>
    </row>
    <row r="57" spans="1:103" x14ac:dyDescent="0.3">
      <c r="A57">
        <f t="shared" si="4"/>
        <v>2011</v>
      </c>
      <c r="B57" s="1">
        <v>40544</v>
      </c>
      <c r="C57">
        <v>60583100000</v>
      </c>
      <c r="D57">
        <v>9393540000</v>
      </c>
      <c r="E57">
        <v>354826400000</v>
      </c>
      <c r="F57">
        <v>92643700000</v>
      </c>
      <c r="G57">
        <v>282545700000</v>
      </c>
      <c r="H57">
        <v>47416000000</v>
      </c>
      <c r="I57">
        <v>102840000000</v>
      </c>
      <c r="J57">
        <v>27913000000</v>
      </c>
      <c r="K57">
        <v>37792000000</v>
      </c>
      <c r="L57">
        <v>7488000000</v>
      </c>
      <c r="M57">
        <v>57032400000</v>
      </c>
      <c r="N57">
        <v>8956110000</v>
      </c>
      <c r="O57">
        <v>348588900000</v>
      </c>
      <c r="P57">
        <v>78522700000</v>
      </c>
      <c r="Q57">
        <v>49591000000</v>
      </c>
      <c r="R57">
        <v>305163100000</v>
      </c>
      <c r="S57">
        <v>109885000000</v>
      </c>
      <c r="T57">
        <v>21373000000</v>
      </c>
      <c r="U57">
        <v>6600000000</v>
      </c>
      <c r="V57">
        <v>36569000000</v>
      </c>
      <c r="W57">
        <v>0.36135</v>
      </c>
      <c r="X57">
        <v>0.46950500000000001</v>
      </c>
      <c r="Y57">
        <v>-2.5890469999999999</v>
      </c>
      <c r="Z57">
        <v>1.0953550000000001</v>
      </c>
      <c r="AA57">
        <v>-2.562602</v>
      </c>
      <c r="AB57">
        <v>150567600000</v>
      </c>
      <c r="AC57">
        <v>104400000000</v>
      </c>
      <c r="AD57">
        <v>1066319000000</v>
      </c>
      <c r="AE57">
        <v>754137000000</v>
      </c>
      <c r="AF57">
        <v>284421000000</v>
      </c>
      <c r="AG57">
        <v>39188980000</v>
      </c>
      <c r="AH57">
        <v>30010000000</v>
      </c>
      <c r="AI57">
        <v>239776700000</v>
      </c>
      <c r="AJ57">
        <v>226997000000</v>
      </c>
      <c r="AK57">
        <v>70000000000</v>
      </c>
      <c r="AL57">
        <v>44690520000</v>
      </c>
      <c r="AM57">
        <v>28379000000</v>
      </c>
      <c r="AN57">
        <v>312121100000</v>
      </c>
      <c r="AO57">
        <v>233151000000</v>
      </c>
      <c r="AP57">
        <v>72544000000</v>
      </c>
      <c r="AQ57">
        <v>44036640000</v>
      </c>
      <c r="AR57">
        <v>24037000000</v>
      </c>
      <c r="AS57">
        <v>334928000000</v>
      </c>
      <c r="AT57">
        <v>212193000000</v>
      </c>
      <c r="AU57">
        <v>89197000000</v>
      </c>
      <c r="AV57">
        <v>2071100000</v>
      </c>
      <c r="AW57">
        <v>39713100000</v>
      </c>
      <c r="AX57">
        <v>0</v>
      </c>
      <c r="AY57">
        <v>4214000000.0000005</v>
      </c>
      <c r="AZ57">
        <v>4315000000</v>
      </c>
      <c r="BA57">
        <v>158215200000</v>
      </c>
      <c r="BB57">
        <v>106402000000</v>
      </c>
      <c r="BC57">
        <v>1175705000000</v>
      </c>
      <c r="BD57">
        <v>313416000000</v>
      </c>
      <c r="BE57">
        <v>812549000000</v>
      </c>
      <c r="BF57">
        <v>62022000000</v>
      </c>
      <c r="BG57">
        <v>46310000000</v>
      </c>
      <c r="BH57">
        <v>494245700000</v>
      </c>
      <c r="BI57">
        <v>330543000000</v>
      </c>
      <c r="BJ57">
        <v>168827000000</v>
      </c>
      <c r="BK57">
        <v>4294900000</v>
      </c>
      <c r="BL57">
        <v>2724000000</v>
      </c>
      <c r="BM57">
        <v>33352900000</v>
      </c>
      <c r="BN57">
        <v>23448000000</v>
      </c>
      <c r="BO57">
        <v>9093000000</v>
      </c>
      <c r="BP57">
        <v>57202600000</v>
      </c>
      <c r="BQ57">
        <v>392506400000</v>
      </c>
      <c r="BR57">
        <v>33768000000</v>
      </c>
      <c r="BS57">
        <v>304478000000</v>
      </c>
      <c r="BT57">
        <v>75494000000</v>
      </c>
      <c r="BU57">
        <v>8761120000</v>
      </c>
      <c r="BV57">
        <v>2930000000</v>
      </c>
      <c r="BW57">
        <v>55995700000</v>
      </c>
      <c r="BX57">
        <v>76566000000</v>
      </c>
      <c r="BY57">
        <v>12184000000</v>
      </c>
      <c r="BZ57">
        <v>83.356099999999998</v>
      </c>
      <c r="CA57">
        <v>52.024500000000003</v>
      </c>
      <c r="CB57">
        <v>88.749300000000005</v>
      </c>
      <c r="CC57">
        <v>119.12690000000001</v>
      </c>
      <c r="CD57">
        <v>61.2151</v>
      </c>
      <c r="CE57">
        <v>1.3911899999999999</v>
      </c>
      <c r="CF57">
        <v>3240000000</v>
      </c>
      <c r="CG57">
        <v>6540000000</v>
      </c>
      <c r="CH57">
        <v>-1420000000</v>
      </c>
      <c r="CI57">
        <v>-5450000000</v>
      </c>
      <c r="CJ57">
        <v>-6460000000</v>
      </c>
      <c r="CK57">
        <v>3.561642</v>
      </c>
      <c r="CL57">
        <v>3.1075659999999998</v>
      </c>
      <c r="CM57">
        <v>3.251458</v>
      </c>
      <c r="CN57">
        <v>3.984909</v>
      </c>
      <c r="CO57">
        <v>3.2144110000000001</v>
      </c>
      <c r="CP57">
        <v>3.32</v>
      </c>
      <c r="CQ57">
        <v>3.01</v>
      </c>
      <c r="CR57">
        <v>3.32</v>
      </c>
      <c r="CS57">
        <v>5.42</v>
      </c>
      <c r="CT57">
        <v>2.99</v>
      </c>
      <c r="CU57">
        <v>1.39</v>
      </c>
      <c r="CV57">
        <v>1.39</v>
      </c>
      <c r="CW57">
        <v>1.39</v>
      </c>
      <c r="CX57">
        <v>1.39</v>
      </c>
      <c r="CY57">
        <v>1.39</v>
      </c>
    </row>
    <row r="58" spans="1:103" x14ac:dyDescent="0.3">
      <c r="A58">
        <f t="shared" si="4"/>
        <v>2012</v>
      </c>
      <c r="B58" s="1">
        <v>40909</v>
      </c>
      <c r="C58">
        <v>63304500000</v>
      </c>
      <c r="D58">
        <v>9361500000</v>
      </c>
      <c r="E58">
        <v>357134900000</v>
      </c>
      <c r="F58">
        <v>95102900000</v>
      </c>
      <c r="G58">
        <v>258939700000.00003</v>
      </c>
      <c r="H58">
        <v>42859000000</v>
      </c>
      <c r="I58">
        <v>96983000000</v>
      </c>
      <c r="J58">
        <v>25385000000</v>
      </c>
      <c r="K58">
        <v>38620000000</v>
      </c>
      <c r="L58">
        <v>8098000000.000001</v>
      </c>
      <c r="M58">
        <v>59586000000</v>
      </c>
      <c r="N58">
        <v>9278810000</v>
      </c>
      <c r="O58">
        <v>356844700000</v>
      </c>
      <c r="P58">
        <v>81023800000</v>
      </c>
      <c r="Q58">
        <v>49946000000</v>
      </c>
      <c r="R58">
        <v>311281400000</v>
      </c>
      <c r="S58">
        <v>110836000000</v>
      </c>
      <c r="T58">
        <v>21872000000</v>
      </c>
      <c r="U58">
        <v>6936000000</v>
      </c>
      <c r="V58">
        <v>38285000000</v>
      </c>
      <c r="W58">
        <v>0.609487</v>
      </c>
      <c r="X58">
        <v>-0.63380199999999998</v>
      </c>
      <c r="Y58">
        <v>-2.5401880000000001</v>
      </c>
      <c r="Z58">
        <v>2.1331389999999999</v>
      </c>
      <c r="AA58">
        <v>-2.0968290000000001</v>
      </c>
      <c r="AB58">
        <v>156954300000</v>
      </c>
      <c r="AC58">
        <v>107295000000</v>
      </c>
      <c r="AD58">
        <v>1100966000000</v>
      </c>
      <c r="AE58">
        <v>775551000000</v>
      </c>
      <c r="AF58">
        <v>288342000000</v>
      </c>
      <c r="AG58">
        <v>41274060000</v>
      </c>
      <c r="AH58">
        <v>29909000000</v>
      </c>
      <c r="AI58">
        <v>258710500000.00003</v>
      </c>
      <c r="AJ58">
        <v>239767000000</v>
      </c>
      <c r="AK58">
        <v>69898000000</v>
      </c>
      <c r="AL58">
        <v>46730160000</v>
      </c>
      <c r="AM58">
        <v>29405000000</v>
      </c>
      <c r="AN58">
        <v>321263100000</v>
      </c>
      <c r="AO58">
        <v>247794000000</v>
      </c>
      <c r="AP58">
        <v>71293000000</v>
      </c>
      <c r="AQ58">
        <v>45610540000</v>
      </c>
      <c r="AR58">
        <v>25528000000</v>
      </c>
      <c r="AS58">
        <v>344461000000</v>
      </c>
      <c r="AT58">
        <v>211691000000</v>
      </c>
      <c r="AU58">
        <v>92544000000</v>
      </c>
      <c r="AV58">
        <v>2024810000</v>
      </c>
      <c r="AW58">
        <v>41140600000</v>
      </c>
      <c r="AX58">
        <v>0</v>
      </c>
      <c r="AY58">
        <v>4215000000</v>
      </c>
      <c r="AZ58">
        <v>4102999999.9999995</v>
      </c>
      <c r="BA58">
        <v>163846200000</v>
      </c>
      <c r="BB58">
        <v>111605000000</v>
      </c>
      <c r="BC58">
        <v>1208953000000</v>
      </c>
      <c r="BD58">
        <v>313598000000</v>
      </c>
      <c r="BE58">
        <v>824301000000</v>
      </c>
      <c r="BF58">
        <v>63674800000</v>
      </c>
      <c r="BG58">
        <v>48506000000</v>
      </c>
      <c r="BH58">
        <v>505817900000</v>
      </c>
      <c r="BI58">
        <v>325528000000</v>
      </c>
      <c r="BJ58">
        <v>171023000000</v>
      </c>
      <c r="BK58">
        <v>4695260000</v>
      </c>
      <c r="BL58">
        <v>2740000000</v>
      </c>
      <c r="BM58">
        <v>34805800000</v>
      </c>
      <c r="BN58">
        <v>25648000000</v>
      </c>
      <c r="BO58">
        <v>8343999999.999999</v>
      </c>
      <c r="BP58">
        <v>59265900000</v>
      </c>
      <c r="BQ58">
        <v>406488500000</v>
      </c>
      <c r="BR58">
        <v>35963000000</v>
      </c>
      <c r="BS58">
        <v>311748000000</v>
      </c>
      <c r="BT58">
        <v>77866000000</v>
      </c>
      <c r="BU58">
        <v>8821490000</v>
      </c>
      <c r="BV58">
        <v>3040000000</v>
      </c>
      <c r="BW58">
        <v>54940800000</v>
      </c>
      <c r="BX58">
        <v>83582000000</v>
      </c>
      <c r="BY58">
        <v>11454000000</v>
      </c>
      <c r="BZ58">
        <v>82.935599999999994</v>
      </c>
      <c r="CA58">
        <v>57.856200000000001</v>
      </c>
      <c r="CB58">
        <v>91.742000000000004</v>
      </c>
      <c r="CC58">
        <v>125.89870000000001</v>
      </c>
      <c r="CD58">
        <v>65.740200000000002</v>
      </c>
      <c r="CE58">
        <v>1.28437</v>
      </c>
      <c r="CF58">
        <v>-1200000000</v>
      </c>
      <c r="CG58">
        <v>8790000000</v>
      </c>
      <c r="CH58">
        <v>-22290000000</v>
      </c>
      <c r="CI58">
        <v>32680000000</v>
      </c>
      <c r="CJ58">
        <v>5890000000</v>
      </c>
      <c r="CK58">
        <v>3.434145</v>
      </c>
      <c r="CL58">
        <v>2.9563640000000002</v>
      </c>
      <c r="CM58">
        <v>3.0020060000000002</v>
      </c>
      <c r="CN58">
        <v>4.2333610000000004</v>
      </c>
      <c r="CO58">
        <v>2.8522409999999998</v>
      </c>
      <c r="CP58">
        <v>2.37</v>
      </c>
      <c r="CQ58">
        <v>1.89</v>
      </c>
      <c r="CR58">
        <v>2.54</v>
      </c>
      <c r="CS58">
        <v>5.49</v>
      </c>
      <c r="CT58">
        <v>1.93</v>
      </c>
      <c r="CU58">
        <v>0.56999999999999995</v>
      </c>
      <c r="CV58">
        <v>0.56999999999999995</v>
      </c>
      <c r="CW58">
        <v>0.56999999999999995</v>
      </c>
      <c r="CX58">
        <v>0.56999999999999995</v>
      </c>
      <c r="CY58">
        <v>0.56999999999999995</v>
      </c>
    </row>
    <row r="59" spans="1:103" x14ac:dyDescent="0.3">
      <c r="A59">
        <f t="shared" si="4"/>
        <v>2013</v>
      </c>
      <c r="B59" s="1">
        <v>41275</v>
      </c>
      <c r="C59">
        <v>64977599999.999992</v>
      </c>
      <c r="D59">
        <v>9898950000</v>
      </c>
      <c r="E59">
        <v>353994500000</v>
      </c>
      <c r="F59">
        <v>96995100000</v>
      </c>
      <c r="G59">
        <v>240304000000</v>
      </c>
      <c r="H59">
        <v>40367000000</v>
      </c>
      <c r="I59">
        <v>96222000000</v>
      </c>
      <c r="J59">
        <v>24906000000</v>
      </c>
      <c r="K59">
        <v>36944000000</v>
      </c>
      <c r="L59">
        <v>8500000000</v>
      </c>
      <c r="M59">
        <v>61601500000</v>
      </c>
      <c r="N59">
        <v>9428900000</v>
      </c>
      <c r="O59">
        <v>361194600000</v>
      </c>
      <c r="P59">
        <v>82530000000</v>
      </c>
      <c r="Q59">
        <v>49966000000</v>
      </c>
      <c r="R59">
        <v>310194500000</v>
      </c>
      <c r="S59">
        <v>112776000000</v>
      </c>
      <c r="T59">
        <v>22347000000</v>
      </c>
      <c r="U59">
        <v>7256000000</v>
      </c>
      <c r="V59">
        <v>39064000000</v>
      </c>
      <c r="W59">
        <v>0.66439099999999995</v>
      </c>
      <c r="X59">
        <v>-1.1754469999999999</v>
      </c>
      <c r="Y59">
        <v>-2.6073879999999998</v>
      </c>
      <c r="Z59">
        <v>1.9154850000000001</v>
      </c>
      <c r="AA59">
        <v>-1.1818500000000001</v>
      </c>
      <c r="AB59">
        <v>161993400000</v>
      </c>
      <c r="AC59">
        <v>111078000000</v>
      </c>
      <c r="AD59">
        <v>1137646000000</v>
      </c>
      <c r="AE59">
        <v>778629000000</v>
      </c>
      <c r="AF59">
        <v>297383000000</v>
      </c>
      <c r="AG59">
        <v>43146030000</v>
      </c>
      <c r="AH59">
        <v>31574000000</v>
      </c>
      <c r="AI59">
        <v>270639599999.99997</v>
      </c>
      <c r="AJ59">
        <v>241037000000</v>
      </c>
      <c r="AK59">
        <v>69817000000</v>
      </c>
      <c r="AL59">
        <v>47407580000</v>
      </c>
      <c r="AM59">
        <v>30669000000</v>
      </c>
      <c r="AN59">
        <v>330661000000</v>
      </c>
      <c r="AO59">
        <v>242256000000</v>
      </c>
      <c r="AP59">
        <v>74309000000</v>
      </c>
      <c r="AQ59">
        <v>47538840000</v>
      </c>
      <c r="AR59">
        <v>25902000000</v>
      </c>
      <c r="AS59">
        <v>355234000000</v>
      </c>
      <c r="AT59">
        <v>211150000000</v>
      </c>
      <c r="AU59">
        <v>95967000000</v>
      </c>
      <c r="AV59">
        <v>1972120000</v>
      </c>
      <c r="AW59">
        <v>42121200000</v>
      </c>
      <c r="AX59">
        <v>0</v>
      </c>
      <c r="AY59">
        <v>4244000000</v>
      </c>
      <c r="AZ59">
        <v>4203000000.0000005</v>
      </c>
      <c r="BA59">
        <v>168393100000</v>
      </c>
      <c r="BB59">
        <v>116210000000</v>
      </c>
      <c r="BC59">
        <v>1242358000000</v>
      </c>
      <c r="BD59">
        <v>316425000000</v>
      </c>
      <c r="BE59">
        <v>825233000000</v>
      </c>
      <c r="BF59">
        <v>64959999999.999992</v>
      </c>
      <c r="BG59">
        <v>50204000000</v>
      </c>
      <c r="BH59">
        <v>516835600000</v>
      </c>
      <c r="BI59">
        <v>323354000000</v>
      </c>
      <c r="BJ59">
        <v>171367000000</v>
      </c>
      <c r="BK59">
        <v>4639680000</v>
      </c>
      <c r="BL59">
        <v>2697000000</v>
      </c>
      <c r="BM59">
        <v>46579200000</v>
      </c>
      <c r="BN59">
        <v>27240000000</v>
      </c>
      <c r="BO59">
        <v>7572000000</v>
      </c>
      <c r="BP59">
        <v>61481000000</v>
      </c>
      <c r="BQ59">
        <v>418605500000</v>
      </c>
      <c r="BR59">
        <v>38326000000</v>
      </c>
      <c r="BS59">
        <v>319978000000</v>
      </c>
      <c r="BT59">
        <v>81685000000</v>
      </c>
      <c r="BU59">
        <v>8533720000.000001</v>
      </c>
      <c r="BV59">
        <v>2740000000</v>
      </c>
      <c r="BW59">
        <v>49426000000</v>
      </c>
      <c r="BX59">
        <v>77659000000</v>
      </c>
      <c r="BY59">
        <v>11176000000</v>
      </c>
      <c r="BZ59">
        <v>82.430800000000005</v>
      </c>
      <c r="CA59">
        <v>60.811700000000002</v>
      </c>
      <c r="CB59">
        <v>94.5578</v>
      </c>
      <c r="CC59">
        <v>131.852</v>
      </c>
      <c r="CD59">
        <v>67.204800000000006</v>
      </c>
      <c r="CE59">
        <v>1.327863</v>
      </c>
      <c r="CF59">
        <v>-4200000000</v>
      </c>
      <c r="CG59">
        <v>2690000000</v>
      </c>
      <c r="CH59">
        <v>-15590000000</v>
      </c>
      <c r="CI59">
        <v>35260000000</v>
      </c>
      <c r="CJ59">
        <v>-4470000000</v>
      </c>
      <c r="CK59">
        <v>3.2501310000000001</v>
      </c>
      <c r="CL59">
        <v>2.3634750000000002</v>
      </c>
      <c r="CM59">
        <v>2.5798670000000001</v>
      </c>
      <c r="CN59">
        <v>3.7775599999999998</v>
      </c>
      <c r="CO59">
        <v>2.5827149999999999</v>
      </c>
      <c r="CP59">
        <v>2.0099999999999998</v>
      </c>
      <c r="CQ59">
        <v>1.86</v>
      </c>
      <c r="CR59">
        <v>2.2000000000000002</v>
      </c>
      <c r="CS59">
        <v>4.32</v>
      </c>
      <c r="CT59">
        <v>1.96</v>
      </c>
      <c r="CU59">
        <v>0.22</v>
      </c>
      <c r="CV59">
        <v>0.22</v>
      </c>
      <c r="CW59">
        <v>0.22</v>
      </c>
      <c r="CX59">
        <v>0.22</v>
      </c>
      <c r="CY59">
        <v>0.22</v>
      </c>
    </row>
    <row r="60" spans="1:103" x14ac:dyDescent="0.3">
      <c r="A60">
        <f t="shared" si="4"/>
        <v>2014</v>
      </c>
      <c r="B60" s="1">
        <v>41640</v>
      </c>
      <c r="C60">
        <v>65895900000</v>
      </c>
      <c r="D60">
        <v>9921860000</v>
      </c>
      <c r="E60">
        <v>359614500000</v>
      </c>
      <c r="F60">
        <v>91773200000</v>
      </c>
      <c r="G60">
        <v>237859200000</v>
      </c>
      <c r="H60">
        <v>37617000000</v>
      </c>
      <c r="I60">
        <v>93840000000</v>
      </c>
      <c r="J60">
        <v>24172000000</v>
      </c>
      <c r="K60">
        <v>36038000000</v>
      </c>
      <c r="L60">
        <v>8667000000</v>
      </c>
      <c r="M60">
        <v>63593200000</v>
      </c>
      <c r="N60">
        <v>9592740000</v>
      </c>
      <c r="O60">
        <v>366499200000</v>
      </c>
      <c r="P60">
        <v>83233100000</v>
      </c>
      <c r="Q60">
        <v>49568000000</v>
      </c>
      <c r="R60">
        <v>311249600000</v>
      </c>
      <c r="S60">
        <v>113837000000</v>
      </c>
      <c r="T60">
        <v>22606000000</v>
      </c>
      <c r="U60">
        <v>7433000000</v>
      </c>
      <c r="V60">
        <v>39403000000</v>
      </c>
      <c r="W60">
        <v>0.54159000000000002</v>
      </c>
      <c r="X60">
        <v>-1.6909959999999999</v>
      </c>
      <c r="Y60">
        <v>-2.3767200000000002</v>
      </c>
      <c r="Z60">
        <v>1.732105</v>
      </c>
      <c r="AA60">
        <v>-0.72263599999999995</v>
      </c>
      <c r="AB60">
        <v>166617100000</v>
      </c>
      <c r="AC60">
        <v>112459000000</v>
      </c>
      <c r="AD60">
        <v>1159145000000</v>
      </c>
      <c r="AE60">
        <v>783525000000</v>
      </c>
      <c r="AF60">
        <v>301973000000</v>
      </c>
      <c r="AG60">
        <v>45361610000</v>
      </c>
      <c r="AH60">
        <v>32278000000</v>
      </c>
      <c r="AI60">
        <v>272458100000</v>
      </c>
      <c r="AJ60">
        <v>237168000000</v>
      </c>
      <c r="AK60">
        <v>75721000000</v>
      </c>
      <c r="AL60">
        <v>48419110000</v>
      </c>
      <c r="AM60">
        <v>31068000000</v>
      </c>
      <c r="AN60">
        <v>338980000000</v>
      </c>
      <c r="AO60">
        <v>252293000000</v>
      </c>
      <c r="AP60">
        <v>78281000000</v>
      </c>
      <c r="AQ60">
        <v>49073050000</v>
      </c>
      <c r="AR60">
        <v>26288000000</v>
      </c>
      <c r="AS60">
        <v>364596000000</v>
      </c>
      <c r="AT60">
        <v>210327000000</v>
      </c>
      <c r="AU60">
        <v>96543000000</v>
      </c>
      <c r="AV60">
        <v>1912970000</v>
      </c>
      <c r="AW60">
        <v>42640800000</v>
      </c>
      <c r="AX60">
        <v>0</v>
      </c>
      <c r="AY60">
        <v>4102000000.0000005</v>
      </c>
      <c r="AZ60">
        <v>4229000000</v>
      </c>
      <c r="BA60">
        <v>172966900000</v>
      </c>
      <c r="BB60">
        <v>118624000000</v>
      </c>
      <c r="BC60">
        <v>1257649000000</v>
      </c>
      <c r="BD60">
        <v>317186000000</v>
      </c>
      <c r="BE60">
        <v>829632000000</v>
      </c>
      <c r="BF60">
        <v>66531400000.000008</v>
      </c>
      <c r="BG60">
        <v>50821000000</v>
      </c>
      <c r="BH60">
        <v>524758799999.99994</v>
      </c>
      <c r="BI60">
        <v>321041000000</v>
      </c>
      <c r="BJ60">
        <v>173826000000</v>
      </c>
      <c r="BK60">
        <v>4939820000</v>
      </c>
      <c r="BL60">
        <v>2689000000</v>
      </c>
      <c r="BM60">
        <v>53555700000</v>
      </c>
      <c r="BN60">
        <v>30459000000</v>
      </c>
      <c r="BO60">
        <v>7390000000</v>
      </c>
      <c r="BP60">
        <v>63447600000</v>
      </c>
      <c r="BQ60">
        <v>427027400000</v>
      </c>
      <c r="BR60">
        <v>40148000000</v>
      </c>
      <c r="BS60">
        <v>327010000000</v>
      </c>
      <c r="BT60">
        <v>82680000000</v>
      </c>
      <c r="BU60">
        <v>8137680000</v>
      </c>
      <c r="BV60">
        <v>2684000000</v>
      </c>
      <c r="BW60">
        <v>47315800000</v>
      </c>
      <c r="BX60">
        <v>74442000000</v>
      </c>
      <c r="BY60">
        <v>10309000000</v>
      </c>
      <c r="BZ60">
        <v>85.209800000000001</v>
      </c>
      <c r="CA60">
        <v>64.812600000000003</v>
      </c>
      <c r="CB60">
        <v>96.164400000000001</v>
      </c>
      <c r="CC60">
        <v>134.79519999999999</v>
      </c>
      <c r="CD60">
        <v>67.206699999999998</v>
      </c>
      <c r="CE60">
        <v>1.327442</v>
      </c>
      <c r="CF60">
        <v>10180000000</v>
      </c>
      <c r="CG60">
        <v>3500000000</v>
      </c>
      <c r="CH60">
        <v>-32340000000.000004</v>
      </c>
      <c r="CI60">
        <v>21300000000</v>
      </c>
      <c r="CJ60">
        <v>-6420000000</v>
      </c>
      <c r="CK60">
        <v>3.0735950000000001</v>
      </c>
      <c r="CL60">
        <v>2.1688890000000001</v>
      </c>
      <c r="CM60">
        <v>2.3599399999999999</v>
      </c>
      <c r="CN60">
        <v>3.4823979999999999</v>
      </c>
      <c r="CO60">
        <v>2.3047529999999998</v>
      </c>
      <c r="CP60">
        <v>1.49</v>
      </c>
      <c r="CQ60">
        <v>1.45</v>
      </c>
      <c r="CR60">
        <v>1.67</v>
      </c>
      <c r="CS60">
        <v>2.89</v>
      </c>
      <c r="CT60">
        <v>1.45</v>
      </c>
      <c r="CU60">
        <v>0.21</v>
      </c>
      <c r="CV60">
        <v>0.21</v>
      </c>
      <c r="CW60">
        <v>0.21</v>
      </c>
      <c r="CX60">
        <v>0.21</v>
      </c>
      <c r="CY60">
        <v>0.21</v>
      </c>
    </row>
    <row r="61" spans="1:103" x14ac:dyDescent="0.3">
      <c r="A61">
        <f t="shared" si="4"/>
        <v>2015</v>
      </c>
      <c r="B61" s="1">
        <v>42005</v>
      </c>
      <c r="C61">
        <v>68083600000.000008</v>
      </c>
      <c r="D61">
        <v>10239700000</v>
      </c>
      <c r="E61">
        <v>365837700000</v>
      </c>
      <c r="F61">
        <v>86767600000</v>
      </c>
      <c r="G61">
        <v>243935100000</v>
      </c>
      <c r="H61">
        <v>40168000000</v>
      </c>
      <c r="I61">
        <v>127303000000</v>
      </c>
      <c r="J61">
        <v>25165000000</v>
      </c>
      <c r="K61">
        <v>37115000000</v>
      </c>
      <c r="L61">
        <v>7908000000</v>
      </c>
      <c r="M61">
        <v>65314899999.999992</v>
      </c>
      <c r="N61">
        <v>9753970000</v>
      </c>
      <c r="O61">
        <v>369989700000</v>
      </c>
      <c r="P61">
        <v>82876500000</v>
      </c>
      <c r="Q61">
        <v>49560000000</v>
      </c>
      <c r="R61">
        <v>314955000000</v>
      </c>
      <c r="S61">
        <v>115177000000</v>
      </c>
      <c r="T61">
        <v>22778000000</v>
      </c>
      <c r="U61">
        <v>7488000000</v>
      </c>
      <c r="V61">
        <v>39798000000</v>
      </c>
      <c r="W61">
        <v>1.8748400000000001</v>
      </c>
      <c r="X61">
        <v>-1.2065159999999999</v>
      </c>
      <c r="Y61">
        <v>-1.861251</v>
      </c>
      <c r="Z61">
        <v>1.6361669999999999</v>
      </c>
      <c r="AA61">
        <v>-0.43808799999999998</v>
      </c>
      <c r="AB61">
        <v>173569400000</v>
      </c>
      <c r="AC61">
        <v>112067000000</v>
      </c>
      <c r="AD61">
        <v>1182327000000</v>
      </c>
      <c r="AE61">
        <v>794792000000</v>
      </c>
      <c r="AF61">
        <v>303955000000</v>
      </c>
      <c r="AG61">
        <v>48489490000</v>
      </c>
      <c r="AH61">
        <v>33217000000</v>
      </c>
      <c r="AI61">
        <v>278541600000</v>
      </c>
      <c r="AJ61">
        <v>242566000000</v>
      </c>
      <c r="AK61">
        <v>81497000000</v>
      </c>
      <c r="AL61">
        <v>50038580000</v>
      </c>
      <c r="AM61">
        <v>31273000000</v>
      </c>
      <c r="AN61">
        <v>349757000000</v>
      </c>
      <c r="AO61">
        <v>250287000000</v>
      </c>
      <c r="AP61">
        <v>78938000000</v>
      </c>
      <c r="AQ61">
        <v>50700050000</v>
      </c>
      <c r="AR61">
        <v>26942000000</v>
      </c>
      <c r="AS61">
        <v>368660000000</v>
      </c>
      <c r="AT61">
        <v>215054000000</v>
      </c>
      <c r="AU61">
        <v>95479000000</v>
      </c>
      <c r="AV61">
        <v>1924860000</v>
      </c>
      <c r="AW61">
        <v>42831500000</v>
      </c>
      <c r="AX61">
        <v>0</v>
      </c>
      <c r="AY61">
        <v>4117000000</v>
      </c>
      <c r="AZ61">
        <v>4299000000</v>
      </c>
      <c r="BA61">
        <v>175200900000</v>
      </c>
      <c r="BB61">
        <v>117168000000</v>
      </c>
      <c r="BC61">
        <v>1268008000000</v>
      </c>
      <c r="BD61">
        <v>316389000000</v>
      </c>
      <c r="BE61">
        <v>835694000000</v>
      </c>
      <c r="BF61">
        <v>68856500000</v>
      </c>
      <c r="BG61">
        <v>51644000000</v>
      </c>
      <c r="BH61">
        <v>529876700000</v>
      </c>
      <c r="BI61">
        <v>318892000000</v>
      </c>
      <c r="BJ61">
        <v>173811000000</v>
      </c>
      <c r="BK61">
        <v>4956830000</v>
      </c>
      <c r="BL61">
        <v>2832000000</v>
      </c>
      <c r="BM61">
        <v>55295500000</v>
      </c>
      <c r="BN61">
        <v>28657000000</v>
      </c>
      <c r="BO61">
        <v>7285000000</v>
      </c>
      <c r="BP61">
        <v>65060199999.999992</v>
      </c>
      <c r="BQ61">
        <v>433874900000</v>
      </c>
      <c r="BR61">
        <v>41439000000</v>
      </c>
      <c r="BS61">
        <v>332924000000</v>
      </c>
      <c r="BT61">
        <v>83262000000</v>
      </c>
      <c r="BU61">
        <v>8044969999.999999</v>
      </c>
      <c r="BV61">
        <v>2565000000</v>
      </c>
      <c r="BW61">
        <v>44707400000</v>
      </c>
      <c r="BX61">
        <v>68116000000</v>
      </c>
      <c r="BY61">
        <v>9371000000</v>
      </c>
      <c r="BZ61">
        <v>85.614699999999999</v>
      </c>
      <c r="CA61">
        <v>68.764300000000006</v>
      </c>
      <c r="CB61">
        <v>96.977800000000002</v>
      </c>
      <c r="CC61">
        <v>134.78819999999999</v>
      </c>
      <c r="CD61">
        <v>63.828699999999998</v>
      </c>
      <c r="CE61">
        <v>1.109143</v>
      </c>
      <c r="CF61">
        <v>9950000000</v>
      </c>
      <c r="CG61">
        <v>6020000000</v>
      </c>
      <c r="CH61">
        <v>-21930000000</v>
      </c>
      <c r="CI61">
        <v>-4070000000.0000005</v>
      </c>
      <c r="CJ61">
        <v>-22240000000</v>
      </c>
      <c r="CK61">
        <v>2.8600349999999999</v>
      </c>
      <c r="CL61">
        <v>1.9225000000000001</v>
      </c>
      <c r="CM61">
        <v>2.1586050000000001</v>
      </c>
      <c r="CN61">
        <v>3.0890559999999998</v>
      </c>
      <c r="CO61">
        <v>2.0546700000000002</v>
      </c>
      <c r="CP61">
        <v>0.75</v>
      </c>
      <c r="CQ61">
        <v>0.72</v>
      </c>
      <c r="CR61">
        <v>0.84</v>
      </c>
      <c r="CS61">
        <v>1.71</v>
      </c>
      <c r="CT61">
        <v>0.69</v>
      </c>
      <c r="CU61">
        <v>-0.02</v>
      </c>
      <c r="CV61">
        <v>-0.02</v>
      </c>
      <c r="CW61">
        <v>-0.02</v>
      </c>
      <c r="CX61">
        <v>-0.02</v>
      </c>
      <c r="CY61">
        <v>-0.02</v>
      </c>
    </row>
    <row r="62" spans="1:103" x14ac:dyDescent="0.3">
      <c r="A62">
        <f t="shared" si="4"/>
        <v>2016</v>
      </c>
      <c r="B62" s="1">
        <v>42370</v>
      </c>
      <c r="C62">
        <v>72305600000</v>
      </c>
      <c r="D62">
        <v>10642440000</v>
      </c>
      <c r="E62">
        <v>379400400000</v>
      </c>
      <c r="F62">
        <v>87524300000</v>
      </c>
      <c r="G62">
        <v>256246800000</v>
      </c>
      <c r="H62">
        <v>38582000000</v>
      </c>
      <c r="I62">
        <v>114109000000</v>
      </c>
      <c r="J62">
        <v>24843000000</v>
      </c>
      <c r="K62">
        <v>40711000000</v>
      </c>
      <c r="L62">
        <v>9017000000</v>
      </c>
      <c r="M62">
        <v>67685400000</v>
      </c>
      <c r="N62">
        <v>10004160000</v>
      </c>
      <c r="O62">
        <v>377171600000</v>
      </c>
      <c r="P62">
        <v>83708700000</v>
      </c>
      <c r="Q62">
        <v>49677000000</v>
      </c>
      <c r="R62">
        <v>315930500000</v>
      </c>
      <c r="S62">
        <v>117405000000</v>
      </c>
      <c r="T62">
        <v>22884000000</v>
      </c>
      <c r="U62">
        <v>7557000000</v>
      </c>
      <c r="V62">
        <v>40360000000</v>
      </c>
      <c r="W62">
        <v>0.64466699999999999</v>
      </c>
      <c r="X62">
        <v>-0.55118500000000004</v>
      </c>
      <c r="Y62">
        <v>-1.863704</v>
      </c>
      <c r="Z62">
        <v>1.4817670000000001</v>
      </c>
      <c r="AA62">
        <v>1.415073</v>
      </c>
      <c r="AB62">
        <v>174946000000</v>
      </c>
      <c r="AC62">
        <v>115198000000</v>
      </c>
      <c r="AD62">
        <v>1196623000000</v>
      </c>
      <c r="AE62">
        <v>794041000000</v>
      </c>
      <c r="AF62">
        <v>317914000000</v>
      </c>
      <c r="AG62">
        <v>45485540000</v>
      </c>
      <c r="AH62">
        <v>33933000000</v>
      </c>
      <c r="AI62">
        <v>278587200000</v>
      </c>
      <c r="AJ62">
        <v>247425000000</v>
      </c>
      <c r="AK62">
        <v>84631000000</v>
      </c>
      <c r="AL62">
        <v>52028520000</v>
      </c>
      <c r="AM62">
        <v>32753999999.999996</v>
      </c>
      <c r="AN62">
        <v>358248000000</v>
      </c>
      <c r="AO62">
        <v>245147000000</v>
      </c>
      <c r="AP62">
        <v>84323000000</v>
      </c>
      <c r="AQ62">
        <v>52582040000</v>
      </c>
      <c r="AR62">
        <v>27938000000</v>
      </c>
      <c r="AS62">
        <v>373404000000</v>
      </c>
      <c r="AT62">
        <v>216761000000</v>
      </c>
      <c r="AU62">
        <v>103887000000</v>
      </c>
      <c r="AV62">
        <v>1865240000</v>
      </c>
      <c r="AW62">
        <v>43118800000</v>
      </c>
      <c r="AX62">
        <v>0</v>
      </c>
      <c r="AY62">
        <v>3991000000</v>
      </c>
      <c r="AZ62">
        <v>4042000000</v>
      </c>
      <c r="BA62">
        <v>180108200000</v>
      </c>
      <c r="BB62">
        <v>118868000000</v>
      </c>
      <c r="BC62">
        <v>1280648000000</v>
      </c>
      <c r="BD62">
        <v>316279000000</v>
      </c>
      <c r="BE62">
        <v>835037000000</v>
      </c>
      <c r="BF62">
        <v>71049800000</v>
      </c>
      <c r="BG62">
        <v>51562000000</v>
      </c>
      <c r="BH62">
        <v>538313999999.99994</v>
      </c>
      <c r="BI62">
        <v>326278000000</v>
      </c>
      <c r="BJ62">
        <v>176489000000</v>
      </c>
      <c r="BK62">
        <v>5470730000</v>
      </c>
      <c r="BL62">
        <v>2673000000</v>
      </c>
      <c r="BM62">
        <v>54603000000</v>
      </c>
      <c r="BN62">
        <v>30334000000</v>
      </c>
      <c r="BO62">
        <v>8061999999.999999</v>
      </c>
      <c r="BP62">
        <v>66786500000</v>
      </c>
      <c r="BQ62">
        <v>440517100000</v>
      </c>
      <c r="BR62">
        <v>42126000000</v>
      </c>
      <c r="BS62">
        <v>336370000000</v>
      </c>
      <c r="BT62">
        <v>84388000000</v>
      </c>
      <c r="BU62">
        <v>7455070000</v>
      </c>
      <c r="BV62">
        <v>2481000000</v>
      </c>
      <c r="BW62">
        <v>42430700000</v>
      </c>
      <c r="BX62">
        <v>66257999999.999992</v>
      </c>
      <c r="BY62">
        <v>8555999999.999999</v>
      </c>
      <c r="BZ62">
        <v>83.4191</v>
      </c>
      <c r="CA62">
        <v>68.649199999999993</v>
      </c>
      <c r="CB62">
        <v>98.149699999999996</v>
      </c>
      <c r="CC62">
        <v>134.2397</v>
      </c>
      <c r="CD62">
        <v>60.887300000000003</v>
      </c>
      <c r="CE62">
        <v>1.1066180000000001</v>
      </c>
      <c r="CF62">
        <v>-1340000000</v>
      </c>
      <c r="CG62">
        <v>-120000000</v>
      </c>
      <c r="CH62">
        <v>-28370000000</v>
      </c>
      <c r="CI62">
        <v>5700000000</v>
      </c>
      <c r="CJ62">
        <v>-6140000000</v>
      </c>
      <c r="CK62">
        <v>2.54549</v>
      </c>
      <c r="CL62">
        <v>1.7165159999999999</v>
      </c>
      <c r="CM62">
        <v>1.9875069999999999</v>
      </c>
      <c r="CN62">
        <v>2.9554369999999999</v>
      </c>
      <c r="CO62">
        <v>1.917208</v>
      </c>
      <c r="CP62">
        <v>0.38</v>
      </c>
      <c r="CQ62">
        <v>0.37</v>
      </c>
      <c r="CR62">
        <v>0.47</v>
      </c>
      <c r="CS62">
        <v>1.49</v>
      </c>
      <c r="CT62">
        <v>0.28999999999999998</v>
      </c>
      <c r="CU62">
        <v>-0.26</v>
      </c>
      <c r="CV62">
        <v>-0.26</v>
      </c>
      <c r="CW62">
        <v>-0.26</v>
      </c>
      <c r="CX62">
        <v>-0.26</v>
      </c>
      <c r="CY62">
        <v>-0.26</v>
      </c>
    </row>
    <row r="63" spans="1:103" x14ac:dyDescent="0.3">
      <c r="A63">
        <f t="shared" si="4"/>
        <v>2017</v>
      </c>
      <c r="B63" s="1">
        <v>42736</v>
      </c>
      <c r="C63">
        <v>76163700000</v>
      </c>
      <c r="D63">
        <v>11421200000</v>
      </c>
      <c r="E63">
        <v>402729800000</v>
      </c>
      <c r="F63">
        <v>88158100000</v>
      </c>
      <c r="G63">
        <v>268761500000</v>
      </c>
      <c r="H63">
        <v>37911000000</v>
      </c>
      <c r="I63">
        <v>123002000000</v>
      </c>
      <c r="J63">
        <v>25355000000</v>
      </c>
      <c r="K63">
        <v>44017000000</v>
      </c>
      <c r="L63">
        <v>9214000000</v>
      </c>
      <c r="M63">
        <v>70113500000</v>
      </c>
      <c r="N63">
        <v>10236340000</v>
      </c>
      <c r="O63">
        <v>389779600000</v>
      </c>
      <c r="P63">
        <v>85782000000</v>
      </c>
      <c r="Q63">
        <v>50116000000</v>
      </c>
      <c r="R63">
        <v>320584600000</v>
      </c>
      <c r="S63">
        <v>120217000000</v>
      </c>
      <c r="T63">
        <v>23386000000</v>
      </c>
      <c r="U63">
        <v>7743000000</v>
      </c>
      <c r="V63">
        <v>41475000000</v>
      </c>
      <c r="W63">
        <v>1.071736</v>
      </c>
      <c r="X63">
        <v>0.41298400000000002</v>
      </c>
      <c r="Y63">
        <v>-1.57254</v>
      </c>
      <c r="Z63">
        <v>1.2362329999999999</v>
      </c>
      <c r="AA63">
        <v>2.3357190000000001</v>
      </c>
      <c r="AB63">
        <v>180140900000</v>
      </c>
      <c r="AC63">
        <v>117342000000</v>
      </c>
      <c r="AD63">
        <v>1244387000000</v>
      </c>
      <c r="AE63">
        <v>807248000000</v>
      </c>
      <c r="AF63">
        <v>330943000000</v>
      </c>
      <c r="AG63">
        <v>47667030000</v>
      </c>
      <c r="AH63">
        <v>35441000000</v>
      </c>
      <c r="AI63">
        <v>293923800000</v>
      </c>
      <c r="AJ63">
        <v>250161000000</v>
      </c>
      <c r="AK63">
        <v>93613000000</v>
      </c>
      <c r="AL63">
        <v>52868430000</v>
      </c>
      <c r="AM63">
        <v>33338000000</v>
      </c>
      <c r="AN63">
        <v>374586000000</v>
      </c>
      <c r="AO63">
        <v>250821000000</v>
      </c>
      <c r="AP63">
        <v>87829000000</v>
      </c>
      <c r="AQ63">
        <v>54683280000</v>
      </c>
      <c r="AR63">
        <v>27300000000</v>
      </c>
      <c r="AS63">
        <v>385815000000</v>
      </c>
      <c r="AT63">
        <v>221806000000</v>
      </c>
      <c r="AU63">
        <v>104813000000</v>
      </c>
      <c r="AV63">
        <v>1806860000</v>
      </c>
      <c r="AW63">
        <v>43260100000</v>
      </c>
      <c r="AX63">
        <v>0</v>
      </c>
      <c r="AY63">
        <v>4186000000</v>
      </c>
      <c r="AZ63">
        <v>4053000000</v>
      </c>
      <c r="BA63">
        <v>182990100000</v>
      </c>
      <c r="BB63">
        <v>118756000000</v>
      </c>
      <c r="BC63">
        <v>1321445000000</v>
      </c>
      <c r="BD63">
        <v>321059000000</v>
      </c>
      <c r="BE63">
        <v>851015000000</v>
      </c>
      <c r="BF63">
        <v>72695000000</v>
      </c>
      <c r="BG63">
        <v>51617000000</v>
      </c>
      <c r="BH63">
        <v>554402900000</v>
      </c>
      <c r="BI63">
        <v>331415000000</v>
      </c>
      <c r="BJ63">
        <v>181470000000</v>
      </c>
      <c r="BK63">
        <v>5759880000</v>
      </c>
      <c r="BL63">
        <v>2703000000</v>
      </c>
      <c r="BM63">
        <v>59586900000</v>
      </c>
      <c r="BN63">
        <v>28585000000</v>
      </c>
      <c r="BO63">
        <v>8571999999.999999</v>
      </c>
      <c r="BP63">
        <v>67393100000.000008</v>
      </c>
      <c r="BQ63">
        <v>447707100000</v>
      </c>
      <c r="BR63">
        <v>42527000000</v>
      </c>
      <c r="BS63">
        <v>341404000000</v>
      </c>
      <c r="BT63">
        <v>84550000000</v>
      </c>
      <c r="BU63">
        <v>6785690000</v>
      </c>
      <c r="BV63">
        <v>2342000000</v>
      </c>
      <c r="BW63">
        <v>41020100000</v>
      </c>
      <c r="BX63">
        <v>65333000000</v>
      </c>
      <c r="BY63">
        <v>7654000000</v>
      </c>
      <c r="BZ63">
        <v>79.057100000000005</v>
      </c>
      <c r="CA63">
        <v>66.580799999999996</v>
      </c>
      <c r="CB63">
        <v>98.760999999999996</v>
      </c>
      <c r="CC63">
        <v>133.74100000000001</v>
      </c>
      <c r="CD63">
        <v>55.994900000000001</v>
      </c>
      <c r="CE63">
        <v>1.128517</v>
      </c>
      <c r="CF63">
        <v>-9170000000</v>
      </c>
      <c r="CG63">
        <v>110000000</v>
      </c>
      <c r="CH63">
        <v>-4300000000</v>
      </c>
      <c r="CI63">
        <v>740000000</v>
      </c>
      <c r="CJ63">
        <v>-8170000000</v>
      </c>
      <c r="CK63">
        <v>2.2871079999999999</v>
      </c>
      <c r="CL63">
        <v>1.5814919999999999</v>
      </c>
      <c r="CM63">
        <v>1.8726149999999999</v>
      </c>
      <c r="CN63">
        <v>2.8547210000000001</v>
      </c>
      <c r="CO63">
        <v>1.7455160000000001</v>
      </c>
      <c r="CP63">
        <v>0.57999999999999996</v>
      </c>
      <c r="CQ63">
        <v>0.55000000000000004</v>
      </c>
      <c r="CR63">
        <v>0.81</v>
      </c>
      <c r="CS63">
        <v>2.11</v>
      </c>
      <c r="CT63">
        <v>0.52</v>
      </c>
      <c r="CU63">
        <v>-0.33</v>
      </c>
      <c r="CV63">
        <v>-0.33</v>
      </c>
      <c r="CW63">
        <v>-0.33</v>
      </c>
      <c r="CX63">
        <v>-0.33</v>
      </c>
      <c r="CY63">
        <v>-0.33</v>
      </c>
    </row>
    <row r="64" spans="1:103" x14ac:dyDescent="0.3">
      <c r="A64">
        <f t="shared" si="4"/>
        <v>2018</v>
      </c>
      <c r="B64" s="1">
        <v>43101</v>
      </c>
      <c r="C64">
        <v>81358100000</v>
      </c>
      <c r="D64">
        <v>11819950000</v>
      </c>
      <c r="E64">
        <v>423062700000</v>
      </c>
      <c r="F64">
        <v>92182100000</v>
      </c>
      <c r="G64">
        <v>281676800000</v>
      </c>
      <c r="H64">
        <v>37823000000</v>
      </c>
      <c r="I64">
        <v>130744000000</v>
      </c>
      <c r="J64">
        <v>26325000000</v>
      </c>
      <c r="K64">
        <v>47051000000</v>
      </c>
      <c r="L64">
        <v>9982000000</v>
      </c>
      <c r="M64">
        <v>73036600000</v>
      </c>
      <c r="N64">
        <v>10577540000</v>
      </c>
      <c r="O64">
        <v>404767200000</v>
      </c>
      <c r="P64">
        <v>87998100000</v>
      </c>
      <c r="Q64">
        <v>50332000000</v>
      </c>
      <c r="R64">
        <v>326082300000</v>
      </c>
      <c r="S64">
        <v>125574000000</v>
      </c>
      <c r="T64">
        <v>24120000000</v>
      </c>
      <c r="U64">
        <v>8042000000</v>
      </c>
      <c r="V64">
        <v>43156000000</v>
      </c>
      <c r="W64">
        <v>1.828265</v>
      </c>
      <c r="X64">
        <v>0.105216</v>
      </c>
      <c r="Y64">
        <v>-0.55004699999999995</v>
      </c>
      <c r="Z64">
        <v>1.4286639999999999</v>
      </c>
      <c r="AA64">
        <v>2.37948</v>
      </c>
      <c r="AB64">
        <v>189271500000</v>
      </c>
      <c r="AC64">
        <v>120113000000</v>
      </c>
      <c r="AD64">
        <v>1273016000000</v>
      </c>
      <c r="AE64">
        <v>820050000000</v>
      </c>
      <c r="AF64">
        <v>345746000000</v>
      </c>
      <c r="AG64">
        <v>51754300000</v>
      </c>
      <c r="AH64">
        <v>35555000000</v>
      </c>
      <c r="AI64">
        <v>311460400000</v>
      </c>
      <c r="AJ64">
        <v>248561000000</v>
      </c>
      <c r="AK64">
        <v>96235000000</v>
      </c>
      <c r="AL64">
        <v>54048220000</v>
      </c>
      <c r="AM64">
        <v>34834000000</v>
      </c>
      <c r="AN64">
        <v>389537000000</v>
      </c>
      <c r="AO64">
        <v>256209000000</v>
      </c>
      <c r="AP64">
        <v>93145000000</v>
      </c>
      <c r="AQ64">
        <v>57459930000</v>
      </c>
      <c r="AR64">
        <v>27916000000</v>
      </c>
      <c r="AS64">
        <v>379110000000</v>
      </c>
      <c r="AT64">
        <v>230126000000</v>
      </c>
      <c r="AU64">
        <v>111432000000</v>
      </c>
      <c r="AV64">
        <v>1757070000</v>
      </c>
      <c r="AW64">
        <v>43877300000</v>
      </c>
      <c r="AX64">
        <v>0</v>
      </c>
      <c r="AY64">
        <v>4016000000</v>
      </c>
      <c r="AZ64">
        <v>4147999999.9999995</v>
      </c>
      <c r="BA64">
        <v>188523500000</v>
      </c>
      <c r="BB64">
        <v>122135000000</v>
      </c>
      <c r="BC64">
        <v>1327632000000</v>
      </c>
      <c r="BD64">
        <v>334143000000</v>
      </c>
      <c r="BE64">
        <v>859018000000</v>
      </c>
      <c r="BF64">
        <v>75207800000</v>
      </c>
      <c r="BG64">
        <v>53536000000</v>
      </c>
      <c r="BH64">
        <v>561627800000</v>
      </c>
      <c r="BI64">
        <v>335725000000</v>
      </c>
      <c r="BJ64">
        <v>190649000000</v>
      </c>
      <c r="BK64">
        <v>6302970000</v>
      </c>
      <c r="BL64">
        <v>2557000000</v>
      </c>
      <c r="BM64">
        <v>55760100000</v>
      </c>
      <c r="BN64">
        <v>30045000000</v>
      </c>
      <c r="BO64">
        <v>9106000000</v>
      </c>
      <c r="BP64">
        <v>68952800000</v>
      </c>
      <c r="BQ64">
        <v>457155300000</v>
      </c>
      <c r="BR64">
        <v>42878000000</v>
      </c>
      <c r="BS64">
        <v>348474000000</v>
      </c>
      <c r="BT64">
        <v>85418000000</v>
      </c>
      <c r="BU64">
        <v>6258500000</v>
      </c>
      <c r="BV64">
        <v>2266000000</v>
      </c>
      <c r="BW64">
        <v>41660600000</v>
      </c>
      <c r="BX64">
        <v>64366000000</v>
      </c>
      <c r="BY64">
        <v>7130000000</v>
      </c>
      <c r="BZ64">
        <v>74.586299999999994</v>
      </c>
      <c r="CA64">
        <v>65.358199999999997</v>
      </c>
      <c r="CB64">
        <v>98.529899999999998</v>
      </c>
      <c r="CC64">
        <v>134.19829999999999</v>
      </c>
      <c r="CD64">
        <v>51.575499999999998</v>
      </c>
      <c r="CE64">
        <v>1.180388</v>
      </c>
      <c r="CF64">
        <v>-3780000000</v>
      </c>
      <c r="CG64">
        <v>-60000000</v>
      </c>
      <c r="CH64">
        <v>2840000000</v>
      </c>
      <c r="CI64">
        <v>13630000000</v>
      </c>
      <c r="CJ64">
        <v>-2800000000</v>
      </c>
      <c r="CK64">
        <v>2.1553330000000002</v>
      </c>
      <c r="CL64">
        <v>1.5145949999999999</v>
      </c>
      <c r="CM64">
        <v>1.840713</v>
      </c>
      <c r="CN64">
        <v>2.7588159999999999</v>
      </c>
      <c r="CO64">
        <v>1.6958260000000001</v>
      </c>
      <c r="CP64">
        <v>0.69</v>
      </c>
      <c r="CQ64">
        <v>0.66</v>
      </c>
      <c r="CR64">
        <v>0.78</v>
      </c>
      <c r="CS64">
        <v>2.61</v>
      </c>
      <c r="CT64">
        <v>0.57999999999999996</v>
      </c>
      <c r="CU64">
        <v>-0.32</v>
      </c>
      <c r="CV64">
        <v>-0.32</v>
      </c>
      <c r="CW64">
        <v>-0.32</v>
      </c>
      <c r="CX64">
        <v>-0.32</v>
      </c>
      <c r="CY64">
        <v>-0.32</v>
      </c>
    </row>
    <row r="65" spans="1:103" x14ac:dyDescent="0.3">
      <c r="A65">
        <f t="shared" si="4"/>
        <v>2019</v>
      </c>
      <c r="B65" s="1">
        <v>43466</v>
      </c>
      <c r="C65">
        <v>86828500000</v>
      </c>
      <c r="D65">
        <v>12415200000</v>
      </c>
      <c r="E65">
        <v>444136500000</v>
      </c>
      <c r="F65">
        <v>101069300000</v>
      </c>
      <c r="G65">
        <v>285197500000</v>
      </c>
      <c r="H65">
        <v>41865000000</v>
      </c>
      <c r="I65">
        <v>145332000000</v>
      </c>
      <c r="J65">
        <v>28152000000</v>
      </c>
      <c r="K65">
        <v>47735000000</v>
      </c>
      <c r="L65">
        <v>10513000000</v>
      </c>
      <c r="M65">
        <v>76779800000</v>
      </c>
      <c r="N65">
        <v>11036920000</v>
      </c>
      <c r="O65">
        <v>422602200000</v>
      </c>
      <c r="P65">
        <v>90425000000</v>
      </c>
      <c r="Q65">
        <v>50620000000</v>
      </c>
      <c r="R65">
        <v>331043000000</v>
      </c>
      <c r="S65">
        <v>131354999999.99998</v>
      </c>
      <c r="T65">
        <v>24952000000</v>
      </c>
      <c r="U65">
        <v>8481000000</v>
      </c>
      <c r="V65">
        <v>45323000000</v>
      </c>
      <c r="W65">
        <v>1.9676389999999999</v>
      </c>
      <c r="X65">
        <v>-8.1754999999999994E-2</v>
      </c>
      <c r="Y65">
        <v>-0.878104</v>
      </c>
      <c r="Z65">
        <v>1.8875690000000001</v>
      </c>
      <c r="AA65">
        <v>2.5586700000000002</v>
      </c>
      <c r="AB65">
        <v>196311500000</v>
      </c>
      <c r="AC65">
        <v>123231000000</v>
      </c>
      <c r="AD65">
        <v>1287929000000</v>
      </c>
      <c r="AE65">
        <v>847437000000</v>
      </c>
      <c r="AF65">
        <v>364103000000</v>
      </c>
      <c r="AG65">
        <v>53993620000</v>
      </c>
      <c r="AH65">
        <v>36488000000</v>
      </c>
      <c r="AI65">
        <v>318194000000</v>
      </c>
      <c r="AJ65">
        <v>258204999999.99997</v>
      </c>
      <c r="AK65">
        <v>104786000000</v>
      </c>
      <c r="AL65">
        <v>55728910000</v>
      </c>
      <c r="AM65">
        <v>35504000000</v>
      </c>
      <c r="AN65">
        <v>409021000000</v>
      </c>
      <c r="AO65">
        <v>261488000000</v>
      </c>
      <c r="AP65">
        <v>99891000000</v>
      </c>
      <c r="AQ65">
        <v>59905190000</v>
      </c>
      <c r="AR65">
        <v>28541000000</v>
      </c>
      <c r="AS65">
        <v>361888000000</v>
      </c>
      <c r="AT65">
        <v>237784000000</v>
      </c>
      <c r="AU65">
        <v>114631000000</v>
      </c>
      <c r="AV65">
        <v>1703370000</v>
      </c>
      <c r="AW65">
        <v>44186000000</v>
      </c>
      <c r="AX65">
        <v>0</v>
      </c>
      <c r="AY65">
        <v>4236000000</v>
      </c>
      <c r="AZ65">
        <v>4328000000</v>
      </c>
      <c r="BA65">
        <v>194188900000</v>
      </c>
      <c r="BB65">
        <v>125459000000</v>
      </c>
      <c r="BC65">
        <v>1346155000000</v>
      </c>
      <c r="BD65">
        <v>349318000000</v>
      </c>
      <c r="BE65">
        <v>873598000000</v>
      </c>
      <c r="BF65">
        <v>78029500000</v>
      </c>
      <c r="BG65">
        <v>56004000000</v>
      </c>
      <c r="BH65">
        <v>572015300000</v>
      </c>
      <c r="BI65">
        <v>337134000000</v>
      </c>
      <c r="BJ65">
        <v>202262000000</v>
      </c>
      <c r="BK65">
        <v>6410000000</v>
      </c>
      <c r="BL65">
        <v>2606000000</v>
      </c>
      <c r="BM65">
        <v>40616000000</v>
      </c>
      <c r="BN65">
        <v>29860000000</v>
      </c>
      <c r="BO65">
        <v>9601000000</v>
      </c>
      <c r="BP65">
        <v>70998300000</v>
      </c>
      <c r="BQ65">
        <v>470560400000</v>
      </c>
      <c r="BR65">
        <v>43610000000</v>
      </c>
      <c r="BS65">
        <v>361203000000</v>
      </c>
      <c r="BT65">
        <v>87276000000</v>
      </c>
      <c r="BU65">
        <v>5663450000</v>
      </c>
      <c r="BV65">
        <v>2033000000</v>
      </c>
      <c r="BW65">
        <v>36868200000</v>
      </c>
      <c r="BX65">
        <v>60214000000</v>
      </c>
      <c r="BY65">
        <v>6446000000</v>
      </c>
      <c r="BZ65">
        <v>71.005899999999997</v>
      </c>
      <c r="CA65">
        <v>65.328000000000003</v>
      </c>
      <c r="CB65">
        <v>98.157700000000006</v>
      </c>
      <c r="CC65">
        <v>133.8981</v>
      </c>
      <c r="CD65">
        <v>47.6569</v>
      </c>
      <c r="CE65">
        <v>1.1193919999999999</v>
      </c>
      <c r="CF65">
        <v>-2740000000</v>
      </c>
      <c r="CG65">
        <v>2020000000</v>
      </c>
      <c r="CH65">
        <v>8439999999.999999</v>
      </c>
      <c r="CI65">
        <v>3750000000</v>
      </c>
      <c r="CJ65">
        <v>4190000000.0000005</v>
      </c>
      <c r="CK65">
        <v>1.9813339999999999</v>
      </c>
      <c r="CL65">
        <v>1.3413029999999999</v>
      </c>
      <c r="CM65">
        <v>1.5886420000000001</v>
      </c>
      <c r="CN65">
        <v>2.523952</v>
      </c>
      <c r="CO65">
        <v>1.5875280000000001</v>
      </c>
      <c r="CP65">
        <v>0.06</v>
      </c>
      <c r="CQ65">
        <v>7.0000000000000007E-2</v>
      </c>
      <c r="CR65">
        <v>0.13</v>
      </c>
      <c r="CS65">
        <v>1.95</v>
      </c>
      <c r="CT65">
        <v>-7.0000000000000007E-2</v>
      </c>
      <c r="CU65">
        <v>-0.36</v>
      </c>
      <c r="CV65">
        <v>-0.36</v>
      </c>
      <c r="CW65">
        <v>-0.36</v>
      </c>
      <c r="CX65">
        <v>-0.36</v>
      </c>
      <c r="CY65">
        <v>-0.36</v>
      </c>
    </row>
    <row r="66" spans="1:103" x14ac:dyDescent="0.3">
      <c r="A66">
        <f t="shared" si="4"/>
        <v>2020</v>
      </c>
      <c r="B66" s="1">
        <v>43831</v>
      </c>
      <c r="C66">
        <v>82943200000</v>
      </c>
      <c r="D66">
        <v>12646910000</v>
      </c>
      <c r="E66">
        <v>423868800000</v>
      </c>
      <c r="F66">
        <v>96265000000</v>
      </c>
      <c r="G66">
        <v>260087499999.99997</v>
      </c>
      <c r="H66">
        <v>43885000000</v>
      </c>
      <c r="I66">
        <v>143904000000</v>
      </c>
      <c r="J66">
        <v>29790000000</v>
      </c>
      <c r="K66">
        <v>46773000000</v>
      </c>
      <c r="L66">
        <v>11511000000</v>
      </c>
      <c r="M66">
        <v>79774700000</v>
      </c>
      <c r="N66">
        <v>11373940000</v>
      </c>
      <c r="O66">
        <v>436359600000</v>
      </c>
      <c r="P66">
        <v>91815000000</v>
      </c>
      <c r="Q66">
        <v>51145000000</v>
      </c>
      <c r="R66">
        <v>332907200000</v>
      </c>
      <c r="S66">
        <v>137280000000</v>
      </c>
      <c r="T66">
        <v>25805000000</v>
      </c>
      <c r="U66">
        <v>8668000000</v>
      </c>
      <c r="V66">
        <v>46528000000</v>
      </c>
      <c r="W66">
        <v>-6.8542240000000003</v>
      </c>
      <c r="X66">
        <v>-4.864058</v>
      </c>
      <c r="Y66">
        <v>-7.650525</v>
      </c>
      <c r="Z66">
        <v>-5.9581010000000001</v>
      </c>
      <c r="AA66">
        <v>-2.914768</v>
      </c>
      <c r="AB66">
        <v>186768300000</v>
      </c>
      <c r="AC66">
        <v>120365000000</v>
      </c>
      <c r="AD66">
        <v>1223273000000</v>
      </c>
      <c r="AE66">
        <v>791669000000</v>
      </c>
      <c r="AF66">
        <v>360920000000</v>
      </c>
      <c r="AG66">
        <v>48668120000</v>
      </c>
      <c r="AH66">
        <v>36017000000</v>
      </c>
      <c r="AI66">
        <v>306198000000</v>
      </c>
      <c r="AJ66">
        <v>251102000000</v>
      </c>
      <c r="AK66">
        <v>102481000000</v>
      </c>
      <c r="AL66">
        <v>52393110000</v>
      </c>
      <c r="AM66">
        <v>35061000000</v>
      </c>
      <c r="AN66">
        <v>390305000000</v>
      </c>
      <c r="AO66">
        <v>231180000000</v>
      </c>
      <c r="AP66">
        <v>101843000000</v>
      </c>
      <c r="AQ66">
        <v>59898840000</v>
      </c>
      <c r="AR66">
        <v>27561000000</v>
      </c>
      <c r="AS66">
        <v>346095000000</v>
      </c>
      <c r="AT66">
        <v>226055000000</v>
      </c>
      <c r="AU66">
        <v>114313000000</v>
      </c>
      <c r="AV66">
        <v>1639910000</v>
      </c>
      <c r="AW66">
        <v>44617000000</v>
      </c>
      <c r="AX66">
        <v>0</v>
      </c>
      <c r="AY66">
        <v>4282000000</v>
      </c>
      <c r="AZ66">
        <v>4301000000</v>
      </c>
      <c r="BA66">
        <v>217971000000</v>
      </c>
      <c r="BB66">
        <v>133447000000</v>
      </c>
      <c r="BC66">
        <v>1430357000000</v>
      </c>
      <c r="BD66">
        <v>390377000000</v>
      </c>
      <c r="BE66">
        <v>948296000000</v>
      </c>
      <c r="BF66">
        <v>81044300000</v>
      </c>
      <c r="BG66">
        <v>57768000000</v>
      </c>
      <c r="BH66">
        <v>587447400000</v>
      </c>
      <c r="BI66">
        <v>346227000000</v>
      </c>
      <c r="BJ66">
        <v>209743000000</v>
      </c>
      <c r="BK66">
        <v>19911530000</v>
      </c>
      <c r="BL66">
        <v>4369000000</v>
      </c>
      <c r="BM66">
        <v>70065000000</v>
      </c>
      <c r="BN66">
        <v>34271000000</v>
      </c>
      <c r="BO66">
        <v>33897000000</v>
      </c>
      <c r="BP66">
        <v>77291800000</v>
      </c>
      <c r="BQ66">
        <v>517837500000</v>
      </c>
      <c r="BR66">
        <v>46296000000</v>
      </c>
      <c r="BS66">
        <v>399175000000</v>
      </c>
      <c r="BT66">
        <v>91278000000</v>
      </c>
      <c r="BU66">
        <v>5134860000</v>
      </c>
      <c r="BV66">
        <v>1584000000</v>
      </c>
      <c r="BW66">
        <v>29724100000</v>
      </c>
      <c r="BX66">
        <v>57126000000</v>
      </c>
      <c r="BY66">
        <v>5659000000</v>
      </c>
      <c r="BZ66">
        <v>83.183000000000007</v>
      </c>
      <c r="CA66">
        <v>75.3172</v>
      </c>
      <c r="CB66">
        <v>114.9066</v>
      </c>
      <c r="CC66">
        <v>154.3793</v>
      </c>
      <c r="CD66">
        <v>53.4161</v>
      </c>
      <c r="CE66">
        <v>1.1413340000000001</v>
      </c>
      <c r="CF66">
        <v>4179999999.9999995</v>
      </c>
      <c r="CG66">
        <v>9140000000</v>
      </c>
      <c r="CH66">
        <v>69370000000</v>
      </c>
      <c r="CI66">
        <v>5910000000</v>
      </c>
      <c r="CJ66">
        <v>11230000000</v>
      </c>
      <c r="CK66">
        <v>1.8275129999999999</v>
      </c>
      <c r="CL66">
        <v>1.016564</v>
      </c>
      <c r="CM66">
        <v>1.2450410000000001</v>
      </c>
      <c r="CN66">
        <v>2.3648669999999998</v>
      </c>
      <c r="CO66">
        <v>1.4310609999999999</v>
      </c>
      <c r="CP66">
        <v>-0.22</v>
      </c>
      <c r="CQ66">
        <v>-0.22</v>
      </c>
      <c r="CR66">
        <v>-0.15</v>
      </c>
      <c r="CS66">
        <v>1.17</v>
      </c>
      <c r="CT66">
        <v>-0.38</v>
      </c>
      <c r="CU66">
        <v>-0.43</v>
      </c>
      <c r="CV66">
        <v>-0.43</v>
      </c>
      <c r="CW66">
        <v>-0.43</v>
      </c>
      <c r="CX66">
        <v>-0.43</v>
      </c>
      <c r="CY66">
        <v>-0.43</v>
      </c>
    </row>
    <row r="67" spans="1:103" x14ac:dyDescent="0.3">
      <c r="A67">
        <f t="shared" si="4"/>
        <v>2021</v>
      </c>
      <c r="B67" s="1">
        <v>44197</v>
      </c>
      <c r="C67">
        <v>90564700000</v>
      </c>
      <c r="D67">
        <v>14550960000</v>
      </c>
      <c r="E67">
        <v>486824200000</v>
      </c>
      <c r="F67">
        <v>102159200000</v>
      </c>
      <c r="G67">
        <v>330296400000</v>
      </c>
      <c r="H67">
        <v>52402000000</v>
      </c>
      <c r="I67">
        <v>154014000000</v>
      </c>
      <c r="J67">
        <v>30411000000</v>
      </c>
      <c r="K67">
        <v>50247000000</v>
      </c>
      <c r="L67">
        <v>10503000000</v>
      </c>
      <c r="M67">
        <v>83731800000</v>
      </c>
      <c r="N67">
        <v>11928890000</v>
      </c>
      <c r="O67">
        <v>460781800000</v>
      </c>
      <c r="P67">
        <v>95520000000</v>
      </c>
      <c r="Q67">
        <v>53486000000</v>
      </c>
      <c r="R67">
        <v>348331200000</v>
      </c>
      <c r="S67">
        <v>144622000000</v>
      </c>
      <c r="T67">
        <v>26946000000</v>
      </c>
      <c r="U67">
        <v>9049000000</v>
      </c>
      <c r="V67">
        <v>48235000000</v>
      </c>
      <c r="W67">
        <v>-4.5883700000000003</v>
      </c>
      <c r="X67">
        <v>-2.143799</v>
      </c>
      <c r="Y67">
        <v>-5.197133</v>
      </c>
      <c r="Z67">
        <v>-5.460439</v>
      </c>
      <c r="AA67">
        <v>-1.655319</v>
      </c>
      <c r="AB67">
        <v>204468600000</v>
      </c>
      <c r="AC67">
        <v>130505000000</v>
      </c>
      <c r="AD67">
        <v>1326232000000</v>
      </c>
      <c r="AE67">
        <v>868924000000</v>
      </c>
      <c r="AF67">
        <v>389572000000</v>
      </c>
      <c r="AG67">
        <v>56128890000</v>
      </c>
      <c r="AH67">
        <v>40178000000</v>
      </c>
      <c r="AI67">
        <v>324072000000</v>
      </c>
      <c r="AJ67">
        <v>268362000000.00003</v>
      </c>
      <c r="AK67">
        <v>115508000000</v>
      </c>
      <c r="AL67">
        <v>57214650000</v>
      </c>
      <c r="AM67">
        <v>36649000000</v>
      </c>
      <c r="AN67">
        <v>416396000000</v>
      </c>
      <c r="AO67">
        <v>262100000000.00003</v>
      </c>
      <c r="AP67">
        <v>110269000000</v>
      </c>
      <c r="AQ67">
        <v>63187120000</v>
      </c>
      <c r="AR67">
        <v>30447000000</v>
      </c>
      <c r="AS67">
        <v>372809000000</v>
      </c>
      <c r="AT67">
        <v>242912000000</v>
      </c>
      <c r="AU67">
        <v>116841000000</v>
      </c>
      <c r="AV67">
        <v>1566780000</v>
      </c>
      <c r="AW67">
        <v>44866000000</v>
      </c>
      <c r="AX67">
        <v>0</v>
      </c>
      <c r="AY67">
        <v>4665000000</v>
      </c>
      <c r="AZ67">
        <v>4525000000</v>
      </c>
      <c r="BA67">
        <v>227597400000</v>
      </c>
      <c r="BB67">
        <v>137103000000.00002</v>
      </c>
      <c r="BC67">
        <v>1491381000000</v>
      </c>
      <c r="BD67">
        <v>409171000000</v>
      </c>
      <c r="BE67">
        <v>1032527000000</v>
      </c>
      <c r="BF67">
        <v>88623200000</v>
      </c>
      <c r="BG67">
        <v>61708000000</v>
      </c>
      <c r="BH67">
        <v>625316300000</v>
      </c>
      <c r="BI67">
        <v>361824000000</v>
      </c>
      <c r="BJ67">
        <v>226371000000</v>
      </c>
      <c r="BK67">
        <v>18685590000</v>
      </c>
      <c r="BL67">
        <v>3954000000</v>
      </c>
      <c r="BM67">
        <v>77268000000</v>
      </c>
      <c r="BN67">
        <v>36975000000</v>
      </c>
      <c r="BO67">
        <v>30509000000</v>
      </c>
      <c r="BP67">
        <v>78951300000</v>
      </c>
      <c r="BQ67">
        <v>505925100000</v>
      </c>
      <c r="BR67">
        <v>46602000000</v>
      </c>
      <c r="BS67">
        <v>397876000000</v>
      </c>
      <c r="BT67">
        <v>93562000000</v>
      </c>
      <c r="BU67">
        <v>4489350000</v>
      </c>
      <c r="BV67">
        <v>1265000000</v>
      </c>
      <c r="BW67">
        <v>34799900000</v>
      </c>
      <c r="BX67">
        <v>62994000000</v>
      </c>
      <c r="BY67">
        <v>4841000000</v>
      </c>
      <c r="BZ67">
        <v>82.394599999999997</v>
      </c>
      <c r="CA67">
        <v>73.200299999999999</v>
      </c>
      <c r="CB67">
        <v>112.78570000000001</v>
      </c>
      <c r="CC67">
        <v>145.8124</v>
      </c>
      <c r="CD67">
        <v>50.500700000000002</v>
      </c>
      <c r="CE67">
        <v>1.1823999999999999</v>
      </c>
      <c r="CF67">
        <v>-4780000000</v>
      </c>
      <c r="CG67">
        <v>-2540000000</v>
      </c>
      <c r="CH67">
        <v>-220000000</v>
      </c>
      <c r="CI67">
        <v>-55150000000</v>
      </c>
      <c r="CJ67">
        <v>-5480000000</v>
      </c>
      <c r="CK67">
        <v>1.419065</v>
      </c>
      <c r="CL67">
        <v>0.71051500000000001</v>
      </c>
      <c r="CM67">
        <v>1.3063750000000001</v>
      </c>
      <c r="CN67">
        <v>2.443378</v>
      </c>
      <c r="CO67">
        <v>1.1100080000000001</v>
      </c>
      <c r="CP67">
        <v>-0.09</v>
      </c>
      <c r="CQ67">
        <v>-0.09</v>
      </c>
      <c r="CR67">
        <v>0.01</v>
      </c>
      <c r="CS67">
        <v>0.81</v>
      </c>
      <c r="CT67">
        <v>-0.33</v>
      </c>
      <c r="CU67">
        <v>-0.55000000000000004</v>
      </c>
      <c r="CV67">
        <v>-0.55000000000000004</v>
      </c>
      <c r="CW67">
        <v>-0.55000000000000004</v>
      </c>
      <c r="CX67">
        <v>-0.55000000000000004</v>
      </c>
      <c r="CY67">
        <v>-0.55000000000000004</v>
      </c>
    </row>
    <row r="68" spans="1:103" x14ac:dyDescent="0.3">
      <c r="A68">
        <f t="shared" si="4"/>
        <v>2022</v>
      </c>
      <c r="B68" s="1">
        <v>44562</v>
      </c>
      <c r="C68">
        <v>98663000000</v>
      </c>
      <c r="D68">
        <v>15463190000</v>
      </c>
      <c r="E68">
        <v>517806299999.99994</v>
      </c>
      <c r="F68">
        <v>110215500000</v>
      </c>
      <c r="G68">
        <v>382306000000</v>
      </c>
      <c r="H68">
        <v>52789000000</v>
      </c>
      <c r="I68">
        <v>171835000000</v>
      </c>
      <c r="J68">
        <v>31587000000</v>
      </c>
      <c r="K68">
        <v>54615000000</v>
      </c>
      <c r="L68">
        <v>11025000000</v>
      </c>
      <c r="M68">
        <v>91961900000</v>
      </c>
      <c r="N68">
        <v>12918860000</v>
      </c>
      <c r="O68">
        <v>502072600000</v>
      </c>
      <c r="P68">
        <v>103762100000</v>
      </c>
      <c r="Q68">
        <v>57579000000</v>
      </c>
      <c r="R68">
        <v>373928800000</v>
      </c>
      <c r="S68">
        <v>157385000000</v>
      </c>
      <c r="T68">
        <v>29168000000</v>
      </c>
      <c r="U68">
        <v>9676000000</v>
      </c>
      <c r="V68">
        <v>52133000000</v>
      </c>
      <c r="W68">
        <v>-2.4703650000000001</v>
      </c>
      <c r="X68">
        <v>0.38326399999999999</v>
      </c>
      <c r="Y68">
        <v>-2.824487</v>
      </c>
      <c r="Z68">
        <v>-4.0272309999999996</v>
      </c>
      <c r="AA68">
        <v>0.58008499999999996</v>
      </c>
      <c r="AB68">
        <v>222690000000</v>
      </c>
      <c r="AC68">
        <v>139608000000</v>
      </c>
      <c r="AD68">
        <v>1424436000000</v>
      </c>
      <c r="AE68">
        <v>935539000000</v>
      </c>
      <c r="AF68">
        <v>429861000000</v>
      </c>
      <c r="AG68">
        <v>64102040000</v>
      </c>
      <c r="AH68">
        <v>43677000000</v>
      </c>
      <c r="AI68">
        <v>358908000000</v>
      </c>
      <c r="AJ68">
        <v>290381000000</v>
      </c>
      <c r="AK68">
        <v>133037000000</v>
      </c>
      <c r="AL68">
        <v>61589900000</v>
      </c>
      <c r="AM68">
        <v>38426000000</v>
      </c>
      <c r="AN68">
        <v>441914000000</v>
      </c>
      <c r="AO68">
        <v>279848000000</v>
      </c>
      <c r="AP68">
        <v>114003000000</v>
      </c>
      <c r="AQ68">
        <v>66811269999.999992</v>
      </c>
      <c r="AR68">
        <v>32200000000.000004</v>
      </c>
      <c r="AS68">
        <v>395795000000</v>
      </c>
      <c r="AT68">
        <v>256002000000</v>
      </c>
      <c r="AU68">
        <v>124463000000</v>
      </c>
      <c r="AV68">
        <v>1525700000</v>
      </c>
      <c r="AW68">
        <v>46474000000</v>
      </c>
      <c r="AX68">
        <v>0</v>
      </c>
      <c r="AY68">
        <v>4261000000</v>
      </c>
      <c r="AZ68">
        <v>5220000000</v>
      </c>
      <c r="BA68">
        <v>238015400000</v>
      </c>
      <c r="BB68">
        <v>140085000000</v>
      </c>
      <c r="BC68">
        <v>1550331000000</v>
      </c>
      <c r="BD68">
        <v>429746000000</v>
      </c>
      <c r="BE68">
        <v>1097569000000</v>
      </c>
      <c r="BF68">
        <v>92283800000</v>
      </c>
      <c r="BG68">
        <v>64318000000</v>
      </c>
      <c r="BH68">
        <v>653544800000</v>
      </c>
      <c r="BI68">
        <v>376408000000</v>
      </c>
      <c r="BJ68">
        <v>241898000000</v>
      </c>
      <c r="BK68">
        <v>11775040000</v>
      </c>
      <c r="BL68">
        <v>3007000000</v>
      </c>
      <c r="BM68">
        <v>74016000000</v>
      </c>
      <c r="BN68">
        <v>45939000000</v>
      </c>
      <c r="BO68">
        <v>19191000000</v>
      </c>
      <c r="BP68">
        <v>81616100000</v>
      </c>
      <c r="BQ68">
        <v>510034000000</v>
      </c>
      <c r="BR68">
        <v>47022000000</v>
      </c>
      <c r="BS68">
        <v>406893000000</v>
      </c>
      <c r="BT68">
        <v>96703000000</v>
      </c>
      <c r="BU68">
        <v>4257959999.9999995</v>
      </c>
      <c r="BV68">
        <v>1497000000</v>
      </c>
      <c r="BW68">
        <v>50934000000</v>
      </c>
      <c r="BX68">
        <v>81563000000</v>
      </c>
      <c r="BY68">
        <v>5650000000</v>
      </c>
      <c r="BZ68">
        <v>78.376199999999997</v>
      </c>
      <c r="CA68">
        <v>74.028199999999998</v>
      </c>
      <c r="CB68">
        <v>111.3656</v>
      </c>
      <c r="CC68">
        <v>138.34520000000001</v>
      </c>
      <c r="CD68">
        <v>48.413699999999999</v>
      </c>
      <c r="CE68">
        <v>1.0518559999999999</v>
      </c>
      <c r="CF68">
        <v>1090000000</v>
      </c>
      <c r="CG68">
        <v>14440000000</v>
      </c>
      <c r="CH68">
        <v>960000000</v>
      </c>
      <c r="CI68">
        <v>-84400000000</v>
      </c>
      <c r="CJ68">
        <v>31020000000</v>
      </c>
      <c r="CK68">
        <v>1.272122</v>
      </c>
      <c r="CL68">
        <v>0.82209399999999999</v>
      </c>
      <c r="CM68">
        <v>1.8005629999999999</v>
      </c>
      <c r="CN68">
        <v>3.035914</v>
      </c>
      <c r="CO68">
        <v>1.2548889999999999</v>
      </c>
      <c r="CP68">
        <v>1.71</v>
      </c>
      <c r="CQ68">
        <v>1.69</v>
      </c>
      <c r="CR68">
        <v>1.7</v>
      </c>
      <c r="CS68">
        <v>3.16</v>
      </c>
      <c r="CT68">
        <v>1.38</v>
      </c>
      <c r="CU68">
        <v>0.35</v>
      </c>
      <c r="CV68">
        <v>0.35</v>
      </c>
      <c r="CW68">
        <v>0.35</v>
      </c>
      <c r="CX68">
        <v>0.35</v>
      </c>
      <c r="CY68">
        <v>0.35</v>
      </c>
    </row>
    <row r="69" spans="1:103" x14ac:dyDescent="0.3">
      <c r="A69">
        <f t="shared" si="4"/>
        <v>2023</v>
      </c>
      <c r="B69" s="1">
        <v>44927</v>
      </c>
      <c r="C69">
        <v>100176100000</v>
      </c>
      <c r="D69">
        <v>17663220000</v>
      </c>
      <c r="E69">
        <v>532092500000</v>
      </c>
      <c r="F69">
        <v>119699400000</v>
      </c>
      <c r="G69">
        <v>412367800000</v>
      </c>
      <c r="H69">
        <v>67565000000</v>
      </c>
      <c r="I69">
        <v>180947000000</v>
      </c>
      <c r="J69">
        <v>33597000000</v>
      </c>
      <c r="K69">
        <v>52538000000</v>
      </c>
      <c r="L69">
        <v>11189000000</v>
      </c>
      <c r="M69">
        <v>99359500000</v>
      </c>
      <c r="N69">
        <v>13943050000</v>
      </c>
      <c r="O69">
        <v>528807100000</v>
      </c>
      <c r="P69">
        <v>107907000000</v>
      </c>
      <c r="Q69">
        <v>58451000000</v>
      </c>
      <c r="R69">
        <v>384228100000</v>
      </c>
      <c r="S69">
        <v>167048000000</v>
      </c>
      <c r="T69">
        <v>30853000000</v>
      </c>
      <c r="U69">
        <v>10222000000</v>
      </c>
      <c r="V69">
        <v>55555000000</v>
      </c>
      <c r="W69">
        <v>-1.40195</v>
      </c>
      <c r="X69">
        <v>-1.8117030000000001</v>
      </c>
      <c r="Y69">
        <v>-3.4961980000000001</v>
      </c>
      <c r="Z69">
        <v>-3.5878000000000001</v>
      </c>
      <c r="AA69">
        <v>0.32680799999999999</v>
      </c>
      <c r="AB69">
        <v>237093700000</v>
      </c>
      <c r="AC69">
        <v>144448000000</v>
      </c>
      <c r="AD69">
        <v>1455683000000</v>
      </c>
      <c r="AE69">
        <v>995682000000</v>
      </c>
      <c r="AF69">
        <v>457397000000</v>
      </c>
      <c r="AG69">
        <v>66045440000</v>
      </c>
      <c r="AH69">
        <v>43563000000</v>
      </c>
      <c r="AI69">
        <v>357078000000</v>
      </c>
      <c r="AJ69">
        <v>321787000000</v>
      </c>
      <c r="AK69">
        <v>156259000000</v>
      </c>
      <c r="AL69">
        <v>65417310000</v>
      </c>
      <c r="AM69">
        <v>37572000000</v>
      </c>
      <c r="AN69">
        <v>446580000000</v>
      </c>
      <c r="AO69">
        <v>291446000000</v>
      </c>
      <c r="AP69">
        <v>118832000000</v>
      </c>
      <c r="AQ69">
        <v>71740470000</v>
      </c>
      <c r="AR69">
        <v>33987000000</v>
      </c>
      <c r="AS69">
        <v>413490000000</v>
      </c>
      <c r="AT69">
        <v>263886000000.00003</v>
      </c>
      <c r="AU69">
        <v>129202000000</v>
      </c>
      <c r="AV69">
        <v>1528350000</v>
      </c>
      <c r="AW69">
        <v>48176000000</v>
      </c>
      <c r="AX69">
        <v>0</v>
      </c>
      <c r="AY69">
        <v>4271000000</v>
      </c>
      <c r="AZ69">
        <v>5439000000</v>
      </c>
      <c r="BA69">
        <v>249471200000</v>
      </c>
      <c r="BB69">
        <v>152592000000</v>
      </c>
      <c r="BC69">
        <v>1607392000000</v>
      </c>
      <c r="BD69">
        <v>461217000000</v>
      </c>
      <c r="BE69">
        <v>1149966000000</v>
      </c>
      <c r="BF69">
        <v>98315000000</v>
      </c>
      <c r="BG69">
        <v>70153000000</v>
      </c>
      <c r="BH69">
        <v>682143600000</v>
      </c>
      <c r="BI69">
        <v>382684000000</v>
      </c>
      <c r="BJ69">
        <v>264091000000</v>
      </c>
      <c r="BK69">
        <v>10798810000</v>
      </c>
      <c r="BL69">
        <v>2828000000</v>
      </c>
      <c r="BM69">
        <v>69952000000</v>
      </c>
      <c r="BN69">
        <v>38895000000</v>
      </c>
      <c r="BO69">
        <v>17985000000</v>
      </c>
      <c r="BP69">
        <v>87641300000</v>
      </c>
      <c r="BQ69">
        <v>529658800000.00006</v>
      </c>
      <c r="BR69">
        <v>49798000000</v>
      </c>
      <c r="BS69">
        <v>424484000000</v>
      </c>
      <c r="BT69">
        <v>109939000000</v>
      </c>
      <c r="BU69">
        <v>5743060000</v>
      </c>
      <c r="BV69">
        <v>3202000000</v>
      </c>
      <c r="BW69">
        <v>52887200000</v>
      </c>
      <c r="BX69">
        <v>77814000000</v>
      </c>
      <c r="BY69">
        <v>7309000000</v>
      </c>
      <c r="BZ69">
        <v>78.507900000000006</v>
      </c>
      <c r="CA69">
        <v>77.548699999999997</v>
      </c>
      <c r="CB69">
        <v>109.7646</v>
      </c>
      <c r="CC69">
        <v>134.63740000000001</v>
      </c>
      <c r="CD69">
        <v>45.169400000000003</v>
      </c>
      <c r="CE69">
        <v>1.0811440000000001</v>
      </c>
      <c r="CF69">
        <v>8010000000</v>
      </c>
      <c r="CG69">
        <v>6380000000</v>
      </c>
      <c r="CH69">
        <v>-4810000000</v>
      </c>
      <c r="CI69">
        <v>-48870000000</v>
      </c>
      <c r="CJ69">
        <v>-2740000000</v>
      </c>
      <c r="CK69">
        <v>1.6355869999999999</v>
      </c>
      <c r="CL69">
        <v>1.625257</v>
      </c>
      <c r="CM69">
        <v>1.789366</v>
      </c>
      <c r="CN69">
        <v>2.815026</v>
      </c>
      <c r="CO69">
        <v>1.519085</v>
      </c>
      <c r="CP69">
        <v>3.08</v>
      </c>
      <c r="CQ69">
        <v>3.04</v>
      </c>
      <c r="CR69">
        <v>2.99</v>
      </c>
      <c r="CS69">
        <v>4.28</v>
      </c>
      <c r="CT69">
        <v>2.79</v>
      </c>
      <c r="CU69">
        <v>3.43</v>
      </c>
      <c r="CV69">
        <v>3.43</v>
      </c>
      <c r="CW69">
        <v>3.43</v>
      </c>
      <c r="CX69">
        <v>3.43</v>
      </c>
      <c r="CY69">
        <v>3.43</v>
      </c>
    </row>
    <row r="70" spans="1:103" x14ac:dyDescent="0.3">
      <c r="A70">
        <f t="shared" si="4"/>
        <v>2024</v>
      </c>
      <c r="B70" s="1">
        <v>45292</v>
      </c>
      <c r="C70">
        <v>98622600000</v>
      </c>
      <c r="D70">
        <v>18646470000</v>
      </c>
      <c r="E70">
        <v>526001800000</v>
      </c>
      <c r="F70">
        <v>126084400000</v>
      </c>
      <c r="G70">
        <v>404281200000</v>
      </c>
      <c r="H70">
        <v>77208000000</v>
      </c>
      <c r="I70">
        <v>187684000000</v>
      </c>
      <c r="J70">
        <v>36113000000</v>
      </c>
      <c r="K70">
        <v>47278000000</v>
      </c>
      <c r="L70">
        <v>12139000000</v>
      </c>
      <c r="M70">
        <v>103579300000</v>
      </c>
      <c r="N70">
        <v>14691270000</v>
      </c>
      <c r="P70">
        <v>107907000000</v>
      </c>
      <c r="Q70">
        <v>62710000000</v>
      </c>
      <c r="R70">
        <v>389255000000</v>
      </c>
      <c r="S70">
        <v>178337100000</v>
      </c>
      <c r="T70">
        <v>32259000000</v>
      </c>
      <c r="U70">
        <v>10248000000</v>
      </c>
      <c r="V70">
        <v>56280050000</v>
      </c>
      <c r="W70">
        <v>-3.150801</v>
      </c>
      <c r="X70">
        <v>-2.8304830000000001</v>
      </c>
      <c r="Y70">
        <v>-3.736291</v>
      </c>
      <c r="Z70">
        <v>0.43942500000000001</v>
      </c>
      <c r="AA70">
        <v>-0.19248499999999999</v>
      </c>
      <c r="AB70">
        <v>248824800000</v>
      </c>
      <c r="AC70">
        <v>147025000000</v>
      </c>
      <c r="AD70">
        <v>1500636000000</v>
      </c>
      <c r="AE70">
        <v>1032867000000</v>
      </c>
      <c r="AF70">
        <v>487336000000</v>
      </c>
      <c r="AG70">
        <v>69284980000</v>
      </c>
      <c r="AH70">
        <v>44324000000</v>
      </c>
      <c r="AI70">
        <v>366049000000</v>
      </c>
      <c r="AJ70">
        <v>343185000000</v>
      </c>
      <c r="AK70">
        <v>168193000000</v>
      </c>
      <c r="AL70">
        <v>67517860000</v>
      </c>
      <c r="AM70">
        <v>38437000000</v>
      </c>
      <c r="AN70">
        <v>453679000000</v>
      </c>
      <c r="AO70">
        <v>309128000000</v>
      </c>
      <c r="AP70">
        <v>125593000000</v>
      </c>
      <c r="AQ70">
        <v>77504280000</v>
      </c>
      <c r="AR70">
        <v>32671000000</v>
      </c>
      <c r="AS70">
        <v>431065000000</v>
      </c>
      <c r="AT70">
        <v>275193000000</v>
      </c>
      <c r="AU70">
        <v>135341000000.00002</v>
      </c>
      <c r="AV70">
        <v>1544160000</v>
      </c>
      <c r="AW70">
        <v>51216000000</v>
      </c>
      <c r="AX70">
        <v>0</v>
      </c>
      <c r="AY70">
        <v>4418000000</v>
      </c>
      <c r="AZ70">
        <v>5894000000</v>
      </c>
      <c r="BA70">
        <v>271309300000</v>
      </c>
      <c r="BB70">
        <v>159184000000</v>
      </c>
      <c r="BC70">
        <v>1670208000000</v>
      </c>
      <c r="BD70">
        <v>497420000000</v>
      </c>
      <c r="BE70">
        <v>1108414000000</v>
      </c>
      <c r="BF70">
        <v>106766400000</v>
      </c>
      <c r="BG70">
        <v>71872000000</v>
      </c>
      <c r="BH70">
        <v>702498600000</v>
      </c>
      <c r="BI70">
        <v>400720000000</v>
      </c>
      <c r="BJ70">
        <v>289059000000</v>
      </c>
      <c r="BK70">
        <v>9581780000</v>
      </c>
      <c r="BL70">
        <v>3237000000</v>
      </c>
      <c r="BM70">
        <v>57670000000</v>
      </c>
      <c r="BN70">
        <v>36291000000</v>
      </c>
      <c r="BO70">
        <v>15393000000</v>
      </c>
      <c r="BP70">
        <v>97148900000</v>
      </c>
      <c r="BQ70">
        <v>561799800000</v>
      </c>
      <c r="BR70">
        <v>52177000000</v>
      </c>
      <c r="BS70">
        <v>446007000000</v>
      </c>
      <c r="BT70">
        <v>118188000000</v>
      </c>
      <c r="BU70">
        <v>7299480000</v>
      </c>
      <c r="BV70">
        <v>4342000000</v>
      </c>
      <c r="BW70">
        <v>60261200000</v>
      </c>
      <c r="BX70">
        <v>85180000000</v>
      </c>
      <c r="BY70">
        <v>7901000000</v>
      </c>
      <c r="BZ70">
        <v>81.780100000000004</v>
      </c>
      <c r="CA70">
        <v>82.0869</v>
      </c>
      <c r="CB70">
        <v>112.9765</v>
      </c>
      <c r="CC70">
        <v>135.3262</v>
      </c>
      <c r="CD70">
        <v>43.345300000000002</v>
      </c>
      <c r="CE70">
        <v>1.0823799999999999</v>
      </c>
      <c r="CF70">
        <v>130000000</v>
      </c>
      <c r="CG70">
        <v>3000000000</v>
      </c>
      <c r="CH70">
        <v>33170000000</v>
      </c>
      <c r="CI70">
        <v>21400000000</v>
      </c>
      <c r="CJ70">
        <v>-730000000</v>
      </c>
      <c r="CK70">
        <v>1.9647589999999999</v>
      </c>
      <c r="CL70">
        <v>2.0525769999999999</v>
      </c>
      <c r="CM70">
        <v>1.9423170000000001</v>
      </c>
      <c r="CN70">
        <v>2.9683090000000001</v>
      </c>
      <c r="CO70">
        <v>1.6384369999999999</v>
      </c>
      <c r="CP70">
        <v>2.84</v>
      </c>
      <c r="CQ70">
        <v>2.85</v>
      </c>
      <c r="CR70">
        <v>2.97</v>
      </c>
      <c r="CS70">
        <v>3.71</v>
      </c>
      <c r="CT70">
        <v>2.62</v>
      </c>
      <c r="CU70">
        <v>3.57</v>
      </c>
      <c r="CV70">
        <v>3.57</v>
      </c>
      <c r="CW70">
        <v>3.57</v>
      </c>
      <c r="CX70">
        <v>3.57</v>
      </c>
      <c r="CY70">
        <v>3.57</v>
      </c>
    </row>
    <row r="71" spans="1:103" x14ac:dyDescent="0.3">
      <c r="A71">
        <f t="shared" si="4"/>
        <v>2025</v>
      </c>
      <c r="B71" s="1">
        <v>45658</v>
      </c>
      <c r="C71">
        <v>97336000000</v>
      </c>
      <c r="D71">
        <v>19466910000</v>
      </c>
      <c r="E71">
        <v>527962200000.00006</v>
      </c>
      <c r="F71">
        <v>127932200000</v>
      </c>
      <c r="G71">
        <v>404698000000</v>
      </c>
      <c r="H71">
        <v>84675860000</v>
      </c>
      <c r="I71">
        <v>194593900000</v>
      </c>
      <c r="J71">
        <v>37986700000</v>
      </c>
      <c r="K71">
        <v>48096570000</v>
      </c>
      <c r="L71">
        <v>13892000000</v>
      </c>
      <c r="M71">
        <v>104791300000</v>
      </c>
      <c r="N71">
        <v>15132010000</v>
      </c>
      <c r="P71">
        <v>110604700000</v>
      </c>
      <c r="Q71">
        <v>64591300000.000008</v>
      </c>
      <c r="R71">
        <v>397731000000</v>
      </c>
      <c r="S71">
        <v>186854300000</v>
      </c>
      <c r="T71">
        <v>33963580000</v>
      </c>
      <c r="U71">
        <v>10248000000</v>
      </c>
      <c r="V71">
        <v>56924060000</v>
      </c>
      <c r="W71">
        <v>-2.6504979999999998</v>
      </c>
      <c r="X71">
        <v>-2.2289940000000001</v>
      </c>
      <c r="Y71">
        <v>-3.1106919999999998</v>
      </c>
      <c r="Z71">
        <v>0.63001499999999999</v>
      </c>
      <c r="AA71">
        <v>-1.3730880000000001</v>
      </c>
      <c r="AB71">
        <v>258550500000</v>
      </c>
      <c r="AC71">
        <v>152745400000</v>
      </c>
      <c r="AD71">
        <v>1556648000000</v>
      </c>
      <c r="AE71">
        <v>1076019000000</v>
      </c>
      <c r="AF71">
        <v>502232600000</v>
      </c>
      <c r="AG71">
        <v>69908540000</v>
      </c>
      <c r="AH71">
        <v>45919660000</v>
      </c>
      <c r="AI71">
        <v>384045300000</v>
      </c>
      <c r="AJ71">
        <v>342241700000</v>
      </c>
      <c r="AK71">
        <v>167961200000</v>
      </c>
      <c r="AL71">
        <v>72924790000</v>
      </c>
      <c r="AM71">
        <v>40265100000</v>
      </c>
      <c r="AN71">
        <v>470453400000</v>
      </c>
      <c r="AO71">
        <v>315293900000</v>
      </c>
      <c r="AP71">
        <v>131302200000</v>
      </c>
      <c r="AQ71">
        <v>81216740000</v>
      </c>
      <c r="AR71">
        <v>33977840000</v>
      </c>
      <c r="AS71">
        <v>443397200000</v>
      </c>
      <c r="AT71">
        <v>300230800000</v>
      </c>
      <c r="AU71">
        <v>143919400000</v>
      </c>
      <c r="AV71">
        <v>1626030000</v>
      </c>
      <c r="AW71">
        <v>52999250000</v>
      </c>
      <c r="AX71">
        <v>0</v>
      </c>
      <c r="AY71">
        <v>4819960000</v>
      </c>
      <c r="AZ71">
        <v>6098714000</v>
      </c>
      <c r="BA71">
        <v>280344800000</v>
      </c>
      <c r="BB71">
        <v>163332700000</v>
      </c>
      <c r="BC71">
        <v>1723587000000</v>
      </c>
      <c r="BD71">
        <v>527540700000</v>
      </c>
      <c r="BE71">
        <v>1149658000000</v>
      </c>
      <c r="BF71">
        <v>110863600000</v>
      </c>
      <c r="BG71">
        <v>73229520000</v>
      </c>
      <c r="BH71">
        <v>721908700000</v>
      </c>
      <c r="BI71">
        <v>413310300000</v>
      </c>
      <c r="BJ71">
        <v>305446100000</v>
      </c>
      <c r="BK71">
        <v>8931090000</v>
      </c>
      <c r="BL71">
        <v>3393618000</v>
      </c>
      <c r="BM71">
        <v>55448580000</v>
      </c>
      <c r="BN71">
        <v>29849960000</v>
      </c>
      <c r="BO71">
        <v>16815960000</v>
      </c>
      <c r="BP71">
        <v>103269200000</v>
      </c>
      <c r="BQ71">
        <v>580276000000</v>
      </c>
      <c r="BR71">
        <v>52855300000</v>
      </c>
      <c r="BS71">
        <v>460716600000</v>
      </c>
      <c r="BT71">
        <v>129306800000.00002</v>
      </c>
      <c r="BU71">
        <v>8613386000</v>
      </c>
      <c r="BV71">
        <v>4259502000.0000005</v>
      </c>
      <c r="BW71">
        <v>73820990000</v>
      </c>
      <c r="BX71">
        <v>87852300000</v>
      </c>
      <c r="BY71">
        <v>8946850000</v>
      </c>
      <c r="BZ71">
        <v>84.037000000000006</v>
      </c>
      <c r="CA71">
        <v>85.586100000000002</v>
      </c>
      <c r="CB71">
        <v>116.0325</v>
      </c>
      <c r="CC71">
        <v>136.66319999999999</v>
      </c>
      <c r="CD71">
        <v>44.959299999999999</v>
      </c>
      <c r="CE71">
        <v>1.1135200000000001</v>
      </c>
      <c r="CF71">
        <v>1990000000</v>
      </c>
      <c r="CG71">
        <v>5680000000</v>
      </c>
      <c r="CH71">
        <v>1220000000</v>
      </c>
      <c r="CI71">
        <v>43050000000</v>
      </c>
      <c r="CJ71">
        <v>18830000000</v>
      </c>
      <c r="CK71">
        <v>2.1854119999999999</v>
      </c>
      <c r="CL71">
        <v>1.878908</v>
      </c>
      <c r="CM71">
        <v>2.233422</v>
      </c>
      <c r="CN71">
        <v>2.9613830000000001</v>
      </c>
      <c r="CO71">
        <v>1.82</v>
      </c>
    </row>
    <row r="72" spans="1:103" x14ac:dyDescent="0.3">
      <c r="A72">
        <f t="shared" ref="A72" si="5">A71+1</f>
        <v>2026</v>
      </c>
      <c r="B72" s="1">
        <v>46023</v>
      </c>
      <c r="C72">
        <v>100388100000</v>
      </c>
      <c r="D72">
        <v>20498660000</v>
      </c>
      <c r="E72">
        <v>545198400000</v>
      </c>
      <c r="F72">
        <v>129007000000</v>
      </c>
      <c r="G72">
        <v>413922700000</v>
      </c>
      <c r="H72">
        <v>89625330000</v>
      </c>
      <c r="I72">
        <v>198395000000</v>
      </c>
      <c r="J72">
        <v>40389460000</v>
      </c>
      <c r="K72">
        <v>50805480000</v>
      </c>
      <c r="L72">
        <v>14128160000</v>
      </c>
      <c r="M72">
        <v>107149900000</v>
      </c>
      <c r="N72">
        <v>15495180000</v>
      </c>
      <c r="P72">
        <v>113369800000</v>
      </c>
      <c r="Q72">
        <v>66529039999.999992</v>
      </c>
      <c r="R72">
        <v>408468300000</v>
      </c>
      <c r="S72">
        <v>192047500000</v>
      </c>
      <c r="T72">
        <v>35916640000</v>
      </c>
      <c r="U72">
        <v>10248000000</v>
      </c>
      <c r="V72">
        <v>58207390000</v>
      </c>
      <c r="W72">
        <v>-2.4347349999999999</v>
      </c>
      <c r="X72">
        <v>-1.7331559999999999</v>
      </c>
      <c r="Y72">
        <v>-2.7760630000000002</v>
      </c>
      <c r="Z72">
        <v>1.097933</v>
      </c>
      <c r="AA72">
        <v>-1.950895</v>
      </c>
      <c r="AB72">
        <v>267231800000.00003</v>
      </c>
      <c r="AC72">
        <v>157047700000</v>
      </c>
      <c r="AD72">
        <v>1596379000000</v>
      </c>
      <c r="AE72">
        <v>1108859000000</v>
      </c>
      <c r="AF72">
        <v>525534800000</v>
      </c>
      <c r="AG72">
        <v>72145620000</v>
      </c>
      <c r="AH72">
        <v>47021740000</v>
      </c>
      <c r="AI72">
        <v>398791700000</v>
      </c>
      <c r="AJ72">
        <v>350582900000</v>
      </c>
      <c r="AK72">
        <v>175517800000</v>
      </c>
      <c r="AL72">
        <v>75629140000</v>
      </c>
      <c r="AM72">
        <v>42353830000</v>
      </c>
      <c r="AN72">
        <v>484973700000</v>
      </c>
      <c r="AO72">
        <v>322383100000</v>
      </c>
      <c r="AP72">
        <v>139857900000</v>
      </c>
      <c r="AQ72">
        <v>84108050000</v>
      </c>
      <c r="AR72">
        <v>34623420000</v>
      </c>
      <c r="AS72">
        <v>452291500000</v>
      </c>
      <c r="AT72">
        <v>308787600000</v>
      </c>
      <c r="AU72">
        <v>150120700000</v>
      </c>
      <c r="AV72">
        <v>1717054000</v>
      </c>
      <c r="AW72">
        <v>55006070000</v>
      </c>
      <c r="AX72">
        <v>0</v>
      </c>
      <c r="AY72">
        <v>4957330000</v>
      </c>
      <c r="AZ72">
        <v>6198916000</v>
      </c>
      <c r="BA72">
        <v>288943100000</v>
      </c>
      <c r="BB72">
        <v>167120600000</v>
      </c>
      <c r="BC72">
        <v>1771500000000</v>
      </c>
      <c r="BD72">
        <v>559486000000</v>
      </c>
      <c r="BE72">
        <v>1175609000000</v>
      </c>
      <c r="BF72">
        <v>113889600000</v>
      </c>
      <c r="BG72">
        <v>74282440000</v>
      </c>
      <c r="BH72">
        <v>744539800000</v>
      </c>
      <c r="BI72">
        <v>422835000000</v>
      </c>
      <c r="BJ72">
        <v>319920700000</v>
      </c>
      <c r="BK72">
        <v>8728280000</v>
      </c>
      <c r="BL72">
        <v>3425177000</v>
      </c>
      <c r="BM72">
        <v>55157330000</v>
      </c>
      <c r="BN72">
        <v>31839440000</v>
      </c>
      <c r="BO72">
        <v>17777980000</v>
      </c>
      <c r="BP72">
        <v>106780400000</v>
      </c>
      <c r="BQ72">
        <v>589508300000</v>
      </c>
      <c r="BR72">
        <v>54018120000</v>
      </c>
      <c r="BS72">
        <v>472075300000</v>
      </c>
      <c r="BT72">
        <v>135692500000</v>
      </c>
      <c r="BU72">
        <v>9216323000</v>
      </c>
      <c r="BV72">
        <v>5004915000</v>
      </c>
      <c r="BW72">
        <v>89643070000</v>
      </c>
      <c r="BX72">
        <v>92180900000</v>
      </c>
      <c r="BY72">
        <v>9794460000</v>
      </c>
      <c r="BZ72">
        <v>85.764300000000006</v>
      </c>
      <c r="CA72">
        <v>87.534300000000002</v>
      </c>
      <c r="CB72">
        <v>118.4478</v>
      </c>
      <c r="CC72">
        <v>138.19810000000001</v>
      </c>
      <c r="CD72">
        <v>47.766500000000001</v>
      </c>
      <c r="CE72">
        <v>1.1346799999999999</v>
      </c>
      <c r="CF72">
        <v>510000000</v>
      </c>
      <c r="CG72">
        <v>2920000000</v>
      </c>
      <c r="CH72">
        <v>-1430000000</v>
      </c>
      <c r="CI72">
        <v>50930000000</v>
      </c>
      <c r="CJ72">
        <v>21790000000</v>
      </c>
      <c r="CK72">
        <v>2.2053129999999999</v>
      </c>
      <c r="CL72">
        <v>2.0599240000000001</v>
      </c>
      <c r="CM72">
        <v>2.58081</v>
      </c>
      <c r="CN72">
        <v>2.9896929999999999</v>
      </c>
      <c r="CO72">
        <v>1.828281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036-9DA8-4B02-B61A-D1E45C15DBCC}">
  <dimension ref="A4:B53"/>
  <sheetViews>
    <sheetView topLeftCell="A31" workbookViewId="0">
      <selection activeCell="B5" sqref="B5:B53"/>
    </sheetView>
  </sheetViews>
  <sheetFormatPr defaultRowHeight="14.4" x14ac:dyDescent="0.3"/>
  <cols>
    <col min="1" max="1" width="10.109375" bestFit="1" customWidth="1"/>
    <col min="2" max="2" width="12" bestFit="1" customWidth="1"/>
  </cols>
  <sheetData>
    <row r="4" spans="1:2" x14ac:dyDescent="0.3">
      <c r="B4" t="s">
        <v>122</v>
      </c>
    </row>
    <row r="5" spans="1:2" x14ac:dyDescent="0.3">
      <c r="A5" s="1">
        <v>28491</v>
      </c>
      <c r="B5">
        <v>180064000000</v>
      </c>
    </row>
    <row r="6" spans="1:2" x14ac:dyDescent="0.3">
      <c r="A6" s="1">
        <v>28856</v>
      </c>
      <c r="B6">
        <v>203739000000</v>
      </c>
    </row>
    <row r="7" spans="1:2" x14ac:dyDescent="0.3">
      <c r="A7" s="1">
        <v>29221</v>
      </c>
      <c r="B7">
        <v>234311000000</v>
      </c>
    </row>
    <row r="8" spans="1:2" x14ac:dyDescent="0.3">
      <c r="A8" s="1">
        <v>29587</v>
      </c>
      <c r="B8">
        <v>271156000000</v>
      </c>
    </row>
    <row r="9" spans="1:2" x14ac:dyDescent="0.3">
      <c r="A9" s="1">
        <v>29952</v>
      </c>
      <c r="B9">
        <v>300263000000</v>
      </c>
    </row>
    <row r="10" spans="1:2" x14ac:dyDescent="0.3">
      <c r="A10" s="1">
        <v>30317</v>
      </c>
      <c r="B10">
        <v>319801000000</v>
      </c>
    </row>
    <row r="11" spans="1:2" x14ac:dyDescent="0.3">
      <c r="A11" s="1">
        <v>30682</v>
      </c>
      <c r="B11">
        <v>348755000000</v>
      </c>
    </row>
    <row r="12" spans="1:2" x14ac:dyDescent="0.3">
      <c r="A12" s="1">
        <v>31048</v>
      </c>
      <c r="B12">
        <v>382625000000</v>
      </c>
    </row>
    <row r="13" spans="1:2" x14ac:dyDescent="0.3">
      <c r="A13" s="1">
        <v>31413</v>
      </c>
      <c r="B13">
        <v>407853000000</v>
      </c>
    </row>
    <row r="14" spans="1:2" x14ac:dyDescent="0.3">
      <c r="A14" s="1">
        <v>31778</v>
      </c>
      <c r="B14">
        <v>415853000000</v>
      </c>
    </row>
    <row r="15" spans="1:2" x14ac:dyDescent="0.3">
      <c r="A15" s="1">
        <v>32143</v>
      </c>
      <c r="B15">
        <v>436808000000</v>
      </c>
    </row>
    <row r="16" spans="1:2" x14ac:dyDescent="0.3">
      <c r="A16" s="1">
        <v>32509</v>
      </c>
      <c r="B16">
        <v>460696000000</v>
      </c>
    </row>
    <row r="17" spans="1:2" x14ac:dyDescent="0.3">
      <c r="A17" s="1">
        <v>32874</v>
      </c>
      <c r="B17">
        <v>501082000000</v>
      </c>
    </row>
    <row r="18" spans="1:2" x14ac:dyDescent="0.3">
      <c r="A18" s="1">
        <v>33239</v>
      </c>
      <c r="B18">
        <v>526524000000</v>
      </c>
    </row>
    <row r="19" spans="1:2" x14ac:dyDescent="0.3">
      <c r="A19" s="1">
        <v>33604</v>
      </c>
      <c r="B19">
        <v>569713000000</v>
      </c>
    </row>
    <row r="20" spans="1:2" x14ac:dyDescent="0.3">
      <c r="A20" s="1">
        <v>33970</v>
      </c>
      <c r="B20">
        <v>623457000000</v>
      </c>
    </row>
    <row r="21" spans="1:2" x14ac:dyDescent="0.3">
      <c r="A21" s="1">
        <v>34335</v>
      </c>
      <c r="B21">
        <v>642249000000</v>
      </c>
    </row>
    <row r="22" spans="1:2" x14ac:dyDescent="0.3">
      <c r="A22" s="1">
        <v>34700</v>
      </c>
      <c r="B22">
        <v>683969000000</v>
      </c>
    </row>
    <row r="23" spans="1:2" x14ac:dyDescent="0.3">
      <c r="A23" s="1">
        <v>35065</v>
      </c>
      <c r="B23">
        <v>705685000000</v>
      </c>
    </row>
    <row r="24" spans="1:2" x14ac:dyDescent="0.3">
      <c r="A24" s="1">
        <v>35431</v>
      </c>
      <c r="B24">
        <v>710900000000</v>
      </c>
    </row>
    <row r="25" spans="1:2" x14ac:dyDescent="0.3">
      <c r="A25" s="1">
        <v>35796</v>
      </c>
      <c r="B25">
        <v>722110000000</v>
      </c>
    </row>
    <row r="26" spans="1:2" x14ac:dyDescent="0.3">
      <c r="A26" s="1">
        <v>36161</v>
      </c>
      <c r="B26">
        <v>748589000000</v>
      </c>
    </row>
    <row r="27" spans="1:2" x14ac:dyDescent="0.3">
      <c r="A27" s="1">
        <v>36526</v>
      </c>
      <c r="B27">
        <v>775349000000</v>
      </c>
    </row>
    <row r="28" spans="1:2" x14ac:dyDescent="0.3">
      <c r="A28" s="1">
        <v>36892</v>
      </c>
      <c r="B28">
        <v>808226000000</v>
      </c>
    </row>
    <row r="29" spans="1:2" x14ac:dyDescent="0.3">
      <c r="A29" s="1">
        <v>37257</v>
      </c>
      <c r="B29">
        <v>851107000000</v>
      </c>
    </row>
    <row r="30" spans="1:2" x14ac:dyDescent="0.3">
      <c r="A30" s="1">
        <v>37622</v>
      </c>
      <c r="B30">
        <v>881786000000</v>
      </c>
    </row>
    <row r="31" spans="1:2" x14ac:dyDescent="0.3">
      <c r="A31" s="1">
        <v>37987</v>
      </c>
      <c r="B31">
        <v>915906000000</v>
      </c>
    </row>
    <row r="32" spans="1:2" x14ac:dyDescent="0.3">
      <c r="A32" s="1">
        <v>38353</v>
      </c>
      <c r="B32">
        <v>956143000000</v>
      </c>
    </row>
    <row r="33" spans="1:2" x14ac:dyDescent="0.3">
      <c r="A33" s="1">
        <v>38718</v>
      </c>
      <c r="B33">
        <v>992241000000</v>
      </c>
    </row>
    <row r="34" spans="1:2" x14ac:dyDescent="0.3">
      <c r="A34" s="1">
        <v>39083</v>
      </c>
      <c r="B34">
        <v>1039288000000</v>
      </c>
    </row>
    <row r="35" spans="1:2" x14ac:dyDescent="0.3">
      <c r="A35" s="1">
        <v>39448</v>
      </c>
      <c r="B35">
        <v>1080221000000</v>
      </c>
    </row>
    <row r="36" spans="1:2" x14ac:dyDescent="0.3">
      <c r="A36" s="1">
        <v>39814</v>
      </c>
      <c r="B36">
        <v>1122607000000</v>
      </c>
    </row>
    <row r="37" spans="1:2" x14ac:dyDescent="0.3">
      <c r="A37" s="1">
        <v>40179</v>
      </c>
      <c r="B37">
        <v>1151962000000</v>
      </c>
    </row>
    <row r="38" spans="1:2" x14ac:dyDescent="0.3">
      <c r="A38" s="1">
        <v>40544</v>
      </c>
      <c r="B38">
        <v>1175705000000</v>
      </c>
    </row>
    <row r="39" spans="1:2" x14ac:dyDescent="0.3">
      <c r="A39" s="1">
        <v>40909</v>
      </c>
      <c r="B39">
        <v>1208953000000</v>
      </c>
    </row>
    <row r="40" spans="1:2" x14ac:dyDescent="0.3">
      <c r="A40" s="1">
        <v>41275</v>
      </c>
      <c r="B40">
        <v>1242358000000</v>
      </c>
    </row>
    <row r="41" spans="1:2" x14ac:dyDescent="0.3">
      <c r="A41" s="1">
        <v>41640</v>
      </c>
      <c r="B41">
        <v>1257649000000</v>
      </c>
    </row>
    <row r="42" spans="1:2" x14ac:dyDescent="0.3">
      <c r="A42" s="1">
        <v>42005</v>
      </c>
      <c r="B42">
        <v>1268008000000</v>
      </c>
    </row>
    <row r="43" spans="1:2" x14ac:dyDescent="0.3">
      <c r="A43" s="1">
        <v>42370</v>
      </c>
      <c r="B43">
        <v>1280648000000</v>
      </c>
    </row>
    <row r="44" spans="1:2" x14ac:dyDescent="0.3">
      <c r="A44" s="1">
        <v>42736</v>
      </c>
      <c r="B44">
        <v>1321445000000</v>
      </c>
    </row>
    <row r="45" spans="1:2" x14ac:dyDescent="0.3">
      <c r="A45" s="1">
        <v>43101</v>
      </c>
      <c r="B45">
        <v>1327632000000</v>
      </c>
    </row>
    <row r="46" spans="1:2" x14ac:dyDescent="0.3">
      <c r="A46" s="1">
        <v>43466</v>
      </c>
      <c r="B46">
        <v>1346155000000</v>
      </c>
    </row>
    <row r="47" spans="1:2" x14ac:dyDescent="0.3">
      <c r="A47" s="1">
        <v>43831</v>
      </c>
      <c r="B47">
        <v>1430357000000</v>
      </c>
    </row>
    <row r="48" spans="1:2" x14ac:dyDescent="0.3">
      <c r="A48" s="1">
        <v>44197</v>
      </c>
      <c r="B48">
        <v>1491381000000</v>
      </c>
    </row>
    <row r="49" spans="1:2" x14ac:dyDescent="0.3">
      <c r="A49" s="1">
        <v>44562</v>
      </c>
      <c r="B49">
        <v>1550331000000</v>
      </c>
    </row>
    <row r="50" spans="1:2" x14ac:dyDescent="0.3">
      <c r="A50" s="1">
        <v>44927</v>
      </c>
      <c r="B50">
        <v>1607392000000</v>
      </c>
    </row>
    <row r="51" spans="1:2" x14ac:dyDescent="0.3">
      <c r="A51" s="1">
        <v>45292</v>
      </c>
      <c r="B51">
        <v>1670208000000</v>
      </c>
    </row>
    <row r="52" spans="1:2" x14ac:dyDescent="0.3">
      <c r="A52" s="1">
        <v>45658</v>
      </c>
      <c r="B52">
        <v>1723587000000</v>
      </c>
    </row>
    <row r="53" spans="1:2" x14ac:dyDescent="0.3">
      <c r="A53" s="1">
        <v>46023</v>
      </c>
      <c r="B53">
        <v>1771500000000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99060</xdr:colOff>
                <xdr:row>1</xdr:row>
                <xdr:rowOff>106680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0122-0E0D-4F58-9B3D-CF63A5566849}">
  <dimension ref="B2:E102"/>
  <sheetViews>
    <sheetView workbookViewId="0">
      <selection activeCell="E22" sqref="E22"/>
    </sheetView>
  </sheetViews>
  <sheetFormatPr defaultRowHeight="14.4" x14ac:dyDescent="0.3"/>
  <cols>
    <col min="4" max="4" width="63.33203125" customWidth="1"/>
    <col min="5" max="5" width="27.21875" customWidth="1"/>
  </cols>
  <sheetData>
    <row r="2" spans="2:5" x14ac:dyDescent="0.3">
      <c r="B2" t="str" cm="1">
        <f t="array" ref="B2:B102">TRANSPOSE(Sheet1!C2:CY2)</f>
        <v>Capital Formation &amp; Saving, Gross Fixed Capital Formation, Private Sector, Current Prices, EUR</v>
      </c>
      <c r="C2" t="s">
        <v>102</v>
      </c>
      <c r="D2" t="str" cm="1">
        <f t="array" ref="D2:D22">_xlfn.UNIQUE(_xlfn.ANCHORARRAY(B2))</f>
        <v>Capital Formation &amp; Saving, Gross Fixed Capital Formation, Private Sector, Current Prices, EUR</v>
      </c>
      <c r="E2" t="s">
        <v>101</v>
      </c>
    </row>
    <row r="3" spans="2:5" x14ac:dyDescent="0.3">
      <c r="B3" t="str">
        <v>Capital Formation &amp; Saving, Gross Fixed Capital Formation, General Government, Current Prices, EUR</v>
      </c>
      <c r="C3" t="s">
        <v>102</v>
      </c>
      <c r="D3" t="str">
        <v>Capital Formation &amp; Saving, Gross Fixed Capital Formation, General Government, Current Prices, EUR</v>
      </c>
      <c r="E3" t="s">
        <v>100</v>
      </c>
    </row>
    <row r="4" spans="2:5" x14ac:dyDescent="0.3">
      <c r="B4" t="str">
        <v>Capital Formation &amp; Saving, Gross Fixed Capital Formation, Private Sector, Current Prices, EUR</v>
      </c>
      <c r="C4" t="s">
        <v>102</v>
      </c>
      <c r="D4" t="str">
        <v>Capital Formation &amp; Saving, Consumption of Fixed Capital, Total, Current Prices, EUR</v>
      </c>
      <c r="E4" t="s">
        <v>103</v>
      </c>
    </row>
    <row r="5" spans="2:5" x14ac:dyDescent="0.3">
      <c r="B5" t="str">
        <v>Capital Formation &amp; Saving, Gross Fixed Capital Formation, General Government, Current Prices, EUR</v>
      </c>
      <c r="C5" t="s">
        <v>102</v>
      </c>
      <c r="D5" t="str">
        <v>Capital Formation &amp; Saving, Consumption of Fixed Capital, General Government, Current Prices, EUR</v>
      </c>
      <c r="E5" t="s">
        <v>104</v>
      </c>
    </row>
    <row r="6" spans="2:5" x14ac:dyDescent="0.3">
      <c r="B6" t="str">
        <v>Capital Formation &amp; Saving, Gross Fixed Capital Formation, Private Sector, Current Prices, EUR</v>
      </c>
      <c r="C6" t="s">
        <v>102</v>
      </c>
      <c r="D6" t="str">
        <v>General Government, Net Lending(ESA2010), Net Lending (+) or Net Borrowing (-) Excluding Interest, Percent of GDP (Excessive Deficit Procedure), Market Prices</v>
      </c>
      <c r="E6" t="s">
        <v>105</v>
      </c>
    </row>
    <row r="7" spans="2:5" x14ac:dyDescent="0.3">
      <c r="B7" t="str">
        <v>Capital Formation &amp; Saving, Gross Fixed Capital Formation, General Government, Current Prices, EUR</v>
      </c>
      <c r="C7" t="s">
        <v>102</v>
      </c>
      <c r="D7" t="str">
        <v>General Government, Revenue(ESA2010), Total Revenue, EUR</v>
      </c>
      <c r="E7" t="s">
        <v>106</v>
      </c>
    </row>
    <row r="8" spans="2:5" x14ac:dyDescent="0.3">
      <c r="B8" t="str">
        <v>Capital Formation &amp; Saving, Gross Fixed Capital Formation, Private Sector, Current Prices, EUR</v>
      </c>
      <c r="C8" t="s">
        <v>102</v>
      </c>
      <c r="D8" t="str">
        <v>General Government, Revenue(ESA2010), Current Taxes on Income &amp; Wealth, Direct Taxes, EUR</v>
      </c>
      <c r="E8" t="s">
        <v>107</v>
      </c>
    </row>
    <row r="9" spans="2:5" x14ac:dyDescent="0.3">
      <c r="B9" t="str">
        <v>Capital Formation &amp; Saving, Gross Fixed Capital Formation, General Government, Current Prices, EUR</v>
      </c>
      <c r="C9" t="s">
        <v>102</v>
      </c>
      <c r="D9" t="str">
        <v>General Government, Revenue(ESA2010), Taxes Linked to Imports &amp; Production, Indirect Taxes, EUR</v>
      </c>
      <c r="E9" t="s">
        <v>108</v>
      </c>
    </row>
    <row r="10" spans="2:5" x14ac:dyDescent="0.3">
      <c r="B10" t="str">
        <v>Capital Formation &amp; Saving, Gross Fixed Capital Formation, Private Sector, Current Prices, EUR</v>
      </c>
      <c r="C10" t="s">
        <v>102</v>
      </c>
      <c r="D10" t="str">
        <v>General Government, Revenue(ESA2010), Actual Social Contributions Received, EUR</v>
      </c>
      <c r="E10" t="s">
        <v>109</v>
      </c>
    </row>
    <row r="11" spans="2:5" x14ac:dyDescent="0.3">
      <c r="B11" t="str">
        <v>Capital Formation &amp; Saving, Gross Fixed Capital Formation, General Government, Current Prices, EUR</v>
      </c>
      <c r="C11" t="s">
        <v>102</v>
      </c>
      <c r="D11" t="str">
        <v>General Government, Revenue(ESA2010), Imputed Social Contributions, EUR</v>
      </c>
      <c r="E11" t="s">
        <v>110</v>
      </c>
    </row>
    <row r="12" spans="2:5" x14ac:dyDescent="0.3">
      <c r="B12" t="str">
        <v>Capital Formation &amp; Saving, Consumption of Fixed Capital, Total, Current Prices, EUR</v>
      </c>
      <c r="C12" t="s">
        <v>102</v>
      </c>
      <c r="D12" t="str">
        <v>General Government, Expenditure(ESA2010), Total Expenditure, EUR</v>
      </c>
      <c r="E12" t="s">
        <v>111</v>
      </c>
    </row>
    <row r="13" spans="2:5" x14ac:dyDescent="0.3">
      <c r="B13" t="str">
        <v>Capital Formation &amp; Saving, Consumption of Fixed Capital, General Government, Current Prices, EUR</v>
      </c>
      <c r="C13" t="s">
        <v>102</v>
      </c>
      <c r="D13" t="str">
        <v>General Government, Expenditure(ESA2010), Final Consumption Expenditure, EUR</v>
      </c>
      <c r="E13" t="s">
        <v>112</v>
      </c>
    </row>
    <row r="14" spans="2:5" x14ac:dyDescent="0.3">
      <c r="B14" t="str">
        <v>Capital Formation &amp; Saving, Consumption of Fixed Capital, Total, Current Prices, EUR</v>
      </c>
      <c r="C14" t="s">
        <v>102</v>
      </c>
      <c r="D14" t="str">
        <v>General Government, Expenditure(ESA2010), Subsidies, EUR</v>
      </c>
      <c r="E14" t="s">
        <v>113</v>
      </c>
    </row>
    <row r="15" spans="2:5" x14ac:dyDescent="0.3">
      <c r="B15" t="str">
        <v>Capital Formation &amp; Saving, Consumption of Fixed Capital, General Government, Current Prices, EUR</v>
      </c>
      <c r="C15" t="s">
        <v>102</v>
      </c>
      <c r="D15" t="str">
        <v>General Government, Expenditure(ESA2010), Social Benefits Other than Social Transfers in Kind, EUR</v>
      </c>
      <c r="E15" t="s">
        <v>114</v>
      </c>
    </row>
    <row r="16" spans="2:5" x14ac:dyDescent="0.3">
      <c r="B16" t="str">
        <v>Capital Formation &amp; Saving, Consumption of Fixed Capital, General Government, Current Prices, EUR</v>
      </c>
      <c r="C16" t="s">
        <v>102</v>
      </c>
      <c r="D16" t="str">
        <v>General Government, Expenditure(ESA2010), Interest, EUR</v>
      </c>
      <c r="E16" t="s">
        <v>115</v>
      </c>
    </row>
    <row r="17" spans="2:5" x14ac:dyDescent="0.3">
      <c r="B17" t="str">
        <v>Capital Formation &amp; Saving, Consumption of Fixed Capital, Total, Current Prices, EUR</v>
      </c>
      <c r="C17" t="s">
        <v>102</v>
      </c>
      <c r="D17" t="str">
        <v>Gross Public Debt, Based on ESA2010, Total, Percent of GDP (Excessive Deficit Procedure), Market Prices</v>
      </c>
      <c r="E17" t="s">
        <v>118</v>
      </c>
    </row>
    <row r="18" spans="2:5" x14ac:dyDescent="0.3">
      <c r="B18" t="str">
        <v>Capital Formation &amp; Saving, Consumption of Fixed Capital, Total, Current Prices, EUR</v>
      </c>
      <c r="C18" t="s">
        <v>102</v>
      </c>
      <c r="D18" t="str">
        <v>Monetary Variables, Exchange Rates &amp; Purchasing Power Parities, National Currency per ECU/EUR (Annual Averages), Average of Period</v>
      </c>
      <c r="E18" t="s">
        <v>117</v>
      </c>
    </row>
    <row r="19" spans="2:5" x14ac:dyDescent="0.3">
      <c r="B19" t="str">
        <v>Capital Formation &amp; Saving, Consumption of Fixed Capital, General Government, Current Prices, EUR</v>
      </c>
      <c r="C19" t="s">
        <v>102</v>
      </c>
      <c r="D19" t="str">
        <v>Gross Public Debt, Based on ESA2010, Stock-Flow Adjustment on Gross Public Debt, EUR</v>
      </c>
      <c r="E19" t="s">
        <v>116</v>
      </c>
    </row>
    <row r="20" spans="2:5" x14ac:dyDescent="0.3">
      <c r="B20" t="str">
        <v>Capital Formation &amp; Saving, Consumption of Fixed Capital, General Government, Current Prices, EUR</v>
      </c>
      <c r="C20" t="s">
        <v>102</v>
      </c>
      <c r="D20" t="str">
        <v>General Government, Expenditure(ESA2010), Implicit Interest Rate, Percentage of Gross Public Debt</v>
      </c>
      <c r="E20" t="s">
        <v>119</v>
      </c>
    </row>
    <row r="21" spans="2:5" x14ac:dyDescent="0.3">
      <c r="B21" t="str">
        <v>Capital Formation &amp; Saving, Consumption of Fixed Capital, Total, Current Prices, EUR</v>
      </c>
      <c r="C21" t="s">
        <v>102</v>
      </c>
      <c r="D21" t="str">
        <v>Monetary Variables, Interest Rates, Nominal, Long-Term, Current Prices</v>
      </c>
      <c r="E21" t="s">
        <v>120</v>
      </c>
    </row>
    <row r="22" spans="2:5" x14ac:dyDescent="0.3">
      <c r="B22" t="str">
        <v>General Government, Net Lending(ESA2010), Net Lending (+) or Net Borrowing (-) Excluding Interest, Percent of GDP (Excessive Deficit Procedure), Market Prices</v>
      </c>
      <c r="C22" t="s">
        <v>102</v>
      </c>
      <c r="D22" t="str">
        <v>Monetary Variables, Interest Rates, Nominal, Short-Term, Current Prices</v>
      </c>
      <c r="E22" t="s">
        <v>121</v>
      </c>
    </row>
    <row r="23" spans="2:5" x14ac:dyDescent="0.3">
      <c r="B23" t="str">
        <v>General Government, Net Lending(ESA2010), Net Lending (+) or Net Borrowing (-) Excluding Interest, Percent of GDP (Excessive Deficit Procedure), Market Prices</v>
      </c>
      <c r="C23" t="s">
        <v>102</v>
      </c>
    </row>
    <row r="24" spans="2:5" x14ac:dyDescent="0.3">
      <c r="B24" t="str">
        <v>General Government, Net Lending(ESA2010), Net Lending (+) or Net Borrowing (-) Excluding Interest, Percent of GDP (Excessive Deficit Procedure), Market Prices</v>
      </c>
      <c r="C24" t="s">
        <v>102</v>
      </c>
    </row>
    <row r="25" spans="2:5" x14ac:dyDescent="0.3">
      <c r="B25" t="str">
        <v>General Government, Net Lending(ESA2010), Net Lending (+) or Net Borrowing (-) Excluding Interest, Percent of GDP (Excessive Deficit Procedure), Market Prices</v>
      </c>
      <c r="C25" t="s">
        <v>102</v>
      </c>
    </row>
    <row r="26" spans="2:5" x14ac:dyDescent="0.3">
      <c r="B26" t="str">
        <v>General Government, Net Lending(ESA2010), Net Lending (+) or Net Borrowing (-) Excluding Interest, Percent of GDP (Excessive Deficit Procedure), Market Prices</v>
      </c>
      <c r="C26" t="s">
        <v>102</v>
      </c>
    </row>
    <row r="27" spans="2:5" x14ac:dyDescent="0.3">
      <c r="B27" t="str">
        <v>General Government, Revenue(ESA2010), Total Revenue, EUR</v>
      </c>
      <c r="C27" t="s">
        <v>102</v>
      </c>
    </row>
    <row r="28" spans="2:5" x14ac:dyDescent="0.3">
      <c r="B28" t="str">
        <v>General Government, Revenue(ESA2010), Total Revenue, EUR</v>
      </c>
      <c r="C28" t="s">
        <v>102</v>
      </c>
    </row>
    <row r="29" spans="2:5" x14ac:dyDescent="0.3">
      <c r="B29" t="str">
        <v>General Government, Revenue(ESA2010), Total Revenue, EUR</v>
      </c>
      <c r="C29" t="s">
        <v>102</v>
      </c>
    </row>
    <row r="30" spans="2:5" x14ac:dyDescent="0.3">
      <c r="B30" t="str">
        <v>General Government, Revenue(ESA2010), Total Revenue, EUR</v>
      </c>
      <c r="C30" t="s">
        <v>102</v>
      </c>
    </row>
    <row r="31" spans="2:5" x14ac:dyDescent="0.3">
      <c r="B31" t="str">
        <v>General Government, Revenue(ESA2010), Total Revenue, EUR</v>
      </c>
      <c r="C31" t="s">
        <v>102</v>
      </c>
    </row>
    <row r="32" spans="2:5" x14ac:dyDescent="0.3">
      <c r="B32" t="str">
        <v>General Government, Revenue(ESA2010), Current Taxes on Income &amp; Wealth, Direct Taxes, EUR</v>
      </c>
      <c r="C32" t="s">
        <v>102</v>
      </c>
    </row>
    <row r="33" spans="2:3" x14ac:dyDescent="0.3">
      <c r="B33" t="str">
        <v>General Government, Revenue(ESA2010), Current Taxes on Income &amp; Wealth, Direct Taxes, EUR</v>
      </c>
      <c r="C33" t="s">
        <v>102</v>
      </c>
    </row>
    <row r="34" spans="2:3" x14ac:dyDescent="0.3">
      <c r="B34" t="str">
        <v>General Government, Revenue(ESA2010), Current Taxes on Income &amp; Wealth, Direct Taxes, EUR</v>
      </c>
      <c r="C34" t="s">
        <v>102</v>
      </c>
    </row>
    <row r="35" spans="2:3" x14ac:dyDescent="0.3">
      <c r="B35" t="str">
        <v>General Government, Revenue(ESA2010), Current Taxes on Income &amp; Wealth, Direct Taxes, EUR</v>
      </c>
      <c r="C35" t="s">
        <v>102</v>
      </c>
    </row>
    <row r="36" spans="2:3" x14ac:dyDescent="0.3">
      <c r="B36" t="str">
        <v>General Government, Revenue(ESA2010), Current Taxes on Income &amp; Wealth, Direct Taxes, EUR</v>
      </c>
      <c r="C36" t="s">
        <v>102</v>
      </c>
    </row>
    <row r="37" spans="2:3" x14ac:dyDescent="0.3">
      <c r="B37" t="str">
        <v>General Government, Revenue(ESA2010), Taxes Linked to Imports &amp; Production, Indirect Taxes, EUR</v>
      </c>
      <c r="C37" t="s">
        <v>102</v>
      </c>
    </row>
    <row r="38" spans="2:3" x14ac:dyDescent="0.3">
      <c r="B38" t="str">
        <v>General Government, Revenue(ESA2010), Taxes Linked to Imports &amp; Production, Indirect Taxes, EUR</v>
      </c>
      <c r="C38" t="s">
        <v>102</v>
      </c>
    </row>
    <row r="39" spans="2:3" x14ac:dyDescent="0.3">
      <c r="B39" t="str">
        <v>General Government, Revenue(ESA2010), Taxes Linked to Imports &amp; Production, Indirect Taxes, EUR</v>
      </c>
      <c r="C39" t="s">
        <v>102</v>
      </c>
    </row>
    <row r="40" spans="2:3" x14ac:dyDescent="0.3">
      <c r="B40" t="str">
        <v>General Government, Revenue(ESA2010), Taxes Linked to Imports &amp; Production, Indirect Taxes, EUR</v>
      </c>
      <c r="C40" t="s">
        <v>102</v>
      </c>
    </row>
    <row r="41" spans="2:3" x14ac:dyDescent="0.3">
      <c r="B41" t="str">
        <v>General Government, Revenue(ESA2010), Taxes Linked to Imports &amp; Production, Indirect Taxes, EUR</v>
      </c>
      <c r="C41" t="s">
        <v>102</v>
      </c>
    </row>
    <row r="42" spans="2:3" x14ac:dyDescent="0.3">
      <c r="B42" t="str">
        <v>General Government, Revenue(ESA2010), Actual Social Contributions Received, EUR</v>
      </c>
      <c r="C42" t="s">
        <v>102</v>
      </c>
    </row>
    <row r="43" spans="2:3" x14ac:dyDescent="0.3">
      <c r="B43" t="str">
        <v>General Government, Revenue(ESA2010), Actual Social Contributions Received, EUR</v>
      </c>
      <c r="C43" t="s">
        <v>102</v>
      </c>
    </row>
    <row r="44" spans="2:3" x14ac:dyDescent="0.3">
      <c r="B44" t="str">
        <v>General Government, Revenue(ESA2010), Actual Social Contributions Received, EUR</v>
      </c>
      <c r="C44" t="s">
        <v>102</v>
      </c>
    </row>
    <row r="45" spans="2:3" x14ac:dyDescent="0.3">
      <c r="B45" t="str">
        <v>General Government, Revenue(ESA2010), Actual Social Contributions Received, EUR</v>
      </c>
      <c r="C45" t="s">
        <v>102</v>
      </c>
    </row>
    <row r="46" spans="2:3" x14ac:dyDescent="0.3">
      <c r="B46" t="str">
        <v>General Government, Revenue(ESA2010), Actual Social Contributions Received, EUR</v>
      </c>
      <c r="C46" t="s">
        <v>102</v>
      </c>
    </row>
    <row r="47" spans="2:3" x14ac:dyDescent="0.3">
      <c r="B47" t="str">
        <v>General Government, Revenue(ESA2010), Imputed Social Contributions, EUR</v>
      </c>
      <c r="C47" t="s">
        <v>102</v>
      </c>
    </row>
    <row r="48" spans="2:3" x14ac:dyDescent="0.3">
      <c r="B48" t="str">
        <v>General Government, Revenue(ESA2010), Imputed Social Contributions, EUR</v>
      </c>
      <c r="C48" t="s">
        <v>102</v>
      </c>
    </row>
    <row r="49" spans="2:3" x14ac:dyDescent="0.3">
      <c r="B49" t="str">
        <v>General Government, Revenue(ESA2010), Imputed Social Contributions, EUR</v>
      </c>
      <c r="C49" t="s">
        <v>102</v>
      </c>
    </row>
    <row r="50" spans="2:3" x14ac:dyDescent="0.3">
      <c r="B50" t="str">
        <v>General Government, Revenue(ESA2010), Imputed Social Contributions, EUR</v>
      </c>
      <c r="C50" t="s">
        <v>102</v>
      </c>
    </row>
    <row r="51" spans="2:3" x14ac:dyDescent="0.3">
      <c r="B51" t="str">
        <v>General Government, Revenue(ESA2010), Imputed Social Contributions, EUR</v>
      </c>
      <c r="C51" t="s">
        <v>102</v>
      </c>
    </row>
    <row r="52" spans="2:3" x14ac:dyDescent="0.3">
      <c r="B52" t="str">
        <v>General Government, Expenditure(ESA2010), Total Expenditure, EUR</v>
      </c>
      <c r="C52" t="s">
        <v>102</v>
      </c>
    </row>
    <row r="53" spans="2:3" x14ac:dyDescent="0.3">
      <c r="B53" t="str">
        <v>General Government, Expenditure(ESA2010), Total Expenditure, EUR</v>
      </c>
      <c r="C53" t="s">
        <v>102</v>
      </c>
    </row>
    <row r="54" spans="2:3" x14ac:dyDescent="0.3">
      <c r="B54" t="str">
        <v>General Government, Expenditure(ESA2010), Total Expenditure, EUR</v>
      </c>
      <c r="C54" t="s">
        <v>102</v>
      </c>
    </row>
    <row r="55" spans="2:3" x14ac:dyDescent="0.3">
      <c r="B55" t="str">
        <v>General Government, Expenditure(ESA2010), Total Expenditure, EUR</v>
      </c>
      <c r="C55" t="s">
        <v>102</v>
      </c>
    </row>
    <row r="56" spans="2:3" x14ac:dyDescent="0.3">
      <c r="B56" t="str">
        <v>General Government, Expenditure(ESA2010), Total Expenditure, EUR</v>
      </c>
      <c r="C56" t="s">
        <v>102</v>
      </c>
    </row>
    <row r="57" spans="2:3" x14ac:dyDescent="0.3">
      <c r="B57" t="str">
        <v>General Government, Expenditure(ESA2010), Final Consumption Expenditure, EUR</v>
      </c>
      <c r="C57" t="s">
        <v>102</v>
      </c>
    </row>
    <row r="58" spans="2:3" x14ac:dyDescent="0.3">
      <c r="B58" t="str">
        <v>General Government, Expenditure(ESA2010), Final Consumption Expenditure, EUR</v>
      </c>
      <c r="C58" t="s">
        <v>102</v>
      </c>
    </row>
    <row r="59" spans="2:3" x14ac:dyDescent="0.3">
      <c r="B59" t="str">
        <v>General Government, Expenditure(ESA2010), Final Consumption Expenditure, EUR</v>
      </c>
      <c r="C59" t="s">
        <v>102</v>
      </c>
    </row>
    <row r="60" spans="2:3" x14ac:dyDescent="0.3">
      <c r="B60" t="str">
        <v>General Government, Expenditure(ESA2010), Final Consumption Expenditure, EUR</v>
      </c>
      <c r="C60" t="s">
        <v>102</v>
      </c>
    </row>
    <row r="61" spans="2:3" x14ac:dyDescent="0.3">
      <c r="B61" t="str">
        <v>General Government, Expenditure(ESA2010), Final Consumption Expenditure, EUR</v>
      </c>
      <c r="C61" t="s">
        <v>102</v>
      </c>
    </row>
    <row r="62" spans="2:3" x14ac:dyDescent="0.3">
      <c r="B62" t="str">
        <v>General Government, Expenditure(ESA2010), Subsidies, EUR</v>
      </c>
      <c r="C62" t="s">
        <v>102</v>
      </c>
    </row>
    <row r="63" spans="2:3" x14ac:dyDescent="0.3">
      <c r="B63" t="str">
        <v>General Government, Expenditure(ESA2010), Subsidies, EUR</v>
      </c>
      <c r="C63" t="s">
        <v>102</v>
      </c>
    </row>
    <row r="64" spans="2:3" x14ac:dyDescent="0.3">
      <c r="B64" t="str">
        <v>General Government, Expenditure(ESA2010), Subsidies, EUR</v>
      </c>
      <c r="C64" t="s">
        <v>102</v>
      </c>
    </row>
    <row r="65" spans="2:3" x14ac:dyDescent="0.3">
      <c r="B65" t="str">
        <v>General Government, Expenditure(ESA2010), Subsidies, EUR</v>
      </c>
      <c r="C65" t="s">
        <v>102</v>
      </c>
    </row>
    <row r="66" spans="2:3" x14ac:dyDescent="0.3">
      <c r="B66" t="str">
        <v>General Government, Expenditure(ESA2010), Subsidies, EUR</v>
      </c>
      <c r="C66" t="s">
        <v>102</v>
      </c>
    </row>
    <row r="67" spans="2:3" x14ac:dyDescent="0.3">
      <c r="B67" t="str">
        <v>General Government, Expenditure(ESA2010), Social Benefits Other than Social Transfers in Kind, EUR</v>
      </c>
      <c r="C67" t="s">
        <v>102</v>
      </c>
    </row>
    <row r="68" spans="2:3" x14ac:dyDescent="0.3">
      <c r="B68" t="str">
        <v>General Government, Expenditure(ESA2010), Social Benefits Other than Social Transfers in Kind, EUR</v>
      </c>
      <c r="C68" t="s">
        <v>102</v>
      </c>
    </row>
    <row r="69" spans="2:3" x14ac:dyDescent="0.3">
      <c r="B69" t="str">
        <v>General Government, Expenditure(ESA2010), Social Benefits Other than Social Transfers in Kind, EUR</v>
      </c>
      <c r="C69" t="s">
        <v>102</v>
      </c>
    </row>
    <row r="70" spans="2:3" x14ac:dyDescent="0.3">
      <c r="B70" t="str">
        <v>General Government, Expenditure(ESA2010), Social Benefits Other than Social Transfers in Kind, EUR</v>
      </c>
      <c r="C70" t="s">
        <v>102</v>
      </c>
    </row>
    <row r="71" spans="2:3" x14ac:dyDescent="0.3">
      <c r="B71" t="str">
        <v>General Government, Expenditure(ESA2010), Social Benefits Other than Social Transfers in Kind, EUR</v>
      </c>
      <c r="C71" t="s">
        <v>102</v>
      </c>
    </row>
    <row r="72" spans="2:3" x14ac:dyDescent="0.3">
      <c r="B72" t="str">
        <v>General Government, Expenditure(ESA2010), Interest, EUR</v>
      </c>
      <c r="C72" t="s">
        <v>102</v>
      </c>
    </row>
    <row r="73" spans="2:3" x14ac:dyDescent="0.3">
      <c r="B73" t="str">
        <v>General Government, Expenditure(ESA2010), Interest, EUR</v>
      </c>
      <c r="C73" t="s">
        <v>102</v>
      </c>
    </row>
    <row r="74" spans="2:3" x14ac:dyDescent="0.3">
      <c r="B74" t="str">
        <v>General Government, Expenditure(ESA2010), Interest, EUR</v>
      </c>
      <c r="C74" t="s">
        <v>102</v>
      </c>
    </row>
    <row r="75" spans="2:3" x14ac:dyDescent="0.3">
      <c r="B75" t="str">
        <v>General Government, Expenditure(ESA2010), Interest, EUR</v>
      </c>
      <c r="C75" t="s">
        <v>102</v>
      </c>
    </row>
    <row r="76" spans="2:3" x14ac:dyDescent="0.3">
      <c r="B76" t="str">
        <v>General Government, Expenditure(ESA2010), Interest, EUR</v>
      </c>
      <c r="C76" t="s">
        <v>102</v>
      </c>
    </row>
    <row r="77" spans="2:3" x14ac:dyDescent="0.3">
      <c r="B77" t="str">
        <v>Gross Public Debt, Based on ESA2010, Total, Percent of GDP (Excessive Deficit Procedure), Market Prices</v>
      </c>
      <c r="C77" t="s">
        <v>102</v>
      </c>
    </row>
    <row r="78" spans="2:3" x14ac:dyDescent="0.3">
      <c r="B78" t="str">
        <v>Gross Public Debt, Based on ESA2010, Total, Percent of GDP (Excessive Deficit Procedure), Market Prices</v>
      </c>
      <c r="C78" t="s">
        <v>102</v>
      </c>
    </row>
    <row r="79" spans="2:3" x14ac:dyDescent="0.3">
      <c r="B79" t="str">
        <v>Gross Public Debt, Based on ESA2010, Total, Percent of GDP (Excessive Deficit Procedure), Market Prices</v>
      </c>
      <c r="C79" t="s">
        <v>102</v>
      </c>
    </row>
    <row r="80" spans="2:3" x14ac:dyDescent="0.3">
      <c r="B80" t="str">
        <v>Gross Public Debt, Based on ESA2010, Total, Percent of GDP (Excessive Deficit Procedure), Market Prices</v>
      </c>
      <c r="C80" t="s">
        <v>102</v>
      </c>
    </row>
    <row r="81" spans="2:3" x14ac:dyDescent="0.3">
      <c r="B81" t="str">
        <v>Gross Public Debt, Based on ESA2010, Total, Percent of GDP (Excessive Deficit Procedure), Market Prices</v>
      </c>
      <c r="C81" t="s">
        <v>102</v>
      </c>
    </row>
    <row r="82" spans="2:3" x14ac:dyDescent="0.3">
      <c r="B82" t="str">
        <v>Monetary Variables, Exchange Rates &amp; Purchasing Power Parities, National Currency per ECU/EUR (Annual Averages), Average of Period</v>
      </c>
      <c r="C82" t="s">
        <v>102</v>
      </c>
    </row>
    <row r="83" spans="2:3" x14ac:dyDescent="0.3">
      <c r="B83" t="str">
        <v>Gross Public Debt, Based on ESA2010, Stock-Flow Adjustment on Gross Public Debt, EUR</v>
      </c>
      <c r="C83" t="s">
        <v>102</v>
      </c>
    </row>
    <row r="84" spans="2:3" x14ac:dyDescent="0.3">
      <c r="B84" t="str">
        <v>Gross Public Debt, Based on ESA2010, Stock-Flow Adjustment on Gross Public Debt, EUR</v>
      </c>
      <c r="C84" t="s">
        <v>102</v>
      </c>
    </row>
    <row r="85" spans="2:3" x14ac:dyDescent="0.3">
      <c r="B85" t="str">
        <v>Gross Public Debt, Based on ESA2010, Stock-Flow Adjustment on Gross Public Debt, EUR</v>
      </c>
      <c r="C85" t="s">
        <v>102</v>
      </c>
    </row>
    <row r="86" spans="2:3" x14ac:dyDescent="0.3">
      <c r="B86" t="str">
        <v>Gross Public Debt, Based on ESA2010, Stock-Flow Adjustment on Gross Public Debt, EUR</v>
      </c>
      <c r="C86" t="s">
        <v>102</v>
      </c>
    </row>
    <row r="87" spans="2:3" x14ac:dyDescent="0.3">
      <c r="B87" t="str">
        <v>Gross Public Debt, Based on ESA2010, Stock-Flow Adjustment on Gross Public Debt, EUR</v>
      </c>
      <c r="C87" t="s">
        <v>102</v>
      </c>
    </row>
    <row r="88" spans="2:3" x14ac:dyDescent="0.3">
      <c r="B88" t="str">
        <v>General Government, Expenditure(ESA2010), Implicit Interest Rate, Percentage of Gross Public Debt</v>
      </c>
      <c r="C88" t="s">
        <v>102</v>
      </c>
    </row>
    <row r="89" spans="2:3" x14ac:dyDescent="0.3">
      <c r="B89" t="str">
        <v>General Government, Expenditure(ESA2010), Implicit Interest Rate, Percentage of Gross Public Debt</v>
      </c>
      <c r="C89" t="s">
        <v>102</v>
      </c>
    </row>
    <row r="90" spans="2:3" x14ac:dyDescent="0.3">
      <c r="B90" t="str">
        <v>General Government, Expenditure(ESA2010), Implicit Interest Rate, Percentage of Gross Public Debt</v>
      </c>
      <c r="C90" t="s">
        <v>102</v>
      </c>
    </row>
    <row r="91" spans="2:3" x14ac:dyDescent="0.3">
      <c r="B91" t="str">
        <v>General Government, Expenditure(ESA2010), Implicit Interest Rate, Percentage of Gross Public Debt</v>
      </c>
      <c r="C91" t="s">
        <v>102</v>
      </c>
    </row>
    <row r="92" spans="2:3" x14ac:dyDescent="0.3">
      <c r="B92" t="str">
        <v>General Government, Expenditure(ESA2010), Implicit Interest Rate, Percentage of Gross Public Debt</v>
      </c>
      <c r="C92" t="s">
        <v>102</v>
      </c>
    </row>
    <row r="93" spans="2:3" x14ac:dyDescent="0.3">
      <c r="B93" t="str">
        <v>Monetary Variables, Interest Rates, Nominal, Long-Term, Current Prices</v>
      </c>
      <c r="C93" t="s">
        <v>102</v>
      </c>
    </row>
    <row r="94" spans="2:3" x14ac:dyDescent="0.3">
      <c r="B94" t="str">
        <v>Monetary Variables, Interest Rates, Nominal, Long-Term, Current Prices</v>
      </c>
      <c r="C94" t="s">
        <v>102</v>
      </c>
    </row>
    <row r="95" spans="2:3" x14ac:dyDescent="0.3">
      <c r="B95" t="str">
        <v>Monetary Variables, Interest Rates, Nominal, Long-Term, Current Prices</v>
      </c>
      <c r="C95" t="s">
        <v>102</v>
      </c>
    </row>
    <row r="96" spans="2:3" x14ac:dyDescent="0.3">
      <c r="B96" t="str">
        <v>Monetary Variables, Interest Rates, Nominal, Long-Term, Current Prices</v>
      </c>
      <c r="C96" t="s">
        <v>102</v>
      </c>
    </row>
    <row r="97" spans="2:3" x14ac:dyDescent="0.3">
      <c r="B97" t="str">
        <v>Monetary Variables, Interest Rates, Nominal, Long-Term, Current Prices</v>
      </c>
      <c r="C97" t="s">
        <v>102</v>
      </c>
    </row>
    <row r="98" spans="2:3" x14ac:dyDescent="0.3">
      <c r="B98" t="str">
        <v>Monetary Variables, Interest Rates, Nominal, Short-Term, Current Prices</v>
      </c>
      <c r="C98" t="s">
        <v>102</v>
      </c>
    </row>
    <row r="99" spans="2:3" x14ac:dyDescent="0.3">
      <c r="B99" t="str">
        <v>Monetary Variables, Interest Rates, Nominal, Short-Term, Current Prices</v>
      </c>
      <c r="C99" t="s">
        <v>102</v>
      </c>
    </row>
    <row r="100" spans="2:3" x14ac:dyDescent="0.3">
      <c r="B100" t="str">
        <v>Monetary Variables, Interest Rates, Nominal, Short-Term, Current Prices</v>
      </c>
      <c r="C100" t="s">
        <v>102</v>
      </c>
    </row>
    <row r="101" spans="2:3" x14ac:dyDescent="0.3">
      <c r="B101" t="str">
        <v>Monetary Variables, Interest Rates, Nominal, Short-Term, Current Prices</v>
      </c>
      <c r="C101" t="s">
        <v>102</v>
      </c>
    </row>
    <row r="102" spans="2:3" x14ac:dyDescent="0.3">
      <c r="B102" t="str">
        <v>Monetary Variables, Interest Rates, Nominal, Short-Term, Current Prices</v>
      </c>
      <c r="C102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3BA25140-7AEC-469E-86FA-25F95E183D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ec337-e214-4ba4-98b7-7d376ec9c384"/>
    <ds:schemaRef ds:uri="bce3f25c-6c94-415f-946f-6384d96b8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DB7960-7CE3-4613-841B-A6CA68B3C6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B3C10D-CCF9-4DD2-AC73-77C9524C85FB}">
  <ds:schemaRefs>
    <ds:schemaRef ds:uri="http://schemas.microsoft.com/office/2006/metadata/properties"/>
    <ds:schemaRef ds:uri="http://schemas.microsoft.com/office/infopath/2007/PartnerControls"/>
    <ds:schemaRef ds:uri="f58ec337-e214-4ba4-98b7-7d376ec9c384"/>
    <ds:schemaRef ds:uri="bce3f25c-6c94-415f-946f-6384d96b87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Sheet2</vt:lpstr>
      <vt:lpstr>Sheet1!Macrobond_Object1</vt:lpstr>
      <vt:lpstr>Sheet3!Macrobond_Object1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von Wangenheim</dc:creator>
  <cp:lastModifiedBy>Sven von Wangenheim</cp:lastModifiedBy>
  <dcterms:created xsi:type="dcterms:W3CDTF">2025-08-12T10:21:56Z</dcterms:created>
  <dcterms:modified xsi:type="dcterms:W3CDTF">2025-09-01T14:36:10Z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  <property fmtid="{D5CDD505-2E9C-101B-9397-08002B2CF9AE}" pid="3" name="MediaServiceImageTags">
    <vt:lpwstr/>
  </property>
</Properties>
</file>