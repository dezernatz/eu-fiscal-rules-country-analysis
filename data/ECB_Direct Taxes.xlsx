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2" documentId="8_{34F212CA-1E8B-44CB-AEDB-B5FF1FB6641D}" xr6:coauthVersionLast="47" xr6:coauthVersionMax="47" xr10:uidLastSave="{BC3BFA8A-A28A-478C-8DF9-AE4A13BCACD3}"/>
  <bookViews>
    <workbookView xWindow="-108" yWindow="-108" windowWidth="23256" windowHeight="13896" activeTab="1" xr2:uid="{149BD2F3-F6FA-4ADE-9B2F-E674538D276C}"/>
  </bookViews>
  <sheets>
    <sheet name="Quarterly" sheetId="1" r:id="rId1"/>
    <sheet name="Annu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5" i="2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7" i="1"/>
  <c r="B28" i="2"/>
  <c r="B29" i="2" s="1"/>
  <c r="B30" i="2" s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6" i="2"/>
</calcChain>
</file>

<file path=xl/sharedStrings.xml><?xml version="1.0" encoding="utf-8"?>
<sst xmlns="http://schemas.openxmlformats.org/spreadsheetml/2006/main" count="459" uniqueCount="305">
  <si>
    <t>ECB Data Portal</t>
  </si>
  <si>
    <t>Downloaded on: 2025-08-12 16:16:59</t>
  </si>
  <si>
    <t>TITLE</t>
  </si>
  <si>
    <t>Current taxes payable by Non financial corporations</t>
  </si>
  <si>
    <t>Current taxes payable by Financial corporations</t>
  </si>
  <si>
    <t>Current taxes payable by households</t>
  </si>
  <si>
    <t>SERIES KEY</t>
  </si>
  <si>
    <t>QSA.Q.N.AT.W0.S11.S1.N.D.D5._Z._Z._Z.XDC._T.S.V.N._T</t>
  </si>
  <si>
    <t>QSA.Q.N.AT.W0.S12.S1.N.D.D5._Z._Z._Z.XDC._T.S.V.N._T</t>
  </si>
  <si>
    <t>QSA.Q.N.AT.W0.S1M.S1.N.D.D5._Z._Z._Z.XDC._T.S.V.N._T</t>
  </si>
  <si>
    <t>QSA.Q.N.DE.W0.S11.S1.N.D.D5._Z._Z._Z.XDC._T.S.V.N._T</t>
  </si>
  <si>
    <t>QSA.Q.N.DE.W0.S12.S1.N.D.D5._Z._Z._Z.XDC._T.S.V.N._T</t>
  </si>
  <si>
    <t>QSA.Q.N.DE.W0.S1M.S1.N.D.D5._Z._Z._Z.XDC._T.S.V.N._T</t>
  </si>
  <si>
    <t>QSA.Q.N.FI.W0.S11.S1.N.D.D5._Z._Z._Z.XDC._T.S.V.N._T</t>
  </si>
  <si>
    <t>QSA.Q.N.FI.W0.S12.S1.N.D.D5._Z._Z._Z.XDC._T.S.V.N._T</t>
  </si>
  <si>
    <t>QSA.Q.N.FI.W0.S1M.S1.N.D.D5._Z._Z._Z.XDC._T.S.V.N._T</t>
  </si>
  <si>
    <t>QSA.Q.N.FR.W0.S11.S1.N.D.D5._Z._Z._Z.XDC._T.S.V.N._T</t>
  </si>
  <si>
    <t>QSA.Q.N.FR.W0.S12.S1.N.D.D5._Z._Z._Z.XDC._T.S.V.N._T</t>
  </si>
  <si>
    <t>QSA.Q.N.FR.W0.S1M.S1.N.D.D5._Z._Z._Z.XDC._T.S.V.N._T</t>
  </si>
  <si>
    <t>QSA.Q.N.IT.W0.S11.S1.N.D.D5._Z._Z._Z.XDC._T.S.V.N._T</t>
  </si>
  <si>
    <t>QSA.Q.N.IT.W0.S12.S1.N.D.D5._Z._Z._Z.XDC._T.S.V.N._T</t>
  </si>
  <si>
    <t>QSA.Q.N.IT.W0.S1M.S1.N.D.D5._Z._Z._Z.XDC._T.S.V.N._T</t>
  </si>
  <si>
    <t>QSA.Q.N.NL.W0.S11.S1.N.D.D5._Z._Z._Z.XDC._T.S.V.N._T</t>
  </si>
  <si>
    <t>QSA.Q.N.NL.W0.S12.S1.N.D.D5._Z._Z._Z.XDC._T.S.V.N._T</t>
  </si>
  <si>
    <t>QSA.Q.N.NL.W0.S1M.S1.N.D.D5._Z._Z._Z.XDC._T.S.V.N._T</t>
  </si>
  <si>
    <t>TIME SERIES PAGE</t>
  </si>
  <si>
    <t>https://data.ecb.europa.eu/data/datasets/QSA/QSA.Q.N.AT.W0.S11.S1.N.D.D5._Z._Z._Z.XDC._T.S.V.N._T</t>
  </si>
  <si>
    <t>https://data.ecb.europa.eu/data/datasets/QSA/QSA.Q.N.AT.W0.S12.S1.N.D.D5._Z._Z._Z.XDC._T.S.V.N._T</t>
  </si>
  <si>
    <t>https://data.ecb.europa.eu/data/datasets/QSA/QSA.Q.N.AT.W0.S1M.S1.N.D.D5._Z._Z._Z.XDC._T.S.V.N._T</t>
  </si>
  <si>
    <t>https://data.ecb.europa.eu/data/datasets/QSA/QSA.Q.N.DE.W0.S11.S1.N.D.D5._Z._Z._Z.XDC._T.S.V.N._T</t>
  </si>
  <si>
    <t>https://data.ecb.europa.eu/data/datasets/QSA/QSA.Q.N.DE.W0.S12.S1.N.D.D5._Z._Z._Z.XDC._T.S.V.N._T</t>
  </si>
  <si>
    <t>https://data.ecb.europa.eu/data/datasets/QSA/QSA.Q.N.DE.W0.S1M.S1.N.D.D5._Z._Z._Z.XDC._T.S.V.N._T</t>
  </si>
  <si>
    <t>https://data.ecb.europa.eu/data/datasets/QSA/QSA.Q.N.FI.W0.S11.S1.N.D.D5._Z._Z._Z.XDC._T.S.V.N._T</t>
  </si>
  <si>
    <t>https://data.ecb.europa.eu/data/datasets/QSA/QSA.Q.N.FI.W0.S12.S1.N.D.D5._Z._Z._Z.XDC._T.S.V.N._T</t>
  </si>
  <si>
    <t>https://data.ecb.europa.eu/data/datasets/QSA/QSA.Q.N.FI.W0.S1M.S1.N.D.D5._Z._Z._Z.XDC._T.S.V.N._T</t>
  </si>
  <si>
    <t>https://data.ecb.europa.eu/data/datasets/QSA/QSA.Q.N.FR.W0.S11.S1.N.D.D5._Z._Z._Z.XDC._T.S.V.N._T</t>
  </si>
  <si>
    <t>https://data.ecb.europa.eu/data/datasets/QSA/QSA.Q.N.FR.W0.S12.S1.N.D.D5._Z._Z._Z.XDC._T.S.V.N._T</t>
  </si>
  <si>
    <t>https://data.ecb.europa.eu/data/datasets/QSA/QSA.Q.N.FR.W0.S1M.S1.N.D.D5._Z._Z._Z.XDC._T.S.V.N._T</t>
  </si>
  <si>
    <t>https://data.ecb.europa.eu/data/datasets/QSA/QSA.Q.N.IT.W0.S11.S1.N.D.D5._Z._Z._Z.XDC._T.S.V.N._T</t>
  </si>
  <si>
    <t>https://data.ecb.europa.eu/data/datasets/QSA/QSA.Q.N.IT.W0.S12.S1.N.D.D5._Z._Z._Z.XDC._T.S.V.N._T</t>
  </si>
  <si>
    <t>https://data.ecb.europa.eu/data/datasets/QSA/QSA.Q.N.IT.W0.S1M.S1.N.D.D5._Z._Z._Z.XDC._T.S.V.N._T</t>
  </si>
  <si>
    <t>https://data.ecb.europa.eu/data/datasets/QSA/QSA.Q.N.NL.W0.S11.S1.N.D.D5._Z._Z._Z.XDC._T.S.V.N._T</t>
  </si>
  <si>
    <t>https://data.ecb.europa.eu/data/datasets/QSA/QSA.Q.N.NL.W0.S12.S1.N.D.D5._Z._Z._Z.XDC._T.S.V.N._T</t>
  </si>
  <si>
    <t>https://data.ecb.europa.eu/data/datasets/QSA/QSA.Q.N.NL.W0.S1M.S1.N.D.D5._Z._Z._Z.XDC._T.S.V.N._T</t>
  </si>
  <si>
    <t>GEOGRAPHICAL AREA</t>
  </si>
  <si>
    <t>Austria (AT)</t>
  </si>
  <si>
    <t>Germany (DE)</t>
  </si>
  <si>
    <t>Finland (FI)</t>
  </si>
  <si>
    <t>France (FR)</t>
  </si>
  <si>
    <t>Italy (IT)</t>
  </si>
  <si>
    <t>Netherlands (NL)</t>
  </si>
  <si>
    <t>FREQUENCY</t>
  </si>
  <si>
    <t>Quarterly</t>
  </si>
  <si>
    <t>DATASET</t>
  </si>
  <si>
    <t>QSA</t>
  </si>
  <si>
    <t>DATA SOURCE</t>
  </si>
  <si>
    <t>Statistical Office of the European Commission (Eurostat)</t>
  </si>
  <si>
    <t>COLLECTION TYPE</t>
  </si>
  <si>
    <t>Summed through period (S)</t>
  </si>
  <si>
    <t>UNIT</t>
  </si>
  <si>
    <t>Millions of Domestic currency (incl. conversion to current currency made using a fixed parity)</t>
  </si>
  <si>
    <t>LAST UPDATED</t>
  </si>
  <si>
    <t>2025-07-16 18:16:21</t>
  </si>
  <si>
    <t>2025-07-04 16:34:33</t>
  </si>
  <si>
    <t>2025-07-28 12:58:34</t>
  </si>
  <si>
    <t>Frequency:Quarterly</t>
  </si>
  <si>
    <t>DATE</t>
  </si>
  <si>
    <t>TIME PERIOD</t>
  </si>
  <si>
    <t>Current taxes payable by Non financial corporations (QSA.Q.N.AT.W0.S11.S1.N.D.D5._Z._Z._Z.XDC._T.S.V.N._T)</t>
  </si>
  <si>
    <t>Current taxes payable by Financial corporations (QSA.Q.N.AT.W0.S12.S1.N.D.D5._Z._Z._Z.XDC._T.S.V.N._T)</t>
  </si>
  <si>
    <t>Current taxes payable by households (QSA.Q.N.AT.W0.S1M.S1.N.D.D5._Z._Z._Z.XDC._T.S.V.N._T)</t>
  </si>
  <si>
    <t>Current taxes payable by Non financial corporations (QSA.Q.N.DE.W0.S11.S1.N.D.D5._Z._Z._Z.XDC._T.S.V.N._T)</t>
  </si>
  <si>
    <t>Current taxes payable by Financial corporations (QSA.Q.N.DE.W0.S12.S1.N.D.D5._Z._Z._Z.XDC._T.S.V.N._T)</t>
  </si>
  <si>
    <t>Current taxes payable by households (QSA.Q.N.DE.W0.S1M.S1.N.D.D5._Z._Z._Z.XDC._T.S.V.N._T)</t>
  </si>
  <si>
    <t>Current taxes payable by Non financial corporations (QSA.Q.N.FI.W0.S11.S1.N.D.D5._Z._Z._Z.XDC._T.S.V.N._T)</t>
  </si>
  <si>
    <t>Current taxes payable by Financial corporations (QSA.Q.N.FI.W0.S12.S1.N.D.D5._Z._Z._Z.XDC._T.S.V.N._T)</t>
  </si>
  <si>
    <t>Current taxes payable by households (QSA.Q.N.FI.W0.S1M.S1.N.D.D5._Z._Z._Z.XDC._T.S.V.N._T)</t>
  </si>
  <si>
    <t>Current taxes payable by Non financial corporations (QSA.Q.N.FR.W0.S11.S1.N.D.D5._Z._Z._Z.XDC._T.S.V.N._T)</t>
  </si>
  <si>
    <t>Current taxes payable by Financial corporations (QSA.Q.N.FR.W0.S12.S1.N.D.D5._Z._Z._Z.XDC._T.S.V.N._T)</t>
  </si>
  <si>
    <t>Current taxes payable by households (QSA.Q.N.FR.W0.S1M.S1.N.D.D5._Z._Z._Z.XDC._T.S.V.N._T)</t>
  </si>
  <si>
    <t>Current taxes payable by Non financial corporations (QSA.Q.N.IT.W0.S11.S1.N.D.D5._Z._Z._Z.XDC._T.S.V.N._T)</t>
  </si>
  <si>
    <t>Current taxes payable by Financial corporations (QSA.Q.N.IT.W0.S12.S1.N.D.D5._Z._Z._Z.XDC._T.S.V.N._T)</t>
  </si>
  <si>
    <t>Current taxes payable by households (QSA.Q.N.IT.W0.S1M.S1.N.D.D5._Z._Z._Z.XDC._T.S.V.N._T)</t>
  </si>
  <si>
    <t>Current taxes payable by Non financial corporations (QSA.Q.N.NL.W0.S11.S1.N.D.D5._Z._Z._Z.XDC._T.S.V.N._T)</t>
  </si>
  <si>
    <t>Current taxes payable by Financial corporations (QSA.Q.N.NL.W0.S12.S1.N.D.D5._Z._Z._Z.XDC._T.S.V.N._T)</t>
  </si>
  <si>
    <t>Current taxes payable by households (QSA.Q.N.NL.W0.S1M.S1.N.D.D5._Z._Z._Z.XDC._T.S.V.N._T)</t>
  </si>
  <si>
    <t>1999-03-31</t>
  </si>
  <si>
    <t>1999Q1</t>
  </si>
  <si>
    <t>1999-06-30</t>
  </si>
  <si>
    <t>1999Q2</t>
  </si>
  <si>
    <t>1999-09-30</t>
  </si>
  <si>
    <t>1999Q3</t>
  </si>
  <si>
    <t>1999-12-31</t>
  </si>
  <si>
    <t>1999Q4</t>
  </si>
  <si>
    <t>2000-03-31</t>
  </si>
  <si>
    <t>2000Q1</t>
  </si>
  <si>
    <t>2000-06-30</t>
  </si>
  <si>
    <t>2000Q2</t>
  </si>
  <si>
    <t>2000-09-30</t>
  </si>
  <si>
    <t>2000Q3</t>
  </si>
  <si>
    <t>2000-12-31</t>
  </si>
  <si>
    <t>2000Q4</t>
  </si>
  <si>
    <t>2001-03-31</t>
  </si>
  <si>
    <t>2001Q1</t>
  </si>
  <si>
    <t>2001-06-30</t>
  </si>
  <si>
    <t>2001Q2</t>
  </si>
  <si>
    <t>2001-09-30</t>
  </si>
  <si>
    <t>2001Q3</t>
  </si>
  <si>
    <t>2001-12-31</t>
  </si>
  <si>
    <t>2001Q4</t>
  </si>
  <si>
    <t>2002-03-31</t>
  </si>
  <si>
    <t>2002Q1</t>
  </si>
  <si>
    <t>2002-06-30</t>
  </si>
  <si>
    <t>2002Q2</t>
  </si>
  <si>
    <t>2002-09-30</t>
  </si>
  <si>
    <t>2002Q3</t>
  </si>
  <si>
    <t>2002-12-31</t>
  </si>
  <si>
    <t>2002Q4</t>
  </si>
  <si>
    <t>2003-03-31</t>
  </si>
  <si>
    <t>2003Q1</t>
  </si>
  <si>
    <t>2003-06-30</t>
  </si>
  <si>
    <t>2003Q2</t>
  </si>
  <si>
    <t>2003-09-30</t>
  </si>
  <si>
    <t>2003Q3</t>
  </si>
  <si>
    <t>2003-12-31</t>
  </si>
  <si>
    <t>2003Q4</t>
  </si>
  <si>
    <t>2004-03-31</t>
  </si>
  <si>
    <t>2004Q1</t>
  </si>
  <si>
    <t>2004-06-30</t>
  </si>
  <si>
    <t>2004Q2</t>
  </si>
  <si>
    <t>2004-09-30</t>
  </si>
  <si>
    <t>2004Q3</t>
  </si>
  <si>
    <t>2004-12-31</t>
  </si>
  <si>
    <t>2004Q4</t>
  </si>
  <si>
    <t>2005-03-31</t>
  </si>
  <si>
    <t>2005Q1</t>
  </si>
  <si>
    <t>2005-06-30</t>
  </si>
  <si>
    <t>2005Q2</t>
  </si>
  <si>
    <t>2005-09-30</t>
  </si>
  <si>
    <t>2005Q3</t>
  </si>
  <si>
    <t>2005-12-31</t>
  </si>
  <si>
    <t>2005Q4</t>
  </si>
  <si>
    <t>2006-03-31</t>
  </si>
  <si>
    <t>2006Q1</t>
  </si>
  <si>
    <t>2006-06-30</t>
  </si>
  <si>
    <t>2006Q2</t>
  </si>
  <si>
    <t>2006-09-30</t>
  </si>
  <si>
    <t>2006Q3</t>
  </si>
  <si>
    <t>2006-12-31</t>
  </si>
  <si>
    <t>2006Q4</t>
  </si>
  <si>
    <t>2007-03-31</t>
  </si>
  <si>
    <t>2007Q1</t>
  </si>
  <si>
    <t>2007-06-30</t>
  </si>
  <si>
    <t>2007Q2</t>
  </si>
  <si>
    <t>2007-09-30</t>
  </si>
  <si>
    <t>2007Q3</t>
  </si>
  <si>
    <t>2007-12-31</t>
  </si>
  <si>
    <t>2007Q4</t>
  </si>
  <si>
    <t>2008-03-31</t>
  </si>
  <si>
    <t>2008Q1</t>
  </si>
  <si>
    <t>2008-06-30</t>
  </si>
  <si>
    <t>2008Q2</t>
  </si>
  <si>
    <t>2008-09-30</t>
  </si>
  <si>
    <t>2008Q3</t>
  </si>
  <si>
    <t>2008-12-31</t>
  </si>
  <si>
    <t>2008Q4</t>
  </si>
  <si>
    <t>2009-03-31</t>
  </si>
  <si>
    <t>2009Q1</t>
  </si>
  <si>
    <t>2009-06-30</t>
  </si>
  <si>
    <t>2009Q2</t>
  </si>
  <si>
    <t>2009-09-30</t>
  </si>
  <si>
    <t>2009Q3</t>
  </si>
  <si>
    <t>2009-12-31</t>
  </si>
  <si>
    <t>2009Q4</t>
  </si>
  <si>
    <t>2010-03-31</t>
  </si>
  <si>
    <t>2010Q1</t>
  </si>
  <si>
    <t>2010-06-30</t>
  </si>
  <si>
    <t>2010Q2</t>
  </si>
  <si>
    <t>2010-09-30</t>
  </si>
  <si>
    <t>2010Q3</t>
  </si>
  <si>
    <t>2010-12-31</t>
  </si>
  <si>
    <t>2010Q4</t>
  </si>
  <si>
    <t>2011-03-31</t>
  </si>
  <si>
    <t>2011Q1</t>
  </si>
  <si>
    <t>2011-06-30</t>
  </si>
  <si>
    <t>2011Q2</t>
  </si>
  <si>
    <t>2011-09-30</t>
  </si>
  <si>
    <t>2011Q3</t>
  </si>
  <si>
    <t>2011-12-31</t>
  </si>
  <si>
    <t>2011Q4</t>
  </si>
  <si>
    <t>2012-03-31</t>
  </si>
  <si>
    <t>2012Q1</t>
  </si>
  <si>
    <t>2012-06-30</t>
  </si>
  <si>
    <t>2012Q2</t>
  </si>
  <si>
    <t>2012-09-30</t>
  </si>
  <si>
    <t>2012Q3</t>
  </si>
  <si>
    <t>2012-12-31</t>
  </si>
  <si>
    <t>2012Q4</t>
  </si>
  <si>
    <t>2013-03-31</t>
  </si>
  <si>
    <t>2013Q1</t>
  </si>
  <si>
    <t>2013-06-30</t>
  </si>
  <si>
    <t>2013Q2</t>
  </si>
  <si>
    <t>2013-09-30</t>
  </si>
  <si>
    <t>2013Q3</t>
  </si>
  <si>
    <t>2013-12-31</t>
  </si>
  <si>
    <t>2013Q4</t>
  </si>
  <si>
    <t>2014-03-31</t>
  </si>
  <si>
    <t>2014Q1</t>
  </si>
  <si>
    <t>2014-06-30</t>
  </si>
  <si>
    <t>2014Q2</t>
  </si>
  <si>
    <t>2014-09-30</t>
  </si>
  <si>
    <t>2014Q3</t>
  </si>
  <si>
    <t>2014-12-31</t>
  </si>
  <si>
    <t>2014Q4</t>
  </si>
  <si>
    <t>2015-03-31</t>
  </si>
  <si>
    <t>2015Q1</t>
  </si>
  <si>
    <t>2015-06-30</t>
  </si>
  <si>
    <t>2015Q2</t>
  </si>
  <si>
    <t>2015-09-30</t>
  </si>
  <si>
    <t>2015Q3</t>
  </si>
  <si>
    <t>2015-12-31</t>
  </si>
  <si>
    <t>2015Q4</t>
  </si>
  <si>
    <t>2016-03-31</t>
  </si>
  <si>
    <t>2016Q1</t>
  </si>
  <si>
    <t>2016-06-30</t>
  </si>
  <si>
    <t>2016Q2</t>
  </si>
  <si>
    <t>2016-09-30</t>
  </si>
  <si>
    <t>2016Q3</t>
  </si>
  <si>
    <t>2016-12-31</t>
  </si>
  <si>
    <t>2016Q4</t>
  </si>
  <si>
    <t>2017-03-31</t>
  </si>
  <si>
    <t>2017Q1</t>
  </si>
  <si>
    <t>2017-06-30</t>
  </si>
  <si>
    <t>2017Q2</t>
  </si>
  <si>
    <t>2017-09-30</t>
  </si>
  <si>
    <t>2017Q3</t>
  </si>
  <si>
    <t>2017-12-31</t>
  </si>
  <si>
    <t>2017Q4</t>
  </si>
  <si>
    <t>2018-03-31</t>
  </si>
  <si>
    <t>2018Q1</t>
  </si>
  <si>
    <t>2018-06-30</t>
  </si>
  <si>
    <t>2018Q2</t>
  </si>
  <si>
    <t>2018-09-30</t>
  </si>
  <si>
    <t>2018Q3</t>
  </si>
  <si>
    <t>2018-12-31</t>
  </si>
  <si>
    <t>2018Q4</t>
  </si>
  <si>
    <t>2019-03-31</t>
  </si>
  <si>
    <t>2019Q1</t>
  </si>
  <si>
    <t>2019-06-30</t>
  </si>
  <si>
    <t>2019Q2</t>
  </si>
  <si>
    <t>2019-09-30</t>
  </si>
  <si>
    <t>2019Q3</t>
  </si>
  <si>
    <t>2019-12-31</t>
  </si>
  <si>
    <t>2019Q4</t>
  </si>
  <si>
    <t>2020-03-31</t>
  </si>
  <si>
    <t>2020Q1</t>
  </si>
  <si>
    <t>2020-06-30</t>
  </si>
  <si>
    <t>2020Q2</t>
  </si>
  <si>
    <t>2020-09-30</t>
  </si>
  <si>
    <t>2020Q3</t>
  </si>
  <si>
    <t>2020-12-31</t>
  </si>
  <si>
    <t>2020Q4</t>
  </si>
  <si>
    <t>2021-03-31</t>
  </si>
  <si>
    <t>2021Q1</t>
  </si>
  <si>
    <t>2021-06-30</t>
  </si>
  <si>
    <t>2021Q2</t>
  </si>
  <si>
    <t>2021-09-30</t>
  </si>
  <si>
    <t>2021Q3</t>
  </si>
  <si>
    <t>2021-12-31</t>
  </si>
  <si>
    <t>2021Q4</t>
  </si>
  <si>
    <t>2022-03-31</t>
  </si>
  <si>
    <t>2022Q1</t>
  </si>
  <si>
    <t>2022-06-30</t>
  </si>
  <si>
    <t>2022Q2</t>
  </si>
  <si>
    <t>2022-09-30</t>
  </si>
  <si>
    <t>2022Q3</t>
  </si>
  <si>
    <t>2022-12-31</t>
  </si>
  <si>
    <t>2022Q4</t>
  </si>
  <si>
    <t>2023-03-31</t>
  </si>
  <si>
    <t>2023Q1</t>
  </si>
  <si>
    <t>2023-06-30</t>
  </si>
  <si>
    <t>2023Q2</t>
  </si>
  <si>
    <t>2023-09-30</t>
  </si>
  <si>
    <t>2023Q3</t>
  </si>
  <si>
    <t>2023-12-31</t>
  </si>
  <si>
    <t>2023Q4</t>
  </si>
  <si>
    <t>2024-03-31</t>
  </si>
  <si>
    <t>2024Q1</t>
  </si>
  <si>
    <t>2024-06-30</t>
  </si>
  <si>
    <t>2024Q2</t>
  </si>
  <si>
    <t>2024-09-30</t>
  </si>
  <si>
    <t>2024Q3</t>
  </si>
  <si>
    <t>2024-12-31</t>
  </si>
  <si>
    <t>2024Q4</t>
  </si>
  <si>
    <t>2025-03-31</t>
  </si>
  <si>
    <t>2025Q1</t>
  </si>
  <si>
    <t>Austria</t>
  </si>
  <si>
    <t>Germany</t>
  </si>
  <si>
    <t>Finland</t>
  </si>
  <si>
    <t>France</t>
  </si>
  <si>
    <t>Italy</t>
  </si>
  <si>
    <t>Netherlands</t>
  </si>
  <si>
    <t>T_non-finan_corp</t>
  </si>
  <si>
    <t>T_finan_corp</t>
  </si>
  <si>
    <t>T_HH_ECB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</si>
</sst>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u/>
      <sz val="11"/>
      <color indexed="12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ecb.europa.eu/data/datasets/QSA/QSA.Q.N.FI.W0.S11.S1.N.D.D5._Z._Z._Z.XDC._T.S.V.N._T" TargetMode="External"/><Relationship Id="rId13" Type="http://schemas.openxmlformats.org/officeDocument/2006/relationships/hyperlink" Target="https://data.ecb.europa.eu/data/datasets/QSA/QSA.Q.N.FR.W0.S1M.S1.N.D.D5._Z._Z._Z.XDC._T.S.V.N._T" TargetMode="External"/><Relationship Id="rId18" Type="http://schemas.openxmlformats.org/officeDocument/2006/relationships/hyperlink" Target="https://data.ecb.europa.eu/data/datasets/QSA/QSA.Q.N.NL.W0.S12.S1.N.D.D5._Z._Z._Z.XDC._T.S.V.N._T" TargetMode="External"/><Relationship Id="rId3" Type="http://schemas.openxmlformats.org/officeDocument/2006/relationships/hyperlink" Target="https://data.ecb.europa.eu/data/datasets/QSA/QSA.Q.N.AT.W0.S12.S1.N.D.D5._Z._Z._Z.XDC._T.S.V.N._T" TargetMode="External"/><Relationship Id="rId7" Type="http://schemas.openxmlformats.org/officeDocument/2006/relationships/hyperlink" Target="https://data.ecb.europa.eu/data/datasets/QSA/QSA.Q.N.DE.W0.S1M.S1.N.D.D5._Z._Z._Z.XDC._T.S.V.N._T" TargetMode="External"/><Relationship Id="rId12" Type="http://schemas.openxmlformats.org/officeDocument/2006/relationships/hyperlink" Target="https://data.ecb.europa.eu/data/datasets/QSA/QSA.Q.N.FR.W0.S12.S1.N.D.D5._Z._Z._Z.XDC._T.S.V.N._T" TargetMode="External"/><Relationship Id="rId17" Type="http://schemas.openxmlformats.org/officeDocument/2006/relationships/hyperlink" Target="https://data.ecb.europa.eu/data/datasets/QSA/QSA.Q.N.NL.W0.S11.S1.N.D.D5._Z._Z._Z.XDC._T.S.V.N._T" TargetMode="External"/><Relationship Id="rId2" Type="http://schemas.openxmlformats.org/officeDocument/2006/relationships/hyperlink" Target="https://data.ecb.europa.eu/data/datasets/QSA/QSA.Q.N.AT.W0.S11.S1.N.D.D5._Z._Z._Z.XDC._T.S.V.N._T" TargetMode="External"/><Relationship Id="rId16" Type="http://schemas.openxmlformats.org/officeDocument/2006/relationships/hyperlink" Target="https://data.ecb.europa.eu/data/datasets/QSA/QSA.Q.N.IT.W0.S1M.S1.N.D.D5._Z._Z._Z.XDC._T.S.V.N._T" TargetMode="External"/><Relationship Id="rId1" Type="http://schemas.openxmlformats.org/officeDocument/2006/relationships/hyperlink" Target="https://data.ecb.europa.eu/" TargetMode="External"/><Relationship Id="rId6" Type="http://schemas.openxmlformats.org/officeDocument/2006/relationships/hyperlink" Target="https://data.ecb.europa.eu/data/datasets/QSA/QSA.Q.N.DE.W0.S12.S1.N.D.D5._Z._Z._Z.XDC._T.S.V.N._T" TargetMode="External"/><Relationship Id="rId11" Type="http://schemas.openxmlformats.org/officeDocument/2006/relationships/hyperlink" Target="https://data.ecb.europa.eu/data/datasets/QSA/QSA.Q.N.FR.W0.S11.S1.N.D.D5._Z._Z._Z.XDC._T.S.V.N._T" TargetMode="External"/><Relationship Id="rId5" Type="http://schemas.openxmlformats.org/officeDocument/2006/relationships/hyperlink" Target="https://data.ecb.europa.eu/data/datasets/QSA/QSA.Q.N.DE.W0.S11.S1.N.D.D5._Z._Z._Z.XDC._T.S.V.N._T" TargetMode="External"/><Relationship Id="rId15" Type="http://schemas.openxmlformats.org/officeDocument/2006/relationships/hyperlink" Target="https://data.ecb.europa.eu/data/datasets/QSA/QSA.Q.N.IT.W0.S12.S1.N.D.D5._Z._Z._Z.XDC._T.S.V.N._T" TargetMode="External"/><Relationship Id="rId10" Type="http://schemas.openxmlformats.org/officeDocument/2006/relationships/hyperlink" Target="https://data.ecb.europa.eu/data/datasets/QSA/QSA.Q.N.FI.W0.S1M.S1.N.D.D5._Z._Z._Z.XDC._T.S.V.N._T" TargetMode="External"/><Relationship Id="rId19" Type="http://schemas.openxmlformats.org/officeDocument/2006/relationships/hyperlink" Target="https://data.ecb.europa.eu/data/datasets/QSA/QSA.Q.N.NL.W0.S1M.S1.N.D.D5._Z._Z._Z.XDC._T.S.V.N._T" TargetMode="External"/><Relationship Id="rId4" Type="http://schemas.openxmlformats.org/officeDocument/2006/relationships/hyperlink" Target="https://data.ecb.europa.eu/data/datasets/QSA/QSA.Q.N.AT.W0.S1M.S1.N.D.D5._Z._Z._Z.XDC._T.S.V.N._T" TargetMode="External"/><Relationship Id="rId9" Type="http://schemas.openxmlformats.org/officeDocument/2006/relationships/hyperlink" Target="https://data.ecb.europa.eu/data/datasets/QSA/QSA.Q.N.FI.W0.S12.S1.N.D.D5._Z._Z._Z.XDC._T.S.V.N._T" TargetMode="External"/><Relationship Id="rId14" Type="http://schemas.openxmlformats.org/officeDocument/2006/relationships/hyperlink" Target="https://data.ecb.europa.eu/data/datasets/QSA/QSA.Q.N.IT.W0.S11.S1.N.D.D5._Z._Z._Z.XDC._T.S.V.N._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24EF-FD2B-4B36-9FD8-9B2FC35851F4}">
  <dimension ref="A1:U121"/>
  <sheetViews>
    <sheetView topLeftCell="A97" workbookViewId="0">
      <selection activeCell="E120" sqref="E120"/>
    </sheetView>
  </sheetViews>
  <sheetFormatPr defaultRowHeight="14.4" x14ac:dyDescent="0.3"/>
  <sheetData>
    <row r="1" spans="2:21" x14ac:dyDescent="0.3">
      <c r="B1" s="1" t="s">
        <v>0</v>
      </c>
    </row>
    <row r="2" spans="2:21" x14ac:dyDescent="0.3">
      <c r="B2" t="s">
        <v>1</v>
      </c>
    </row>
    <row r="4" spans="2:21" x14ac:dyDescent="0.3">
      <c r="B4" s="2" t="s">
        <v>2</v>
      </c>
      <c r="D4" t="s">
        <v>3</v>
      </c>
      <c r="E4" t="s">
        <v>4</v>
      </c>
      <c r="F4" t="s">
        <v>5</v>
      </c>
      <c r="G4" t="s">
        <v>3</v>
      </c>
      <c r="H4" t="s">
        <v>4</v>
      </c>
      <c r="I4" t="s">
        <v>5</v>
      </c>
      <c r="J4" t="s">
        <v>3</v>
      </c>
      <c r="K4" t="s">
        <v>4</v>
      </c>
      <c r="L4" t="s">
        <v>5</v>
      </c>
      <c r="M4" t="s">
        <v>3</v>
      </c>
      <c r="N4" t="s">
        <v>4</v>
      </c>
      <c r="O4" t="s">
        <v>5</v>
      </c>
      <c r="P4" t="s">
        <v>3</v>
      </c>
      <c r="Q4" t="s">
        <v>4</v>
      </c>
      <c r="R4" t="s">
        <v>5</v>
      </c>
      <c r="S4" t="s">
        <v>3</v>
      </c>
      <c r="T4" t="s">
        <v>4</v>
      </c>
      <c r="U4" t="s">
        <v>5</v>
      </c>
    </row>
    <row r="5" spans="2:21" x14ac:dyDescent="0.3">
      <c r="B5" s="2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</row>
    <row r="6" spans="2:21" x14ac:dyDescent="0.3">
      <c r="B6" s="2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1" t="s">
        <v>37</v>
      </c>
      <c r="P6" s="1" t="s">
        <v>38</v>
      </c>
      <c r="Q6" s="1" t="s">
        <v>39</v>
      </c>
      <c r="R6" s="1" t="s">
        <v>40</v>
      </c>
      <c r="S6" s="1" t="s">
        <v>41</v>
      </c>
      <c r="T6" s="1" t="s">
        <v>42</v>
      </c>
      <c r="U6" s="1" t="s">
        <v>43</v>
      </c>
    </row>
    <row r="7" spans="2:21" x14ac:dyDescent="0.3">
      <c r="B7" s="2" t="s">
        <v>44</v>
      </c>
      <c r="D7" t="s">
        <v>45</v>
      </c>
      <c r="E7" t="s">
        <v>45</v>
      </c>
      <c r="F7" t="s">
        <v>45</v>
      </c>
      <c r="G7" t="s">
        <v>46</v>
      </c>
      <c r="H7" t="s">
        <v>46</v>
      </c>
      <c r="I7" t="s">
        <v>46</v>
      </c>
      <c r="J7" t="s">
        <v>47</v>
      </c>
      <c r="K7" t="s">
        <v>47</v>
      </c>
      <c r="L7" t="s">
        <v>47</v>
      </c>
      <c r="M7" t="s">
        <v>48</v>
      </c>
      <c r="N7" t="s">
        <v>48</v>
      </c>
      <c r="O7" t="s">
        <v>48</v>
      </c>
      <c r="P7" t="s">
        <v>49</v>
      </c>
      <c r="Q7" t="s">
        <v>49</v>
      </c>
      <c r="R7" t="s">
        <v>49</v>
      </c>
      <c r="S7" t="s">
        <v>50</v>
      </c>
      <c r="T7" t="s">
        <v>50</v>
      </c>
      <c r="U7" t="s">
        <v>50</v>
      </c>
    </row>
    <row r="8" spans="2:21" x14ac:dyDescent="0.3">
      <c r="B8" s="2" t="s">
        <v>51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</row>
    <row r="9" spans="2:21" x14ac:dyDescent="0.3">
      <c r="B9" s="2" t="s">
        <v>53</v>
      </c>
      <c r="D9" t="s">
        <v>54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  <c r="U9" t="s">
        <v>54</v>
      </c>
    </row>
    <row r="10" spans="2:21" x14ac:dyDescent="0.3">
      <c r="B10" s="2" t="s">
        <v>55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</row>
    <row r="11" spans="2:21" x14ac:dyDescent="0.3">
      <c r="B11" s="2" t="s">
        <v>57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58</v>
      </c>
      <c r="U11" t="s">
        <v>58</v>
      </c>
    </row>
    <row r="12" spans="2:21" x14ac:dyDescent="0.3">
      <c r="B12" s="2" t="s">
        <v>59</v>
      </c>
      <c r="D12" t="s">
        <v>60</v>
      </c>
      <c r="E12" t="s">
        <v>60</v>
      </c>
      <c r="F12" t="s">
        <v>60</v>
      </c>
      <c r="G12" t="s">
        <v>60</v>
      </c>
      <c r="H12" t="s">
        <v>60</v>
      </c>
      <c r="I12" t="s">
        <v>60</v>
      </c>
      <c r="J12" t="s">
        <v>60</v>
      </c>
      <c r="K12" t="s">
        <v>60</v>
      </c>
      <c r="L12" t="s">
        <v>60</v>
      </c>
      <c r="M12" t="s">
        <v>60</v>
      </c>
      <c r="N12" t="s">
        <v>60</v>
      </c>
      <c r="O12" t="s">
        <v>60</v>
      </c>
      <c r="P12" t="s">
        <v>60</v>
      </c>
      <c r="Q12" t="s">
        <v>60</v>
      </c>
      <c r="R12" t="s">
        <v>60</v>
      </c>
      <c r="S12" t="s">
        <v>60</v>
      </c>
      <c r="T12" t="s">
        <v>60</v>
      </c>
      <c r="U12" t="s">
        <v>60</v>
      </c>
    </row>
    <row r="13" spans="2:21" x14ac:dyDescent="0.3">
      <c r="B13" s="2" t="s">
        <v>61</v>
      </c>
      <c r="D13" t="s">
        <v>62</v>
      </c>
      <c r="E13" t="s">
        <v>62</v>
      </c>
      <c r="F13" t="s">
        <v>62</v>
      </c>
      <c r="G13" t="s">
        <v>63</v>
      </c>
      <c r="H13" t="s">
        <v>63</v>
      </c>
      <c r="I13" t="s">
        <v>63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63</v>
      </c>
      <c r="Q13" t="s">
        <v>63</v>
      </c>
      <c r="R13" t="s">
        <v>63</v>
      </c>
      <c r="S13" t="s">
        <v>64</v>
      </c>
      <c r="T13" t="s">
        <v>64</v>
      </c>
      <c r="U13" t="s">
        <v>64</v>
      </c>
    </row>
    <row r="15" spans="2:21" x14ac:dyDescent="0.3">
      <c r="B15" s="2" t="s">
        <v>65</v>
      </c>
    </row>
    <row r="16" spans="2:21" x14ac:dyDescent="0.3">
      <c r="B16" s="2" t="s">
        <v>66</v>
      </c>
      <c r="C16" s="2" t="s">
        <v>67</v>
      </c>
      <c r="D16" s="2" t="s">
        <v>68</v>
      </c>
      <c r="E16" s="2" t="s">
        <v>69</v>
      </c>
      <c r="F16" s="2" t="s">
        <v>70</v>
      </c>
      <c r="G16" s="2" t="s">
        <v>71</v>
      </c>
      <c r="H16" s="2" t="s">
        <v>72</v>
      </c>
      <c r="I16" s="2" t="s">
        <v>73</v>
      </c>
      <c r="J16" s="2" t="s">
        <v>74</v>
      </c>
      <c r="K16" s="2" t="s">
        <v>75</v>
      </c>
      <c r="L16" s="2" t="s">
        <v>76</v>
      </c>
      <c r="M16" s="2" t="s">
        <v>77</v>
      </c>
      <c r="N16" s="2" t="s">
        <v>78</v>
      </c>
      <c r="O16" s="2" t="s">
        <v>79</v>
      </c>
      <c r="P16" s="2" t="s">
        <v>80</v>
      </c>
      <c r="Q16" s="2" t="s">
        <v>81</v>
      </c>
      <c r="R16" s="2" t="s">
        <v>82</v>
      </c>
      <c r="S16" s="2" t="s">
        <v>83</v>
      </c>
      <c r="T16" s="2" t="s">
        <v>84</v>
      </c>
      <c r="U16" s="2" t="s">
        <v>85</v>
      </c>
    </row>
    <row r="17" spans="1:21" x14ac:dyDescent="0.3">
      <c r="A17">
        <f>VALUE((_xlfn.TEXTBEFORE(B17,"-")))</f>
        <v>1999</v>
      </c>
      <c r="B17" s="3" t="s">
        <v>86</v>
      </c>
      <c r="C17" t="s">
        <v>87</v>
      </c>
      <c r="D17">
        <v>759.3</v>
      </c>
      <c r="E17">
        <v>184.3</v>
      </c>
      <c r="F17">
        <v>5195.2</v>
      </c>
      <c r="G17">
        <v>9180</v>
      </c>
      <c r="H17">
        <v>3291</v>
      </c>
      <c r="I17">
        <v>43851</v>
      </c>
      <c r="J17">
        <v>999</v>
      </c>
      <c r="K17">
        <v>240</v>
      </c>
      <c r="L17">
        <v>4120</v>
      </c>
      <c r="M17">
        <v>4221.5</v>
      </c>
      <c r="N17">
        <v>981.8</v>
      </c>
      <c r="O17">
        <v>28238.799999999999</v>
      </c>
      <c r="P17">
        <v>644.20000000000005</v>
      </c>
      <c r="Q17">
        <v>83.4</v>
      </c>
      <c r="R17">
        <v>25427.599999999999</v>
      </c>
      <c r="S17">
        <v>2417</v>
      </c>
      <c r="T17">
        <v>647</v>
      </c>
      <c r="U17">
        <v>6952</v>
      </c>
    </row>
    <row r="18" spans="1:21" x14ac:dyDescent="0.3">
      <c r="A18">
        <f t="shared" ref="A18:A81" si="0">VALUE((_xlfn.TEXTBEFORE(B18,"-")))</f>
        <v>1999</v>
      </c>
      <c r="B18" s="3" t="s">
        <v>88</v>
      </c>
      <c r="C18" t="s">
        <v>89</v>
      </c>
      <c r="D18">
        <v>816.4</v>
      </c>
      <c r="E18">
        <v>192.1</v>
      </c>
      <c r="F18">
        <v>5592.2</v>
      </c>
      <c r="G18">
        <v>10287</v>
      </c>
      <c r="H18">
        <v>3687</v>
      </c>
      <c r="I18">
        <v>49428</v>
      </c>
      <c r="J18">
        <v>1206</v>
      </c>
      <c r="K18">
        <v>302</v>
      </c>
      <c r="L18">
        <v>4804</v>
      </c>
      <c r="M18">
        <v>10673.3</v>
      </c>
      <c r="N18">
        <v>2226.6999999999998</v>
      </c>
      <c r="O18">
        <v>30806.9</v>
      </c>
      <c r="P18">
        <v>7000.4</v>
      </c>
      <c r="Q18">
        <v>2271.9</v>
      </c>
      <c r="R18">
        <v>32553.599999999999</v>
      </c>
      <c r="S18">
        <v>2633</v>
      </c>
      <c r="T18">
        <v>746</v>
      </c>
      <c r="U18">
        <v>7069</v>
      </c>
    </row>
    <row r="19" spans="1:21" x14ac:dyDescent="0.3">
      <c r="A19">
        <f t="shared" si="0"/>
        <v>1999</v>
      </c>
      <c r="B19" s="3" t="s">
        <v>90</v>
      </c>
      <c r="C19" t="s">
        <v>91</v>
      </c>
      <c r="D19">
        <v>704.2</v>
      </c>
      <c r="E19">
        <v>218.4</v>
      </c>
      <c r="F19">
        <v>5593.6</v>
      </c>
      <c r="G19">
        <v>9549</v>
      </c>
      <c r="H19">
        <v>3423</v>
      </c>
      <c r="I19">
        <v>44919</v>
      </c>
      <c r="J19">
        <v>969</v>
      </c>
      <c r="K19">
        <v>348</v>
      </c>
      <c r="L19">
        <v>4077</v>
      </c>
      <c r="M19">
        <v>5426</v>
      </c>
      <c r="N19">
        <v>1354.1</v>
      </c>
      <c r="O19">
        <v>36139.5</v>
      </c>
      <c r="P19">
        <v>6263</v>
      </c>
      <c r="Q19">
        <v>1523</v>
      </c>
      <c r="R19">
        <v>29216.7</v>
      </c>
      <c r="S19">
        <v>3360</v>
      </c>
      <c r="T19">
        <v>621</v>
      </c>
      <c r="U19">
        <v>6901</v>
      </c>
    </row>
    <row r="20" spans="1:21" x14ac:dyDescent="0.3">
      <c r="A20">
        <f t="shared" si="0"/>
        <v>1999</v>
      </c>
      <c r="B20" s="3" t="s">
        <v>92</v>
      </c>
      <c r="C20" t="s">
        <v>93</v>
      </c>
      <c r="D20">
        <v>699.9</v>
      </c>
      <c r="E20">
        <v>268.60000000000002</v>
      </c>
      <c r="F20">
        <v>6813.7</v>
      </c>
      <c r="G20">
        <v>10708</v>
      </c>
      <c r="H20">
        <v>3838</v>
      </c>
      <c r="I20">
        <v>61289</v>
      </c>
      <c r="J20">
        <v>1091</v>
      </c>
      <c r="K20">
        <v>383</v>
      </c>
      <c r="L20">
        <v>4071</v>
      </c>
      <c r="M20">
        <v>8212.1</v>
      </c>
      <c r="N20">
        <v>2034.1</v>
      </c>
      <c r="O20">
        <v>33132.6</v>
      </c>
      <c r="P20">
        <v>11155.5</v>
      </c>
      <c r="Q20">
        <v>2694.7</v>
      </c>
      <c r="R20">
        <v>47448.2</v>
      </c>
      <c r="S20">
        <v>4999</v>
      </c>
      <c r="T20">
        <v>710</v>
      </c>
      <c r="U20">
        <v>7078</v>
      </c>
    </row>
    <row r="21" spans="1:21" x14ac:dyDescent="0.3">
      <c r="A21">
        <f t="shared" si="0"/>
        <v>2000</v>
      </c>
      <c r="B21" s="3" t="s">
        <v>94</v>
      </c>
      <c r="C21" t="s">
        <v>95</v>
      </c>
      <c r="D21">
        <v>567.29999999999995</v>
      </c>
      <c r="E21">
        <v>229.2</v>
      </c>
      <c r="F21">
        <v>5282.7</v>
      </c>
      <c r="G21">
        <v>11113</v>
      </c>
      <c r="H21">
        <v>2332</v>
      </c>
      <c r="I21">
        <v>45858</v>
      </c>
      <c r="J21">
        <v>1284</v>
      </c>
      <c r="K21">
        <v>431</v>
      </c>
      <c r="L21">
        <v>4430</v>
      </c>
      <c r="M21">
        <v>5117.8999999999996</v>
      </c>
      <c r="N21">
        <v>1593.5</v>
      </c>
      <c r="O21">
        <v>30351.200000000001</v>
      </c>
      <c r="P21">
        <v>608.29999999999995</v>
      </c>
      <c r="Q21">
        <v>83.4</v>
      </c>
      <c r="R21">
        <v>32974</v>
      </c>
      <c r="S21">
        <v>2045</v>
      </c>
      <c r="T21">
        <v>830</v>
      </c>
      <c r="U21">
        <v>7464</v>
      </c>
    </row>
    <row r="22" spans="1:21" x14ac:dyDescent="0.3">
      <c r="A22">
        <f t="shared" si="0"/>
        <v>2000</v>
      </c>
      <c r="B22" s="3" t="s">
        <v>96</v>
      </c>
      <c r="C22" t="s">
        <v>97</v>
      </c>
      <c r="D22">
        <v>1033</v>
      </c>
      <c r="E22">
        <v>238.5</v>
      </c>
      <c r="F22">
        <v>5615.9</v>
      </c>
      <c r="G22">
        <v>13726</v>
      </c>
      <c r="H22">
        <v>2881</v>
      </c>
      <c r="I22">
        <v>51910</v>
      </c>
      <c r="J22">
        <v>1989</v>
      </c>
      <c r="K22">
        <v>423</v>
      </c>
      <c r="L22">
        <v>5761</v>
      </c>
      <c r="M22">
        <v>12361.8</v>
      </c>
      <c r="N22">
        <v>2954.2</v>
      </c>
      <c r="O22">
        <v>33002.6</v>
      </c>
      <c r="P22">
        <v>6335.6</v>
      </c>
      <c r="Q22">
        <v>2287.1999999999998</v>
      </c>
      <c r="R22">
        <v>32810.300000000003</v>
      </c>
      <c r="S22">
        <v>3459</v>
      </c>
      <c r="T22">
        <v>832</v>
      </c>
      <c r="U22">
        <v>7590</v>
      </c>
    </row>
    <row r="23" spans="1:21" x14ac:dyDescent="0.3">
      <c r="A23">
        <f t="shared" si="0"/>
        <v>2000</v>
      </c>
      <c r="B23" s="3" t="s">
        <v>98</v>
      </c>
      <c r="C23" t="s">
        <v>99</v>
      </c>
      <c r="D23">
        <v>822.8</v>
      </c>
      <c r="E23">
        <v>268.89999999999998</v>
      </c>
      <c r="F23">
        <v>5590.5</v>
      </c>
      <c r="G23">
        <v>10679</v>
      </c>
      <c r="H23">
        <v>2242</v>
      </c>
      <c r="I23">
        <v>45897</v>
      </c>
      <c r="J23">
        <v>1422</v>
      </c>
      <c r="K23">
        <v>393</v>
      </c>
      <c r="L23">
        <v>4463</v>
      </c>
      <c r="M23">
        <v>5483.1</v>
      </c>
      <c r="N23">
        <v>1989.8</v>
      </c>
      <c r="O23">
        <v>38919.300000000003</v>
      </c>
      <c r="P23">
        <v>5186.8</v>
      </c>
      <c r="Q23">
        <v>2030</v>
      </c>
      <c r="R23">
        <v>31822.2</v>
      </c>
      <c r="S23">
        <v>2902</v>
      </c>
      <c r="T23">
        <v>849</v>
      </c>
      <c r="U23">
        <v>7410</v>
      </c>
    </row>
    <row r="24" spans="1:21" x14ac:dyDescent="0.3">
      <c r="A24">
        <f t="shared" si="0"/>
        <v>2000</v>
      </c>
      <c r="B24" s="3" t="s">
        <v>100</v>
      </c>
      <c r="C24" t="s">
        <v>101</v>
      </c>
      <c r="D24">
        <v>1017.4</v>
      </c>
      <c r="E24">
        <v>327.10000000000002</v>
      </c>
      <c r="F24">
        <v>7105.7</v>
      </c>
      <c r="G24">
        <v>12540</v>
      </c>
      <c r="H24">
        <v>2635</v>
      </c>
      <c r="I24">
        <v>63685</v>
      </c>
      <c r="J24">
        <v>1740</v>
      </c>
      <c r="K24">
        <v>341</v>
      </c>
      <c r="L24">
        <v>5143</v>
      </c>
      <c r="M24">
        <v>7481</v>
      </c>
      <c r="N24">
        <v>2247.6</v>
      </c>
      <c r="O24">
        <v>31547.1</v>
      </c>
      <c r="P24">
        <v>8496.2000000000007</v>
      </c>
      <c r="Q24">
        <v>3763.7</v>
      </c>
      <c r="R24">
        <v>42925.5</v>
      </c>
      <c r="S24">
        <v>5827</v>
      </c>
      <c r="T24">
        <v>710</v>
      </c>
      <c r="U24">
        <v>7595</v>
      </c>
    </row>
    <row r="25" spans="1:21" x14ac:dyDescent="0.3">
      <c r="A25">
        <f t="shared" si="0"/>
        <v>2001</v>
      </c>
      <c r="B25" s="3" t="s">
        <v>102</v>
      </c>
      <c r="C25" t="s">
        <v>103</v>
      </c>
      <c r="D25">
        <v>1017.2</v>
      </c>
      <c r="E25">
        <v>241.8</v>
      </c>
      <c r="F25">
        <v>5663.7</v>
      </c>
      <c r="G25">
        <v>8105</v>
      </c>
      <c r="H25">
        <v>1773</v>
      </c>
      <c r="I25">
        <v>47894</v>
      </c>
      <c r="J25">
        <v>1151</v>
      </c>
      <c r="K25">
        <v>224</v>
      </c>
      <c r="L25">
        <v>5481</v>
      </c>
      <c r="M25">
        <v>6071</v>
      </c>
      <c r="N25">
        <v>1670.1</v>
      </c>
      <c r="O25">
        <v>32073</v>
      </c>
      <c r="P25">
        <v>811.5</v>
      </c>
      <c r="Q25">
        <v>136.19999999999999</v>
      </c>
      <c r="R25">
        <v>26730</v>
      </c>
      <c r="S25">
        <v>2366</v>
      </c>
      <c r="T25">
        <v>1273</v>
      </c>
      <c r="U25">
        <v>6730</v>
      </c>
    </row>
    <row r="26" spans="1:21" x14ac:dyDescent="0.3">
      <c r="A26">
        <f t="shared" si="0"/>
        <v>2001</v>
      </c>
      <c r="B26" s="3" t="s">
        <v>104</v>
      </c>
      <c r="C26" t="s">
        <v>105</v>
      </c>
      <c r="D26">
        <v>1121.5999999999999</v>
      </c>
      <c r="E26">
        <v>256.8</v>
      </c>
      <c r="F26">
        <v>5928.5</v>
      </c>
      <c r="G26">
        <v>7643</v>
      </c>
      <c r="H26">
        <v>1671</v>
      </c>
      <c r="I26">
        <v>51439</v>
      </c>
      <c r="J26">
        <v>2367</v>
      </c>
      <c r="K26">
        <v>179</v>
      </c>
      <c r="L26">
        <v>5296</v>
      </c>
      <c r="M26">
        <v>15160.4</v>
      </c>
      <c r="N26">
        <v>3155.6</v>
      </c>
      <c r="O26">
        <v>34220.300000000003</v>
      </c>
      <c r="P26">
        <v>9692.2000000000007</v>
      </c>
      <c r="Q26">
        <v>2125.5</v>
      </c>
      <c r="R26">
        <v>34601.1</v>
      </c>
      <c r="S26">
        <v>2722</v>
      </c>
      <c r="T26">
        <v>1301</v>
      </c>
      <c r="U26">
        <v>7936</v>
      </c>
    </row>
    <row r="27" spans="1:21" x14ac:dyDescent="0.3">
      <c r="A27">
        <f t="shared" si="0"/>
        <v>2001</v>
      </c>
      <c r="B27" s="3" t="s">
        <v>106</v>
      </c>
      <c r="C27" t="s">
        <v>107</v>
      </c>
      <c r="D27">
        <v>1375.8</v>
      </c>
      <c r="E27">
        <v>307.3</v>
      </c>
      <c r="F27">
        <v>6232.3</v>
      </c>
      <c r="G27">
        <v>5944</v>
      </c>
      <c r="H27">
        <v>1299</v>
      </c>
      <c r="I27">
        <v>46342</v>
      </c>
      <c r="J27">
        <v>1327</v>
      </c>
      <c r="K27">
        <v>150</v>
      </c>
      <c r="L27">
        <v>4806</v>
      </c>
      <c r="M27">
        <v>6558.2</v>
      </c>
      <c r="N27">
        <v>1853.4</v>
      </c>
      <c r="O27">
        <v>38811.599999999999</v>
      </c>
      <c r="P27">
        <v>10514</v>
      </c>
      <c r="Q27">
        <v>2157.1999999999998</v>
      </c>
      <c r="R27">
        <v>30533</v>
      </c>
      <c r="S27">
        <v>3642</v>
      </c>
      <c r="T27">
        <v>1138</v>
      </c>
      <c r="U27">
        <v>7654</v>
      </c>
    </row>
    <row r="28" spans="1:21" x14ac:dyDescent="0.3">
      <c r="A28">
        <f t="shared" si="0"/>
        <v>2001</v>
      </c>
      <c r="B28" s="3" t="s">
        <v>108</v>
      </c>
      <c r="C28" t="s">
        <v>109</v>
      </c>
      <c r="D28">
        <v>2168.8000000000002</v>
      </c>
      <c r="E28">
        <v>403.7</v>
      </c>
      <c r="F28">
        <v>7877.3</v>
      </c>
      <c r="G28">
        <v>5804</v>
      </c>
      <c r="H28">
        <v>1271</v>
      </c>
      <c r="I28">
        <v>61261</v>
      </c>
      <c r="J28">
        <v>560</v>
      </c>
      <c r="K28">
        <v>128</v>
      </c>
      <c r="L28">
        <v>4712</v>
      </c>
      <c r="M28">
        <v>7597.7</v>
      </c>
      <c r="N28">
        <v>2034.9</v>
      </c>
      <c r="O28">
        <v>34229.800000000003</v>
      </c>
      <c r="P28">
        <v>11042.9</v>
      </c>
      <c r="Q28">
        <v>3558</v>
      </c>
      <c r="R28">
        <v>49428</v>
      </c>
      <c r="S28">
        <v>4230</v>
      </c>
      <c r="T28">
        <v>996</v>
      </c>
      <c r="U28">
        <v>8084</v>
      </c>
    </row>
    <row r="29" spans="1:21" x14ac:dyDescent="0.3">
      <c r="A29">
        <f t="shared" si="0"/>
        <v>2002</v>
      </c>
      <c r="B29" s="3" t="s">
        <v>110</v>
      </c>
      <c r="C29" t="s">
        <v>111</v>
      </c>
      <c r="D29">
        <v>945.8</v>
      </c>
      <c r="E29">
        <v>275.8</v>
      </c>
      <c r="F29">
        <v>5788.5</v>
      </c>
      <c r="G29">
        <v>6090</v>
      </c>
      <c r="H29">
        <v>1393</v>
      </c>
      <c r="I29">
        <v>46146</v>
      </c>
      <c r="J29">
        <v>1629</v>
      </c>
      <c r="K29">
        <v>126</v>
      </c>
      <c r="L29">
        <v>5864</v>
      </c>
      <c r="M29">
        <v>6137.5</v>
      </c>
      <c r="N29">
        <v>1693.2</v>
      </c>
      <c r="O29">
        <v>31866.9</v>
      </c>
      <c r="P29">
        <v>1119.3</v>
      </c>
      <c r="Q29">
        <v>201.3</v>
      </c>
      <c r="R29">
        <v>26445.3</v>
      </c>
      <c r="S29">
        <v>2128</v>
      </c>
      <c r="T29">
        <v>969</v>
      </c>
      <c r="U29">
        <v>7943</v>
      </c>
    </row>
    <row r="30" spans="1:21" x14ac:dyDescent="0.3">
      <c r="A30">
        <f t="shared" si="0"/>
        <v>2002</v>
      </c>
      <c r="B30" s="3" t="s">
        <v>112</v>
      </c>
      <c r="C30" t="s">
        <v>113</v>
      </c>
      <c r="D30">
        <v>815.2</v>
      </c>
      <c r="E30">
        <v>250.2</v>
      </c>
      <c r="F30">
        <v>5978.6</v>
      </c>
      <c r="G30">
        <v>4579</v>
      </c>
      <c r="H30">
        <v>1047</v>
      </c>
      <c r="I30">
        <v>50943</v>
      </c>
      <c r="J30">
        <v>1755</v>
      </c>
      <c r="K30">
        <v>127</v>
      </c>
      <c r="L30">
        <v>5643</v>
      </c>
      <c r="M30">
        <v>12531</v>
      </c>
      <c r="N30">
        <v>2787.5</v>
      </c>
      <c r="O30">
        <v>34513.4</v>
      </c>
      <c r="P30">
        <v>8450.7000000000007</v>
      </c>
      <c r="Q30">
        <v>2151.9</v>
      </c>
      <c r="R30">
        <v>35044.1</v>
      </c>
      <c r="S30">
        <v>3133</v>
      </c>
      <c r="T30">
        <v>936</v>
      </c>
      <c r="U30">
        <v>10161</v>
      </c>
    </row>
    <row r="31" spans="1:21" x14ac:dyDescent="0.3">
      <c r="A31">
        <f t="shared" si="0"/>
        <v>2002</v>
      </c>
      <c r="B31" s="3" t="s">
        <v>114</v>
      </c>
      <c r="C31" t="s">
        <v>115</v>
      </c>
      <c r="D31">
        <v>654.70000000000005</v>
      </c>
      <c r="E31">
        <v>229.6</v>
      </c>
      <c r="F31">
        <v>6137.2</v>
      </c>
      <c r="G31">
        <v>6356</v>
      </c>
      <c r="H31">
        <v>1454</v>
      </c>
      <c r="I31">
        <v>45118</v>
      </c>
      <c r="J31">
        <v>1081</v>
      </c>
      <c r="K31">
        <v>132</v>
      </c>
      <c r="L31">
        <v>4992</v>
      </c>
      <c r="M31">
        <v>5179.3999999999996</v>
      </c>
      <c r="N31">
        <v>1720.4</v>
      </c>
      <c r="O31">
        <v>39789.199999999997</v>
      </c>
      <c r="P31">
        <v>5785.8</v>
      </c>
      <c r="Q31">
        <v>1549.2</v>
      </c>
      <c r="R31">
        <v>30610.6</v>
      </c>
      <c r="S31">
        <v>2582</v>
      </c>
      <c r="T31">
        <v>851</v>
      </c>
      <c r="U31">
        <v>8148</v>
      </c>
    </row>
    <row r="32" spans="1:21" x14ac:dyDescent="0.3">
      <c r="A32">
        <f t="shared" si="0"/>
        <v>2002</v>
      </c>
      <c r="B32" s="3" t="s">
        <v>116</v>
      </c>
      <c r="C32" t="s">
        <v>117</v>
      </c>
      <c r="D32">
        <v>1695.5</v>
      </c>
      <c r="E32">
        <v>366.2</v>
      </c>
      <c r="F32">
        <v>7875</v>
      </c>
      <c r="G32">
        <v>9876</v>
      </c>
      <c r="H32">
        <v>2259</v>
      </c>
      <c r="I32">
        <v>60081</v>
      </c>
      <c r="J32">
        <v>1277</v>
      </c>
      <c r="K32">
        <v>140</v>
      </c>
      <c r="L32">
        <v>4248</v>
      </c>
      <c r="M32">
        <v>6405.1</v>
      </c>
      <c r="N32">
        <v>1743.6</v>
      </c>
      <c r="O32">
        <v>32259.3</v>
      </c>
      <c r="P32">
        <v>11893.8</v>
      </c>
      <c r="Q32">
        <v>4172.2</v>
      </c>
      <c r="R32">
        <v>51200.3</v>
      </c>
      <c r="S32">
        <v>4198</v>
      </c>
      <c r="T32">
        <v>803</v>
      </c>
      <c r="U32">
        <v>9119</v>
      </c>
    </row>
    <row r="33" spans="1:21" x14ac:dyDescent="0.3">
      <c r="A33">
        <f t="shared" si="0"/>
        <v>2003</v>
      </c>
      <c r="B33" s="3" t="s">
        <v>118</v>
      </c>
      <c r="C33" t="s">
        <v>119</v>
      </c>
      <c r="D33">
        <v>819.8</v>
      </c>
      <c r="E33">
        <v>184.6</v>
      </c>
      <c r="F33">
        <v>5799.1</v>
      </c>
      <c r="G33">
        <v>6993</v>
      </c>
      <c r="H33">
        <v>2240</v>
      </c>
      <c r="I33">
        <v>45518</v>
      </c>
      <c r="J33">
        <v>973</v>
      </c>
      <c r="K33">
        <v>152</v>
      </c>
      <c r="L33">
        <v>5710</v>
      </c>
      <c r="M33">
        <v>5207.5</v>
      </c>
      <c r="N33">
        <v>1191.9000000000001</v>
      </c>
      <c r="O33">
        <v>32555.8</v>
      </c>
      <c r="P33">
        <v>1077.9000000000001</v>
      </c>
      <c r="Q33">
        <v>281.2</v>
      </c>
      <c r="R33">
        <v>26161.5</v>
      </c>
      <c r="S33">
        <v>2398</v>
      </c>
      <c r="T33">
        <v>866</v>
      </c>
      <c r="U33">
        <v>7626</v>
      </c>
    </row>
    <row r="34" spans="1:21" x14ac:dyDescent="0.3">
      <c r="A34">
        <f t="shared" si="0"/>
        <v>2003</v>
      </c>
      <c r="B34" s="3" t="s">
        <v>120</v>
      </c>
      <c r="C34" t="s">
        <v>121</v>
      </c>
      <c r="D34">
        <v>941.4</v>
      </c>
      <c r="E34">
        <v>207.1</v>
      </c>
      <c r="F34">
        <v>5961.8</v>
      </c>
      <c r="G34">
        <v>6804</v>
      </c>
      <c r="H34">
        <v>2179</v>
      </c>
      <c r="I34">
        <v>49486</v>
      </c>
      <c r="J34">
        <v>1615</v>
      </c>
      <c r="K34">
        <v>161</v>
      </c>
      <c r="L34">
        <v>5620</v>
      </c>
      <c r="M34">
        <v>10461.4</v>
      </c>
      <c r="N34">
        <v>1913.2</v>
      </c>
      <c r="O34">
        <v>34922.9</v>
      </c>
      <c r="P34">
        <v>7106</v>
      </c>
      <c r="Q34">
        <v>2272</v>
      </c>
      <c r="R34">
        <v>34629.199999999997</v>
      </c>
      <c r="S34">
        <v>2331</v>
      </c>
      <c r="T34">
        <v>1094</v>
      </c>
      <c r="U34">
        <v>9570</v>
      </c>
    </row>
    <row r="35" spans="1:21" x14ac:dyDescent="0.3">
      <c r="A35">
        <f t="shared" si="0"/>
        <v>2003</v>
      </c>
      <c r="B35" s="3" t="s">
        <v>122</v>
      </c>
      <c r="C35" t="s">
        <v>123</v>
      </c>
      <c r="D35">
        <v>824</v>
      </c>
      <c r="E35">
        <v>189.8</v>
      </c>
      <c r="F35">
        <v>6389.9</v>
      </c>
      <c r="G35">
        <v>5976</v>
      </c>
      <c r="H35">
        <v>1913</v>
      </c>
      <c r="I35">
        <v>44850</v>
      </c>
      <c r="J35">
        <v>970</v>
      </c>
      <c r="K35">
        <v>157</v>
      </c>
      <c r="L35">
        <v>5096</v>
      </c>
      <c r="M35">
        <v>5156.8</v>
      </c>
      <c r="N35">
        <v>1417.7</v>
      </c>
      <c r="O35">
        <v>39599</v>
      </c>
      <c r="P35">
        <v>5039</v>
      </c>
      <c r="Q35">
        <v>2163.6</v>
      </c>
      <c r="R35">
        <v>33321.9</v>
      </c>
      <c r="S35">
        <v>2067</v>
      </c>
      <c r="T35">
        <v>1013</v>
      </c>
      <c r="U35">
        <v>7816</v>
      </c>
    </row>
    <row r="36" spans="1:21" x14ac:dyDescent="0.3">
      <c r="A36">
        <f t="shared" si="0"/>
        <v>2003</v>
      </c>
      <c r="B36" s="3" t="s">
        <v>124</v>
      </c>
      <c r="C36" t="s">
        <v>125</v>
      </c>
      <c r="D36">
        <v>1711.8</v>
      </c>
      <c r="E36">
        <v>311.39999999999998</v>
      </c>
      <c r="F36">
        <v>7952.2</v>
      </c>
      <c r="G36">
        <v>8698</v>
      </c>
      <c r="H36">
        <v>2788</v>
      </c>
      <c r="I36">
        <v>58834</v>
      </c>
      <c r="J36">
        <v>1017</v>
      </c>
      <c r="K36">
        <v>157</v>
      </c>
      <c r="L36">
        <v>4230</v>
      </c>
      <c r="M36">
        <v>5855.1</v>
      </c>
      <c r="N36">
        <v>1747.9</v>
      </c>
      <c r="O36">
        <v>36327.699999999997</v>
      </c>
      <c r="P36">
        <v>8967.7999999999993</v>
      </c>
      <c r="Q36">
        <v>4667.8</v>
      </c>
      <c r="R36">
        <v>51043.7</v>
      </c>
      <c r="S36">
        <v>2728</v>
      </c>
      <c r="T36">
        <v>1025</v>
      </c>
      <c r="U36">
        <v>9224</v>
      </c>
    </row>
    <row r="37" spans="1:21" x14ac:dyDescent="0.3">
      <c r="A37">
        <f t="shared" si="0"/>
        <v>2004</v>
      </c>
      <c r="B37" s="3" t="s">
        <v>126</v>
      </c>
      <c r="C37" t="s">
        <v>127</v>
      </c>
      <c r="D37">
        <v>763.4</v>
      </c>
      <c r="E37">
        <v>152.4</v>
      </c>
      <c r="F37">
        <v>5870.2</v>
      </c>
      <c r="G37">
        <v>7832</v>
      </c>
      <c r="H37">
        <v>1751</v>
      </c>
      <c r="I37">
        <v>45003</v>
      </c>
      <c r="J37">
        <v>1163</v>
      </c>
      <c r="K37">
        <v>145</v>
      </c>
      <c r="L37">
        <v>5681</v>
      </c>
      <c r="M37">
        <v>5372.8</v>
      </c>
      <c r="N37">
        <v>1926.8</v>
      </c>
      <c r="O37">
        <v>34229.800000000003</v>
      </c>
      <c r="P37">
        <v>658.8</v>
      </c>
      <c r="Q37">
        <v>183.6</v>
      </c>
      <c r="R37">
        <v>27919.599999999999</v>
      </c>
      <c r="S37">
        <v>1818</v>
      </c>
      <c r="T37">
        <v>990</v>
      </c>
      <c r="U37">
        <v>7891</v>
      </c>
    </row>
    <row r="38" spans="1:21" x14ac:dyDescent="0.3">
      <c r="A38">
        <f t="shared" si="0"/>
        <v>2004</v>
      </c>
      <c r="B38" s="3" t="s">
        <v>128</v>
      </c>
      <c r="C38" t="s">
        <v>129</v>
      </c>
      <c r="D38">
        <v>831.8</v>
      </c>
      <c r="E38">
        <v>162.5</v>
      </c>
      <c r="F38">
        <v>6193.5</v>
      </c>
      <c r="G38">
        <v>10652</v>
      </c>
      <c r="H38">
        <v>2383</v>
      </c>
      <c r="I38">
        <v>47008</v>
      </c>
      <c r="J38">
        <v>1726</v>
      </c>
      <c r="K38">
        <v>135</v>
      </c>
      <c r="L38">
        <v>5720</v>
      </c>
      <c r="M38">
        <v>11930.4</v>
      </c>
      <c r="N38">
        <v>3028.6</v>
      </c>
      <c r="O38">
        <v>35787.5</v>
      </c>
      <c r="P38">
        <v>9367.9</v>
      </c>
      <c r="Q38">
        <v>2436.8000000000002</v>
      </c>
      <c r="R38">
        <v>38118</v>
      </c>
      <c r="S38">
        <v>2380</v>
      </c>
      <c r="T38">
        <v>1304</v>
      </c>
      <c r="U38">
        <v>9876</v>
      </c>
    </row>
    <row r="39" spans="1:21" x14ac:dyDescent="0.3">
      <c r="A39">
        <f t="shared" si="0"/>
        <v>2004</v>
      </c>
      <c r="B39" s="3" t="s">
        <v>130</v>
      </c>
      <c r="C39" t="s">
        <v>131</v>
      </c>
      <c r="D39">
        <v>1105</v>
      </c>
      <c r="E39">
        <v>214.5</v>
      </c>
      <c r="F39">
        <v>6532.2</v>
      </c>
      <c r="G39">
        <v>8662</v>
      </c>
      <c r="H39">
        <v>1939</v>
      </c>
      <c r="I39">
        <v>42487</v>
      </c>
      <c r="J39">
        <v>1093</v>
      </c>
      <c r="K39">
        <v>125</v>
      </c>
      <c r="L39">
        <v>5372</v>
      </c>
      <c r="M39">
        <v>5560</v>
      </c>
      <c r="N39">
        <v>2325.3000000000002</v>
      </c>
      <c r="O39">
        <v>40028.5</v>
      </c>
      <c r="P39">
        <v>4796.8999999999996</v>
      </c>
      <c r="Q39">
        <v>1461.2</v>
      </c>
      <c r="R39">
        <v>32468.2</v>
      </c>
      <c r="S39">
        <v>2276</v>
      </c>
      <c r="T39">
        <v>1241</v>
      </c>
      <c r="U39">
        <v>8003</v>
      </c>
    </row>
    <row r="40" spans="1:21" x14ac:dyDescent="0.3">
      <c r="A40">
        <f t="shared" si="0"/>
        <v>2004</v>
      </c>
      <c r="B40" s="3" t="s">
        <v>132</v>
      </c>
      <c r="C40" t="s">
        <v>133</v>
      </c>
      <c r="D40">
        <v>2027.5</v>
      </c>
      <c r="E40">
        <v>345.4</v>
      </c>
      <c r="F40">
        <v>7988.7</v>
      </c>
      <c r="G40">
        <v>10534</v>
      </c>
      <c r="H40">
        <v>2356</v>
      </c>
      <c r="I40">
        <v>55342</v>
      </c>
      <c r="J40">
        <v>1127</v>
      </c>
      <c r="K40">
        <v>112</v>
      </c>
      <c r="L40">
        <v>4470</v>
      </c>
      <c r="M40">
        <v>6413.3</v>
      </c>
      <c r="N40">
        <v>2221.1999999999998</v>
      </c>
      <c r="O40">
        <v>37801.300000000003</v>
      </c>
      <c r="P40">
        <v>10833.2</v>
      </c>
      <c r="Q40">
        <v>3905.7</v>
      </c>
      <c r="R40">
        <v>51411.9</v>
      </c>
      <c r="S40">
        <v>4008</v>
      </c>
      <c r="T40">
        <v>1201</v>
      </c>
      <c r="U40">
        <v>9435</v>
      </c>
    </row>
    <row r="41" spans="1:21" x14ac:dyDescent="0.3">
      <c r="A41">
        <f t="shared" si="0"/>
        <v>2005</v>
      </c>
      <c r="B41" s="3" t="s">
        <v>134</v>
      </c>
      <c r="C41" t="s">
        <v>135</v>
      </c>
      <c r="D41">
        <v>879.4</v>
      </c>
      <c r="E41">
        <v>163.80000000000001</v>
      </c>
      <c r="F41">
        <v>5956</v>
      </c>
      <c r="G41">
        <v>9813</v>
      </c>
      <c r="H41">
        <v>3280</v>
      </c>
      <c r="I41">
        <v>46309</v>
      </c>
      <c r="J41">
        <v>1073</v>
      </c>
      <c r="K41">
        <v>100</v>
      </c>
      <c r="L41">
        <v>6013</v>
      </c>
      <c r="M41">
        <v>5957.4</v>
      </c>
      <c r="N41">
        <v>1062.5999999999999</v>
      </c>
      <c r="O41">
        <v>36977.1</v>
      </c>
      <c r="P41">
        <v>952.5</v>
      </c>
      <c r="Q41">
        <v>242.8</v>
      </c>
      <c r="R41">
        <v>29002.5</v>
      </c>
      <c r="S41">
        <v>3257</v>
      </c>
      <c r="T41">
        <v>952</v>
      </c>
      <c r="U41">
        <v>8327</v>
      </c>
    </row>
    <row r="42" spans="1:21" x14ac:dyDescent="0.3">
      <c r="A42">
        <f t="shared" si="0"/>
        <v>2005</v>
      </c>
      <c r="B42" s="3" t="s">
        <v>136</v>
      </c>
      <c r="C42" t="s">
        <v>137</v>
      </c>
      <c r="D42">
        <v>759.5</v>
      </c>
      <c r="E42">
        <v>140.19999999999999</v>
      </c>
      <c r="F42">
        <v>6109.2</v>
      </c>
      <c r="G42">
        <v>9050</v>
      </c>
      <c r="H42">
        <v>3025</v>
      </c>
      <c r="I42">
        <v>47198</v>
      </c>
      <c r="J42">
        <v>1611</v>
      </c>
      <c r="K42">
        <v>100</v>
      </c>
      <c r="L42">
        <v>6087</v>
      </c>
      <c r="M42">
        <v>10826.4</v>
      </c>
      <c r="N42">
        <v>2120</v>
      </c>
      <c r="O42">
        <v>38432.1</v>
      </c>
      <c r="P42">
        <v>7716.9</v>
      </c>
      <c r="Q42">
        <v>2559.8000000000002</v>
      </c>
      <c r="R42">
        <v>37736.400000000001</v>
      </c>
      <c r="S42">
        <v>2478</v>
      </c>
      <c r="T42">
        <v>1062</v>
      </c>
      <c r="U42">
        <v>10922</v>
      </c>
    </row>
    <row r="43" spans="1:21" x14ac:dyDescent="0.3">
      <c r="A43">
        <f t="shared" si="0"/>
        <v>2005</v>
      </c>
      <c r="B43" s="3" t="s">
        <v>138</v>
      </c>
      <c r="C43" t="s">
        <v>139</v>
      </c>
      <c r="D43">
        <v>1065</v>
      </c>
      <c r="E43">
        <v>201.2</v>
      </c>
      <c r="F43">
        <v>6502.8</v>
      </c>
      <c r="G43">
        <v>9213</v>
      </c>
      <c r="H43">
        <v>3079</v>
      </c>
      <c r="I43">
        <v>42587</v>
      </c>
      <c r="J43">
        <v>1227</v>
      </c>
      <c r="K43">
        <v>114</v>
      </c>
      <c r="L43">
        <v>5569</v>
      </c>
      <c r="M43">
        <v>7445.8</v>
      </c>
      <c r="N43">
        <v>1734.1</v>
      </c>
      <c r="O43">
        <v>44283.1</v>
      </c>
      <c r="P43">
        <v>4937.8</v>
      </c>
      <c r="Q43">
        <v>1443.3</v>
      </c>
      <c r="R43">
        <v>34219.800000000003</v>
      </c>
      <c r="S43">
        <v>3121</v>
      </c>
      <c r="T43">
        <v>1140</v>
      </c>
      <c r="U43">
        <v>8168</v>
      </c>
    </row>
    <row r="44" spans="1:21" x14ac:dyDescent="0.3">
      <c r="A44">
        <f t="shared" si="0"/>
        <v>2005</v>
      </c>
      <c r="B44" s="3" t="s">
        <v>140</v>
      </c>
      <c r="C44" t="s">
        <v>141</v>
      </c>
      <c r="D44">
        <v>2152.3000000000002</v>
      </c>
      <c r="E44">
        <v>360.7</v>
      </c>
      <c r="F44">
        <v>8091.9</v>
      </c>
      <c r="G44">
        <v>12033</v>
      </c>
      <c r="H44">
        <v>4024</v>
      </c>
      <c r="I44">
        <v>56192</v>
      </c>
      <c r="J44">
        <v>1194</v>
      </c>
      <c r="K44">
        <v>137</v>
      </c>
      <c r="L44">
        <v>4583</v>
      </c>
      <c r="M44">
        <v>9733.2999999999993</v>
      </c>
      <c r="N44">
        <v>2101.6999999999998</v>
      </c>
      <c r="O44">
        <v>36419</v>
      </c>
      <c r="P44">
        <v>12034.8</v>
      </c>
      <c r="Q44">
        <v>4015.2</v>
      </c>
      <c r="R44">
        <v>53992.3</v>
      </c>
      <c r="S44">
        <v>4542</v>
      </c>
      <c r="T44">
        <v>1033</v>
      </c>
      <c r="U44">
        <v>8787</v>
      </c>
    </row>
    <row r="45" spans="1:21" x14ac:dyDescent="0.3">
      <c r="A45">
        <f t="shared" si="0"/>
        <v>2006</v>
      </c>
      <c r="B45" s="3" t="s">
        <v>142</v>
      </c>
      <c r="C45" t="s">
        <v>143</v>
      </c>
      <c r="D45">
        <v>649.20000000000005</v>
      </c>
      <c r="E45">
        <v>110.5</v>
      </c>
      <c r="F45">
        <v>5862.6</v>
      </c>
      <c r="G45">
        <v>13323</v>
      </c>
      <c r="H45">
        <v>1742</v>
      </c>
      <c r="I45">
        <v>47936</v>
      </c>
      <c r="J45">
        <v>1190</v>
      </c>
      <c r="K45">
        <v>172</v>
      </c>
      <c r="L45">
        <v>6325</v>
      </c>
      <c r="M45">
        <v>7904.4</v>
      </c>
      <c r="N45">
        <v>1508.2</v>
      </c>
      <c r="O45">
        <v>39956.800000000003</v>
      </c>
      <c r="P45">
        <v>918.6</v>
      </c>
      <c r="Q45">
        <v>206.3</v>
      </c>
      <c r="R45">
        <v>31156.2</v>
      </c>
      <c r="S45">
        <v>3521</v>
      </c>
      <c r="T45">
        <v>884</v>
      </c>
      <c r="U45">
        <v>8909</v>
      </c>
    </row>
    <row r="46" spans="1:21" x14ac:dyDescent="0.3">
      <c r="A46">
        <f t="shared" si="0"/>
        <v>2006</v>
      </c>
      <c r="B46" s="3" t="s">
        <v>144</v>
      </c>
      <c r="C46" t="s">
        <v>145</v>
      </c>
      <c r="D46">
        <v>988.1</v>
      </c>
      <c r="E46">
        <v>156.19999999999999</v>
      </c>
      <c r="F46">
        <v>6718.9</v>
      </c>
      <c r="G46">
        <v>13985</v>
      </c>
      <c r="H46">
        <v>1828</v>
      </c>
      <c r="I46">
        <v>51389</v>
      </c>
      <c r="J46">
        <v>1422</v>
      </c>
      <c r="K46">
        <v>205</v>
      </c>
      <c r="L46">
        <v>6228</v>
      </c>
      <c r="M46">
        <v>11343.7</v>
      </c>
      <c r="N46">
        <v>2217.6</v>
      </c>
      <c r="O46">
        <v>41099.9</v>
      </c>
      <c r="P46">
        <v>13757.5</v>
      </c>
      <c r="Q46">
        <v>2574.5</v>
      </c>
      <c r="R46">
        <v>42021.3</v>
      </c>
      <c r="S46">
        <v>2412</v>
      </c>
      <c r="T46">
        <v>1041</v>
      </c>
      <c r="U46">
        <v>11346</v>
      </c>
    </row>
    <row r="47" spans="1:21" x14ac:dyDescent="0.3">
      <c r="A47">
        <f t="shared" si="0"/>
        <v>2006</v>
      </c>
      <c r="B47" s="3" t="s">
        <v>146</v>
      </c>
      <c r="C47" t="s">
        <v>147</v>
      </c>
      <c r="D47">
        <v>1328</v>
      </c>
      <c r="E47">
        <v>224.3</v>
      </c>
      <c r="F47">
        <v>6875.1</v>
      </c>
      <c r="G47">
        <v>14710</v>
      </c>
      <c r="H47">
        <v>1922</v>
      </c>
      <c r="I47">
        <v>46248</v>
      </c>
      <c r="J47">
        <v>1238</v>
      </c>
      <c r="K47">
        <v>226</v>
      </c>
      <c r="L47">
        <v>5611</v>
      </c>
      <c r="M47">
        <v>9411.7000000000007</v>
      </c>
      <c r="N47">
        <v>2267.4</v>
      </c>
      <c r="O47">
        <v>43702.400000000001</v>
      </c>
      <c r="P47">
        <v>7341.3</v>
      </c>
      <c r="Q47">
        <v>1296.0999999999999</v>
      </c>
      <c r="R47">
        <v>36208.800000000003</v>
      </c>
      <c r="S47">
        <v>3633</v>
      </c>
      <c r="T47">
        <v>929</v>
      </c>
      <c r="U47">
        <v>9128</v>
      </c>
    </row>
    <row r="48" spans="1:21" x14ac:dyDescent="0.3">
      <c r="A48">
        <f t="shared" si="0"/>
        <v>2006</v>
      </c>
      <c r="B48" s="3" t="s">
        <v>148</v>
      </c>
      <c r="C48" t="s">
        <v>149</v>
      </c>
      <c r="D48">
        <v>2133.3000000000002</v>
      </c>
      <c r="E48">
        <v>334.4</v>
      </c>
      <c r="F48">
        <v>8570.7999999999993</v>
      </c>
      <c r="G48">
        <v>16624</v>
      </c>
      <c r="H48">
        <v>2175</v>
      </c>
      <c r="I48">
        <v>60810</v>
      </c>
      <c r="J48">
        <v>1243</v>
      </c>
      <c r="K48">
        <v>248</v>
      </c>
      <c r="L48">
        <v>4844</v>
      </c>
      <c r="M48">
        <v>14743</v>
      </c>
      <c r="N48">
        <v>3171.6</v>
      </c>
      <c r="O48">
        <v>37355.800000000003</v>
      </c>
      <c r="P48">
        <v>14849.7</v>
      </c>
      <c r="Q48">
        <v>3518.3</v>
      </c>
      <c r="R48">
        <v>57730.5</v>
      </c>
      <c r="S48">
        <v>5261</v>
      </c>
      <c r="T48">
        <v>1023</v>
      </c>
      <c r="U48">
        <v>9801</v>
      </c>
    </row>
    <row r="49" spans="1:21" x14ac:dyDescent="0.3">
      <c r="A49">
        <f t="shared" si="0"/>
        <v>2007</v>
      </c>
      <c r="B49" s="3" t="s">
        <v>150</v>
      </c>
      <c r="C49" t="s">
        <v>151</v>
      </c>
      <c r="D49">
        <v>1027.4000000000001</v>
      </c>
      <c r="E49">
        <v>171.3</v>
      </c>
      <c r="F49">
        <v>6262.3</v>
      </c>
      <c r="G49">
        <v>14064</v>
      </c>
      <c r="H49">
        <v>2431</v>
      </c>
      <c r="I49">
        <v>52868</v>
      </c>
      <c r="J49">
        <v>1031</v>
      </c>
      <c r="K49">
        <v>260</v>
      </c>
      <c r="L49">
        <v>6789</v>
      </c>
      <c r="M49">
        <v>8783.5</v>
      </c>
      <c r="N49">
        <v>2146.3000000000002</v>
      </c>
      <c r="O49">
        <v>38447.300000000003</v>
      </c>
      <c r="P49">
        <v>1323.9</v>
      </c>
      <c r="Q49">
        <v>183.2</v>
      </c>
      <c r="R49">
        <v>32698.5</v>
      </c>
      <c r="S49">
        <v>3800</v>
      </c>
      <c r="T49">
        <v>858</v>
      </c>
      <c r="U49">
        <v>9185</v>
      </c>
    </row>
    <row r="50" spans="1:21" x14ac:dyDescent="0.3">
      <c r="A50">
        <f t="shared" si="0"/>
        <v>2007</v>
      </c>
      <c r="B50" s="3" t="s">
        <v>152</v>
      </c>
      <c r="C50" t="s">
        <v>153</v>
      </c>
      <c r="D50">
        <v>1171.0999999999999</v>
      </c>
      <c r="E50">
        <v>185.5</v>
      </c>
      <c r="F50">
        <v>7095</v>
      </c>
      <c r="G50">
        <v>15181</v>
      </c>
      <c r="H50">
        <v>2624</v>
      </c>
      <c r="I50">
        <v>56058</v>
      </c>
      <c r="J50">
        <v>1982</v>
      </c>
      <c r="K50">
        <v>256</v>
      </c>
      <c r="L50">
        <v>6617</v>
      </c>
      <c r="M50">
        <v>14381.1</v>
      </c>
      <c r="N50">
        <v>3293</v>
      </c>
      <c r="O50">
        <v>41791.1</v>
      </c>
      <c r="P50">
        <v>14619.5</v>
      </c>
      <c r="Q50">
        <v>2475.6999999999998</v>
      </c>
      <c r="R50">
        <v>43001.7</v>
      </c>
      <c r="S50">
        <v>3272</v>
      </c>
      <c r="T50">
        <v>1150</v>
      </c>
      <c r="U50">
        <v>13234</v>
      </c>
    </row>
    <row r="51" spans="1:21" x14ac:dyDescent="0.3">
      <c r="A51">
        <f t="shared" si="0"/>
        <v>2007</v>
      </c>
      <c r="B51" s="3" t="s">
        <v>154</v>
      </c>
      <c r="C51" t="s">
        <v>155</v>
      </c>
      <c r="D51">
        <v>1245.5</v>
      </c>
      <c r="E51">
        <v>207.4</v>
      </c>
      <c r="F51">
        <v>7417.3</v>
      </c>
      <c r="G51">
        <v>13673</v>
      </c>
      <c r="H51">
        <v>2364</v>
      </c>
      <c r="I51">
        <v>50348</v>
      </c>
      <c r="J51">
        <v>1411</v>
      </c>
      <c r="K51">
        <v>232</v>
      </c>
      <c r="L51">
        <v>5966</v>
      </c>
      <c r="M51">
        <v>9487.2000000000007</v>
      </c>
      <c r="N51">
        <v>2387.6999999999998</v>
      </c>
      <c r="O51">
        <v>47719.4</v>
      </c>
      <c r="P51">
        <v>8616.2000000000007</v>
      </c>
      <c r="Q51">
        <v>1483.3</v>
      </c>
      <c r="R51">
        <v>40114.9</v>
      </c>
      <c r="S51">
        <v>3116</v>
      </c>
      <c r="T51">
        <v>918</v>
      </c>
      <c r="U51">
        <v>10206</v>
      </c>
    </row>
    <row r="52" spans="1:21" x14ac:dyDescent="0.3">
      <c r="A52">
        <f t="shared" si="0"/>
        <v>2007</v>
      </c>
      <c r="B52" s="3" t="s">
        <v>156</v>
      </c>
      <c r="C52" t="s">
        <v>157</v>
      </c>
      <c r="D52">
        <v>2625.8</v>
      </c>
      <c r="E52">
        <v>402.3</v>
      </c>
      <c r="F52">
        <v>9506.2999999999993</v>
      </c>
      <c r="G52">
        <v>16388</v>
      </c>
      <c r="H52">
        <v>2830</v>
      </c>
      <c r="I52">
        <v>65550</v>
      </c>
      <c r="J52">
        <v>1935</v>
      </c>
      <c r="K52">
        <v>189</v>
      </c>
      <c r="L52">
        <v>5084</v>
      </c>
      <c r="M52">
        <v>13190.7</v>
      </c>
      <c r="N52">
        <v>2519.4</v>
      </c>
      <c r="O52">
        <v>39123.699999999997</v>
      </c>
      <c r="P52">
        <v>18952.099999999999</v>
      </c>
      <c r="Q52">
        <v>3245</v>
      </c>
      <c r="R52">
        <v>63684.1</v>
      </c>
      <c r="S52">
        <v>6023</v>
      </c>
      <c r="T52">
        <v>863</v>
      </c>
      <c r="U52">
        <v>11569</v>
      </c>
    </row>
    <row r="53" spans="1:21" x14ac:dyDescent="0.3">
      <c r="A53">
        <f t="shared" si="0"/>
        <v>2008</v>
      </c>
      <c r="B53" s="3" t="s">
        <v>158</v>
      </c>
      <c r="C53" t="s">
        <v>159</v>
      </c>
      <c r="D53">
        <v>1152.8</v>
      </c>
      <c r="E53">
        <v>180.2</v>
      </c>
      <c r="F53">
        <v>6829.9</v>
      </c>
      <c r="G53">
        <v>15593</v>
      </c>
      <c r="H53">
        <v>1293</v>
      </c>
      <c r="I53">
        <v>57719</v>
      </c>
      <c r="J53">
        <v>1334</v>
      </c>
      <c r="K53">
        <v>127</v>
      </c>
      <c r="L53">
        <v>7367</v>
      </c>
      <c r="M53">
        <v>12014.8</v>
      </c>
      <c r="N53">
        <v>1708.4</v>
      </c>
      <c r="O53">
        <v>39234.5</v>
      </c>
      <c r="P53">
        <v>1911.8</v>
      </c>
      <c r="Q53">
        <v>227.1</v>
      </c>
      <c r="R53">
        <v>36471.300000000003</v>
      </c>
      <c r="S53">
        <v>3460</v>
      </c>
      <c r="T53">
        <v>982</v>
      </c>
      <c r="U53">
        <v>10463</v>
      </c>
    </row>
    <row r="54" spans="1:21" x14ac:dyDescent="0.3">
      <c r="A54">
        <f t="shared" si="0"/>
        <v>2008</v>
      </c>
      <c r="B54" s="3" t="s">
        <v>160</v>
      </c>
      <c r="C54" t="s">
        <v>161</v>
      </c>
      <c r="D54">
        <v>1216.9000000000001</v>
      </c>
      <c r="E54">
        <v>176.1</v>
      </c>
      <c r="F54">
        <v>7680.7</v>
      </c>
      <c r="G54">
        <v>15672</v>
      </c>
      <c r="H54">
        <v>1299</v>
      </c>
      <c r="I54">
        <v>61799</v>
      </c>
      <c r="J54">
        <v>2578</v>
      </c>
      <c r="K54">
        <v>97</v>
      </c>
      <c r="L54">
        <v>7153</v>
      </c>
      <c r="M54">
        <v>15327</v>
      </c>
      <c r="N54">
        <v>1786.6</v>
      </c>
      <c r="O54">
        <v>43146.6</v>
      </c>
      <c r="P54">
        <v>12239.6</v>
      </c>
      <c r="Q54">
        <v>1628.5</v>
      </c>
      <c r="R54">
        <v>45994.1</v>
      </c>
      <c r="S54">
        <v>3699</v>
      </c>
      <c r="T54">
        <v>904</v>
      </c>
      <c r="U54">
        <v>13118</v>
      </c>
    </row>
    <row r="55" spans="1:21" x14ac:dyDescent="0.3">
      <c r="A55">
        <f t="shared" si="0"/>
        <v>2008</v>
      </c>
      <c r="B55" s="3" t="s">
        <v>162</v>
      </c>
      <c r="C55" t="s">
        <v>163</v>
      </c>
      <c r="D55">
        <v>1433.8</v>
      </c>
      <c r="E55">
        <v>223.8</v>
      </c>
      <c r="F55">
        <v>7912.8</v>
      </c>
      <c r="G55">
        <v>14259</v>
      </c>
      <c r="H55">
        <v>1182</v>
      </c>
      <c r="I55">
        <v>54847</v>
      </c>
      <c r="J55">
        <v>1496</v>
      </c>
      <c r="K55">
        <v>95</v>
      </c>
      <c r="L55">
        <v>6210</v>
      </c>
      <c r="M55">
        <v>10711</v>
      </c>
      <c r="N55">
        <v>1443.6</v>
      </c>
      <c r="O55">
        <v>51194.6</v>
      </c>
      <c r="P55">
        <v>10474.700000000001</v>
      </c>
      <c r="Q55">
        <v>1415.2</v>
      </c>
      <c r="R55">
        <v>42465.4</v>
      </c>
      <c r="S55">
        <v>3534</v>
      </c>
      <c r="T55">
        <v>962</v>
      </c>
      <c r="U55">
        <v>14332</v>
      </c>
    </row>
    <row r="56" spans="1:21" x14ac:dyDescent="0.3">
      <c r="A56">
        <f t="shared" si="0"/>
        <v>2008</v>
      </c>
      <c r="B56" s="3" t="s">
        <v>164</v>
      </c>
      <c r="C56" t="s">
        <v>165</v>
      </c>
      <c r="D56">
        <v>2700.4</v>
      </c>
      <c r="E56">
        <v>380.1</v>
      </c>
      <c r="F56">
        <v>10435.200000000001</v>
      </c>
      <c r="G56">
        <v>13658</v>
      </c>
      <c r="H56">
        <v>1134</v>
      </c>
      <c r="I56">
        <v>69880</v>
      </c>
      <c r="J56">
        <v>1049</v>
      </c>
      <c r="K56">
        <v>122</v>
      </c>
      <c r="L56">
        <v>4915</v>
      </c>
      <c r="M56">
        <v>10287.1</v>
      </c>
      <c r="N56">
        <v>1564.8</v>
      </c>
      <c r="O56">
        <v>43336</v>
      </c>
      <c r="P56">
        <v>17710</v>
      </c>
      <c r="Q56">
        <v>2738.1</v>
      </c>
      <c r="R56">
        <v>64534.400000000001</v>
      </c>
      <c r="S56">
        <v>5505</v>
      </c>
      <c r="T56">
        <v>767</v>
      </c>
      <c r="U56">
        <v>11760</v>
      </c>
    </row>
    <row r="57" spans="1:21" x14ac:dyDescent="0.3">
      <c r="A57">
        <f t="shared" si="0"/>
        <v>2009</v>
      </c>
      <c r="B57" s="3" t="s">
        <v>166</v>
      </c>
      <c r="C57" t="s">
        <v>167</v>
      </c>
      <c r="D57">
        <v>893.3</v>
      </c>
      <c r="E57">
        <v>154.30000000000001</v>
      </c>
      <c r="F57">
        <v>6935</v>
      </c>
      <c r="G57">
        <v>12523</v>
      </c>
      <c r="H57">
        <v>2516</v>
      </c>
      <c r="I57">
        <v>57141</v>
      </c>
      <c r="J57">
        <v>749</v>
      </c>
      <c r="K57">
        <v>180</v>
      </c>
      <c r="L57">
        <v>6980</v>
      </c>
      <c r="M57">
        <v>2909.2</v>
      </c>
      <c r="N57">
        <v>579.9</v>
      </c>
      <c r="O57">
        <v>40736.199999999997</v>
      </c>
      <c r="P57">
        <v>1729.1</v>
      </c>
      <c r="Q57">
        <v>193.1</v>
      </c>
      <c r="R57">
        <v>35171.4</v>
      </c>
      <c r="S57">
        <v>3141</v>
      </c>
      <c r="T57">
        <v>844</v>
      </c>
      <c r="U57">
        <v>12070</v>
      </c>
    </row>
    <row r="58" spans="1:21" x14ac:dyDescent="0.3">
      <c r="A58">
        <f t="shared" si="0"/>
        <v>2009</v>
      </c>
      <c r="B58" s="3" t="s">
        <v>168</v>
      </c>
      <c r="C58" t="s">
        <v>169</v>
      </c>
      <c r="D58">
        <v>852.2</v>
      </c>
      <c r="E58">
        <v>136</v>
      </c>
      <c r="F58">
        <v>6700.3</v>
      </c>
      <c r="G58">
        <v>8609</v>
      </c>
      <c r="H58">
        <v>1729</v>
      </c>
      <c r="I58">
        <v>59429</v>
      </c>
      <c r="J58">
        <v>1301</v>
      </c>
      <c r="K58">
        <v>213</v>
      </c>
      <c r="L58">
        <v>6486</v>
      </c>
      <c r="M58">
        <v>5753.6</v>
      </c>
      <c r="N58">
        <v>1309.2</v>
      </c>
      <c r="O58">
        <v>43550.400000000001</v>
      </c>
      <c r="P58">
        <v>10270.700000000001</v>
      </c>
      <c r="Q58">
        <v>1415.8</v>
      </c>
      <c r="R58">
        <v>43926.5</v>
      </c>
      <c r="S58">
        <v>1992</v>
      </c>
      <c r="T58">
        <v>823</v>
      </c>
      <c r="U58">
        <v>15387</v>
      </c>
    </row>
    <row r="59" spans="1:21" x14ac:dyDescent="0.3">
      <c r="A59">
        <f t="shared" si="0"/>
        <v>2009</v>
      </c>
      <c r="B59" s="3" t="s">
        <v>170</v>
      </c>
      <c r="C59" t="s">
        <v>171</v>
      </c>
      <c r="D59">
        <v>646.70000000000005</v>
      </c>
      <c r="E59">
        <v>107.3</v>
      </c>
      <c r="F59">
        <v>7559.8</v>
      </c>
      <c r="G59">
        <v>7111</v>
      </c>
      <c r="H59">
        <v>1428</v>
      </c>
      <c r="I59">
        <v>51910</v>
      </c>
      <c r="J59">
        <v>655</v>
      </c>
      <c r="K59">
        <v>229</v>
      </c>
      <c r="L59">
        <v>5857</v>
      </c>
      <c r="M59">
        <v>5751.7</v>
      </c>
      <c r="N59">
        <v>1443.3</v>
      </c>
      <c r="O59">
        <v>44911.5</v>
      </c>
      <c r="P59">
        <v>7631.5</v>
      </c>
      <c r="Q59">
        <v>1331.1</v>
      </c>
      <c r="R59">
        <v>41786.6</v>
      </c>
      <c r="S59">
        <v>1511</v>
      </c>
      <c r="T59">
        <v>823</v>
      </c>
      <c r="U59">
        <v>11354</v>
      </c>
    </row>
    <row r="60" spans="1:21" x14ac:dyDescent="0.3">
      <c r="A60">
        <f t="shared" si="0"/>
        <v>2009</v>
      </c>
      <c r="B60" s="3" t="s">
        <v>172</v>
      </c>
      <c r="C60" t="s">
        <v>173</v>
      </c>
      <c r="D60">
        <v>1999.9</v>
      </c>
      <c r="E60">
        <v>296.5</v>
      </c>
      <c r="F60">
        <v>9643.9</v>
      </c>
      <c r="G60">
        <v>9470</v>
      </c>
      <c r="H60">
        <v>1904</v>
      </c>
      <c r="I60">
        <v>63547</v>
      </c>
      <c r="J60">
        <v>404</v>
      </c>
      <c r="K60">
        <v>221</v>
      </c>
      <c r="L60">
        <v>4786</v>
      </c>
      <c r="M60">
        <v>10418.1</v>
      </c>
      <c r="N60">
        <v>2653.7</v>
      </c>
      <c r="O60">
        <v>41717.699999999997</v>
      </c>
      <c r="P60">
        <v>13247.8</v>
      </c>
      <c r="Q60">
        <v>2307.8000000000002</v>
      </c>
      <c r="R60">
        <v>62185.7</v>
      </c>
      <c r="S60">
        <v>2541</v>
      </c>
      <c r="T60">
        <v>852</v>
      </c>
      <c r="U60">
        <v>13335</v>
      </c>
    </row>
    <row r="61" spans="1:21" x14ac:dyDescent="0.3">
      <c r="A61">
        <f t="shared" si="0"/>
        <v>2010</v>
      </c>
      <c r="B61" s="3" t="s">
        <v>174</v>
      </c>
      <c r="C61" t="s">
        <v>175</v>
      </c>
      <c r="D61">
        <v>811.1</v>
      </c>
      <c r="E61">
        <v>139.69999999999999</v>
      </c>
      <c r="F61">
        <v>6338.1</v>
      </c>
      <c r="G61">
        <v>9000</v>
      </c>
      <c r="H61">
        <v>1715</v>
      </c>
      <c r="I61">
        <v>54086</v>
      </c>
      <c r="J61">
        <v>737</v>
      </c>
      <c r="K61">
        <v>186</v>
      </c>
      <c r="L61">
        <v>6236</v>
      </c>
      <c r="M61">
        <v>6643.1</v>
      </c>
      <c r="N61">
        <v>1892.4</v>
      </c>
      <c r="O61">
        <v>41946.7</v>
      </c>
      <c r="P61">
        <v>962.7</v>
      </c>
      <c r="Q61">
        <v>153.80000000000001</v>
      </c>
      <c r="R61">
        <v>35861.699999999997</v>
      </c>
      <c r="S61">
        <v>2905</v>
      </c>
      <c r="T61">
        <v>1144</v>
      </c>
      <c r="U61">
        <v>11650</v>
      </c>
    </row>
    <row r="62" spans="1:21" x14ac:dyDescent="0.3">
      <c r="A62">
        <f t="shared" si="0"/>
        <v>2010</v>
      </c>
      <c r="B62" s="3" t="s">
        <v>176</v>
      </c>
      <c r="C62" t="s">
        <v>177</v>
      </c>
      <c r="D62">
        <v>913.1</v>
      </c>
      <c r="E62">
        <v>143.1</v>
      </c>
      <c r="F62">
        <v>7692.4</v>
      </c>
      <c r="G62">
        <v>11962</v>
      </c>
      <c r="H62">
        <v>2279</v>
      </c>
      <c r="I62">
        <v>58004</v>
      </c>
      <c r="J62">
        <v>1380</v>
      </c>
      <c r="K62">
        <v>166</v>
      </c>
      <c r="L62">
        <v>6489</v>
      </c>
      <c r="M62">
        <v>7830.9</v>
      </c>
      <c r="N62">
        <v>2426.1</v>
      </c>
      <c r="O62">
        <v>45422.400000000001</v>
      </c>
      <c r="P62">
        <v>10076.9</v>
      </c>
      <c r="Q62">
        <v>1372.3</v>
      </c>
      <c r="R62">
        <v>44237</v>
      </c>
      <c r="S62">
        <v>2448</v>
      </c>
      <c r="T62">
        <v>1235</v>
      </c>
      <c r="U62">
        <v>15701</v>
      </c>
    </row>
    <row r="63" spans="1:21" x14ac:dyDescent="0.3">
      <c r="A63">
        <f t="shared" si="0"/>
        <v>2010</v>
      </c>
      <c r="B63" s="3" t="s">
        <v>178</v>
      </c>
      <c r="C63" t="s">
        <v>179</v>
      </c>
      <c r="D63">
        <v>1172.5</v>
      </c>
      <c r="E63">
        <v>198.4</v>
      </c>
      <c r="F63">
        <v>7671.6</v>
      </c>
      <c r="G63">
        <v>9212</v>
      </c>
      <c r="H63">
        <v>1755</v>
      </c>
      <c r="I63">
        <v>49946</v>
      </c>
      <c r="J63">
        <v>774</v>
      </c>
      <c r="K63">
        <v>156</v>
      </c>
      <c r="L63">
        <v>5966</v>
      </c>
      <c r="M63">
        <v>7796</v>
      </c>
      <c r="N63">
        <v>2554</v>
      </c>
      <c r="O63">
        <v>44634.400000000001</v>
      </c>
      <c r="P63">
        <v>7015</v>
      </c>
      <c r="Q63">
        <v>1046.3</v>
      </c>
      <c r="R63">
        <v>43798.2</v>
      </c>
      <c r="S63">
        <v>1123</v>
      </c>
      <c r="T63">
        <v>1187</v>
      </c>
      <c r="U63">
        <v>11776</v>
      </c>
    </row>
    <row r="64" spans="1:21" x14ac:dyDescent="0.3">
      <c r="A64">
        <f t="shared" si="0"/>
        <v>2010</v>
      </c>
      <c r="B64" s="3" t="s">
        <v>180</v>
      </c>
      <c r="C64" t="s">
        <v>181</v>
      </c>
      <c r="D64">
        <v>2066.6999999999998</v>
      </c>
      <c r="E64">
        <v>327.2</v>
      </c>
      <c r="F64">
        <v>9645.6</v>
      </c>
      <c r="G64">
        <v>13812</v>
      </c>
      <c r="H64">
        <v>2630</v>
      </c>
      <c r="I64">
        <v>62607</v>
      </c>
      <c r="J64">
        <v>952</v>
      </c>
      <c r="K64">
        <v>155</v>
      </c>
      <c r="L64">
        <v>4517</v>
      </c>
      <c r="M64">
        <v>10731.3</v>
      </c>
      <c r="N64">
        <v>3154.8</v>
      </c>
      <c r="O64">
        <v>43297.8</v>
      </c>
      <c r="P64">
        <v>14624.3</v>
      </c>
      <c r="Q64">
        <v>2212.1</v>
      </c>
      <c r="R64">
        <v>64242.9</v>
      </c>
      <c r="S64">
        <v>2912</v>
      </c>
      <c r="T64">
        <v>1115</v>
      </c>
      <c r="U64">
        <v>13394</v>
      </c>
    </row>
    <row r="65" spans="1:21" x14ac:dyDescent="0.3">
      <c r="A65">
        <f t="shared" si="0"/>
        <v>2011</v>
      </c>
      <c r="B65" s="3" t="s">
        <v>182</v>
      </c>
      <c r="C65" t="s">
        <v>183</v>
      </c>
      <c r="D65">
        <v>881.9</v>
      </c>
      <c r="E65">
        <v>147.69999999999999</v>
      </c>
      <c r="F65">
        <v>6807.2</v>
      </c>
      <c r="G65">
        <v>15337</v>
      </c>
      <c r="H65">
        <v>1614</v>
      </c>
      <c r="I65">
        <v>55447</v>
      </c>
      <c r="J65">
        <v>714</v>
      </c>
      <c r="K65">
        <v>164</v>
      </c>
      <c r="L65">
        <v>6951</v>
      </c>
      <c r="M65">
        <v>8352.9</v>
      </c>
      <c r="N65">
        <v>2730.5</v>
      </c>
      <c r="O65">
        <v>43914.3</v>
      </c>
      <c r="P65">
        <v>1042.4000000000001</v>
      </c>
      <c r="Q65">
        <v>189.8</v>
      </c>
      <c r="R65">
        <v>38254.699999999997</v>
      </c>
      <c r="S65">
        <v>3340</v>
      </c>
      <c r="T65">
        <v>1075</v>
      </c>
      <c r="U65">
        <v>12252</v>
      </c>
    </row>
    <row r="66" spans="1:21" x14ac:dyDescent="0.3">
      <c r="A66">
        <f t="shared" si="0"/>
        <v>2011</v>
      </c>
      <c r="B66" s="3" t="s">
        <v>184</v>
      </c>
      <c r="C66" t="s">
        <v>185</v>
      </c>
      <c r="D66">
        <v>985.2</v>
      </c>
      <c r="E66">
        <v>149.1</v>
      </c>
      <c r="F66">
        <v>7949.5</v>
      </c>
      <c r="G66">
        <v>14466</v>
      </c>
      <c r="H66">
        <v>1522</v>
      </c>
      <c r="I66">
        <v>62016</v>
      </c>
      <c r="J66">
        <v>1666</v>
      </c>
      <c r="K66">
        <v>161</v>
      </c>
      <c r="L66">
        <v>6998</v>
      </c>
      <c r="M66">
        <v>10125</v>
      </c>
      <c r="N66">
        <v>3128.4</v>
      </c>
      <c r="O66">
        <v>43697.3</v>
      </c>
      <c r="P66">
        <v>9160</v>
      </c>
      <c r="Q66">
        <v>1391.3</v>
      </c>
      <c r="R66">
        <v>44633.8</v>
      </c>
      <c r="S66">
        <v>1853</v>
      </c>
      <c r="T66">
        <v>1231</v>
      </c>
      <c r="U66">
        <v>17127</v>
      </c>
    </row>
    <row r="67" spans="1:21" x14ac:dyDescent="0.3">
      <c r="A67">
        <f t="shared" si="0"/>
        <v>2011</v>
      </c>
      <c r="B67" s="3" t="s">
        <v>186</v>
      </c>
      <c r="C67" t="s">
        <v>187</v>
      </c>
      <c r="D67">
        <v>1498.1</v>
      </c>
      <c r="E67">
        <v>254.1</v>
      </c>
      <c r="F67">
        <v>7925.7</v>
      </c>
      <c r="G67">
        <v>11888</v>
      </c>
      <c r="H67">
        <v>1251</v>
      </c>
      <c r="I67">
        <v>52578</v>
      </c>
      <c r="J67">
        <v>1088</v>
      </c>
      <c r="K67">
        <v>158</v>
      </c>
      <c r="L67">
        <v>6486</v>
      </c>
      <c r="M67">
        <v>8462.7000000000007</v>
      </c>
      <c r="N67">
        <v>3373.1</v>
      </c>
      <c r="O67">
        <v>48971.1</v>
      </c>
      <c r="P67">
        <v>6817.4</v>
      </c>
      <c r="Q67">
        <v>1310.5</v>
      </c>
      <c r="R67">
        <v>43721.3</v>
      </c>
      <c r="S67">
        <v>2024</v>
      </c>
      <c r="T67">
        <v>1105</v>
      </c>
      <c r="U67">
        <v>12055</v>
      </c>
    </row>
    <row r="68" spans="1:21" x14ac:dyDescent="0.3">
      <c r="A68">
        <f t="shared" si="0"/>
        <v>2011</v>
      </c>
      <c r="B68" s="3" t="s">
        <v>188</v>
      </c>
      <c r="C68" t="s">
        <v>189</v>
      </c>
      <c r="D68">
        <v>2190.9</v>
      </c>
      <c r="E68">
        <v>339.4</v>
      </c>
      <c r="F68">
        <v>10051.5</v>
      </c>
      <c r="G68">
        <v>16393</v>
      </c>
      <c r="H68">
        <v>1728</v>
      </c>
      <c r="I68">
        <v>65504</v>
      </c>
      <c r="J68">
        <v>988</v>
      </c>
      <c r="K68">
        <v>141</v>
      </c>
      <c r="L68">
        <v>4426</v>
      </c>
      <c r="M68">
        <v>11006.7</v>
      </c>
      <c r="N68">
        <v>3420.6</v>
      </c>
      <c r="O68">
        <v>48196.5</v>
      </c>
      <c r="P68">
        <v>14140.9</v>
      </c>
      <c r="Q68">
        <v>2796.1</v>
      </c>
      <c r="R68">
        <v>62540.9</v>
      </c>
      <c r="S68">
        <v>1821</v>
      </c>
      <c r="T68">
        <v>1209</v>
      </c>
      <c r="U68">
        <v>14087</v>
      </c>
    </row>
    <row r="69" spans="1:21" x14ac:dyDescent="0.3">
      <c r="A69">
        <f t="shared" si="0"/>
        <v>2012</v>
      </c>
      <c r="B69" s="3" t="s">
        <v>190</v>
      </c>
      <c r="C69" t="s">
        <v>191</v>
      </c>
      <c r="D69">
        <v>973.8</v>
      </c>
      <c r="E69">
        <v>174.9</v>
      </c>
      <c r="F69">
        <v>7098.3</v>
      </c>
      <c r="G69">
        <v>16716</v>
      </c>
      <c r="H69">
        <v>2818</v>
      </c>
      <c r="I69">
        <v>58112</v>
      </c>
      <c r="J69">
        <v>901</v>
      </c>
      <c r="K69">
        <v>120</v>
      </c>
      <c r="L69">
        <v>7288</v>
      </c>
      <c r="M69">
        <v>7812.6</v>
      </c>
      <c r="N69">
        <v>2799.7</v>
      </c>
      <c r="O69">
        <v>46532.5</v>
      </c>
      <c r="P69">
        <v>1199.4000000000001</v>
      </c>
      <c r="Q69">
        <v>239.9</v>
      </c>
      <c r="R69">
        <v>38726.5</v>
      </c>
      <c r="S69">
        <v>3600</v>
      </c>
      <c r="T69">
        <v>1214</v>
      </c>
      <c r="U69">
        <v>12264</v>
      </c>
    </row>
    <row r="70" spans="1:21" x14ac:dyDescent="0.3">
      <c r="A70">
        <f t="shared" si="0"/>
        <v>2012</v>
      </c>
      <c r="B70" s="3" t="s">
        <v>192</v>
      </c>
      <c r="C70" t="s">
        <v>193</v>
      </c>
      <c r="D70">
        <v>1191.7</v>
      </c>
      <c r="E70">
        <v>198.9</v>
      </c>
      <c r="F70">
        <v>8323.2999999999993</v>
      </c>
      <c r="G70">
        <v>14832</v>
      </c>
      <c r="H70">
        <v>2500</v>
      </c>
      <c r="I70">
        <v>65562</v>
      </c>
      <c r="J70">
        <v>1313</v>
      </c>
      <c r="K70">
        <v>108</v>
      </c>
      <c r="L70">
        <v>7136</v>
      </c>
      <c r="M70">
        <v>9781.1</v>
      </c>
      <c r="N70">
        <v>3560.5</v>
      </c>
      <c r="O70">
        <v>47114</v>
      </c>
      <c r="P70">
        <v>9095.2999999999993</v>
      </c>
      <c r="Q70">
        <v>1633.7</v>
      </c>
      <c r="R70">
        <v>46989.3</v>
      </c>
      <c r="S70">
        <v>2049</v>
      </c>
      <c r="T70">
        <v>1326</v>
      </c>
      <c r="U70">
        <v>17356</v>
      </c>
    </row>
    <row r="71" spans="1:21" x14ac:dyDescent="0.3">
      <c r="A71">
        <f t="shared" si="0"/>
        <v>2012</v>
      </c>
      <c r="B71" s="3" t="s">
        <v>194</v>
      </c>
      <c r="C71" t="s">
        <v>195</v>
      </c>
      <c r="D71">
        <v>1154</v>
      </c>
      <c r="E71">
        <v>196.6</v>
      </c>
      <c r="F71">
        <v>8393.7000000000007</v>
      </c>
      <c r="G71">
        <v>13531</v>
      </c>
      <c r="H71">
        <v>2282</v>
      </c>
      <c r="I71">
        <v>58478</v>
      </c>
      <c r="J71">
        <v>875</v>
      </c>
      <c r="K71">
        <v>116</v>
      </c>
      <c r="L71">
        <v>6298</v>
      </c>
      <c r="M71">
        <v>8396.7999999999993</v>
      </c>
      <c r="N71">
        <v>3045.9</v>
      </c>
      <c r="O71">
        <v>51786.6</v>
      </c>
      <c r="P71">
        <v>7340.2</v>
      </c>
      <c r="Q71">
        <v>1556.5</v>
      </c>
      <c r="R71">
        <v>45151.8</v>
      </c>
      <c r="S71">
        <v>1389</v>
      </c>
      <c r="T71">
        <v>1089</v>
      </c>
      <c r="U71">
        <v>12296</v>
      </c>
    </row>
    <row r="72" spans="1:21" x14ac:dyDescent="0.3">
      <c r="A72">
        <f t="shared" si="0"/>
        <v>2012</v>
      </c>
      <c r="B72" s="3" t="s">
        <v>196</v>
      </c>
      <c r="C72" t="s">
        <v>197</v>
      </c>
      <c r="D72">
        <v>2376.9</v>
      </c>
      <c r="E72">
        <v>385.1</v>
      </c>
      <c r="F72">
        <v>10794.8</v>
      </c>
      <c r="G72">
        <v>13832</v>
      </c>
      <c r="H72">
        <v>2332</v>
      </c>
      <c r="I72">
        <v>70554</v>
      </c>
      <c r="J72">
        <v>594</v>
      </c>
      <c r="K72">
        <v>131</v>
      </c>
      <c r="L72">
        <v>4996</v>
      </c>
      <c r="M72">
        <v>12828.2</v>
      </c>
      <c r="N72">
        <v>4052.1</v>
      </c>
      <c r="O72">
        <v>55866.3</v>
      </c>
      <c r="P72">
        <v>14701.1</v>
      </c>
      <c r="Q72">
        <v>3235.5</v>
      </c>
      <c r="R72">
        <v>68341.899999999994</v>
      </c>
      <c r="S72">
        <v>1822</v>
      </c>
      <c r="T72">
        <v>1156</v>
      </c>
      <c r="U72">
        <v>14092</v>
      </c>
    </row>
    <row r="73" spans="1:21" x14ac:dyDescent="0.3">
      <c r="A73">
        <f t="shared" si="0"/>
        <v>2013</v>
      </c>
      <c r="B73" s="3" t="s">
        <v>198</v>
      </c>
      <c r="C73" t="s">
        <v>199</v>
      </c>
      <c r="D73">
        <v>1094.5999999999999</v>
      </c>
      <c r="E73">
        <v>184.3</v>
      </c>
      <c r="F73">
        <v>7428.6</v>
      </c>
      <c r="G73">
        <v>15154</v>
      </c>
      <c r="H73">
        <v>2445</v>
      </c>
      <c r="I73">
        <v>62498</v>
      </c>
      <c r="J73">
        <v>753</v>
      </c>
      <c r="K73">
        <v>163</v>
      </c>
      <c r="L73">
        <v>7328</v>
      </c>
      <c r="M73">
        <v>8570.7000000000007</v>
      </c>
      <c r="N73">
        <v>3038.4</v>
      </c>
      <c r="O73">
        <v>48752.9</v>
      </c>
      <c r="P73">
        <v>1299.3</v>
      </c>
      <c r="Q73">
        <v>229</v>
      </c>
      <c r="R73">
        <v>39655</v>
      </c>
      <c r="S73">
        <v>3180</v>
      </c>
      <c r="T73">
        <v>1200</v>
      </c>
      <c r="U73">
        <v>12268</v>
      </c>
    </row>
    <row r="74" spans="1:21" x14ac:dyDescent="0.3">
      <c r="A74">
        <f t="shared" si="0"/>
        <v>2013</v>
      </c>
      <c r="B74" s="3" t="s">
        <v>200</v>
      </c>
      <c r="C74" t="s">
        <v>201</v>
      </c>
      <c r="D74">
        <v>1080</v>
      </c>
      <c r="E74">
        <v>176.2</v>
      </c>
      <c r="F74">
        <v>8696.4</v>
      </c>
      <c r="G74">
        <v>15735</v>
      </c>
      <c r="H74">
        <v>2539</v>
      </c>
      <c r="I74">
        <v>70064</v>
      </c>
      <c r="J74">
        <v>1412</v>
      </c>
      <c r="K74">
        <v>190</v>
      </c>
      <c r="L74">
        <v>7531</v>
      </c>
      <c r="M74">
        <v>11057.3</v>
      </c>
      <c r="N74">
        <v>3770.7</v>
      </c>
      <c r="O74">
        <v>51160.5</v>
      </c>
      <c r="P74">
        <v>12660.3</v>
      </c>
      <c r="Q74">
        <v>2163.8000000000002</v>
      </c>
      <c r="R74">
        <v>47940.800000000003</v>
      </c>
      <c r="S74">
        <v>2016</v>
      </c>
      <c r="T74">
        <v>1239</v>
      </c>
      <c r="U74">
        <v>17137</v>
      </c>
    </row>
    <row r="75" spans="1:21" x14ac:dyDescent="0.3">
      <c r="A75">
        <f t="shared" si="0"/>
        <v>2013</v>
      </c>
      <c r="B75" s="3" t="s">
        <v>202</v>
      </c>
      <c r="C75" t="s">
        <v>203</v>
      </c>
      <c r="D75">
        <v>1384.2</v>
      </c>
      <c r="E75">
        <v>235.3</v>
      </c>
      <c r="F75">
        <v>8934.9</v>
      </c>
      <c r="G75">
        <v>12579</v>
      </c>
      <c r="H75">
        <v>2031</v>
      </c>
      <c r="I75">
        <v>61273</v>
      </c>
      <c r="J75">
        <v>890</v>
      </c>
      <c r="K75">
        <v>206</v>
      </c>
      <c r="L75">
        <v>6782</v>
      </c>
      <c r="M75">
        <v>9612.2999999999993</v>
      </c>
      <c r="N75">
        <v>3434.1</v>
      </c>
      <c r="O75">
        <v>56388.7</v>
      </c>
      <c r="P75">
        <v>6258.6</v>
      </c>
      <c r="Q75">
        <v>1200.4000000000001</v>
      </c>
      <c r="R75">
        <v>42203.8</v>
      </c>
      <c r="S75">
        <v>2082</v>
      </c>
      <c r="T75">
        <v>1209</v>
      </c>
      <c r="U75">
        <v>11817</v>
      </c>
    </row>
    <row r="76" spans="1:21" x14ac:dyDescent="0.3">
      <c r="A76">
        <f t="shared" si="0"/>
        <v>2013</v>
      </c>
      <c r="B76" s="3" t="s">
        <v>204</v>
      </c>
      <c r="C76" t="s">
        <v>205</v>
      </c>
      <c r="D76">
        <v>2548.1999999999998</v>
      </c>
      <c r="E76">
        <v>424.2</v>
      </c>
      <c r="F76">
        <v>10831.2</v>
      </c>
      <c r="G76">
        <v>14383</v>
      </c>
      <c r="H76">
        <v>2321</v>
      </c>
      <c r="I76">
        <v>73522</v>
      </c>
      <c r="J76">
        <v>874</v>
      </c>
      <c r="K76">
        <v>217</v>
      </c>
      <c r="L76">
        <v>5178</v>
      </c>
      <c r="M76">
        <v>12146.6</v>
      </c>
      <c r="N76">
        <v>3399.9</v>
      </c>
      <c r="O76">
        <v>55309</v>
      </c>
      <c r="P76">
        <v>14319</v>
      </c>
      <c r="Q76">
        <v>3036.5</v>
      </c>
      <c r="R76">
        <v>68495.600000000006</v>
      </c>
      <c r="S76">
        <v>2148</v>
      </c>
      <c r="T76">
        <v>1037</v>
      </c>
      <c r="U76">
        <v>13973</v>
      </c>
    </row>
    <row r="77" spans="1:21" x14ac:dyDescent="0.3">
      <c r="A77">
        <f t="shared" si="0"/>
        <v>2014</v>
      </c>
      <c r="B77" s="3" t="s">
        <v>206</v>
      </c>
      <c r="C77" t="s">
        <v>207</v>
      </c>
      <c r="D77">
        <v>1138.7</v>
      </c>
      <c r="E77">
        <v>196.7</v>
      </c>
      <c r="F77">
        <v>8108.4</v>
      </c>
      <c r="G77">
        <v>15181</v>
      </c>
      <c r="H77">
        <v>2060</v>
      </c>
      <c r="I77">
        <v>65068</v>
      </c>
      <c r="J77">
        <v>591</v>
      </c>
      <c r="K77">
        <v>221</v>
      </c>
      <c r="L77">
        <v>7752</v>
      </c>
      <c r="M77">
        <v>9398.9</v>
      </c>
      <c r="N77">
        <v>2914.4</v>
      </c>
      <c r="O77">
        <v>50944</v>
      </c>
      <c r="P77">
        <v>1026.4000000000001</v>
      </c>
      <c r="Q77">
        <v>229.7</v>
      </c>
      <c r="R77">
        <v>38333.800000000003</v>
      </c>
      <c r="S77">
        <v>3677</v>
      </c>
      <c r="T77">
        <v>1507</v>
      </c>
      <c r="U77">
        <v>12645</v>
      </c>
    </row>
    <row r="78" spans="1:21" x14ac:dyDescent="0.3">
      <c r="A78">
        <f t="shared" si="0"/>
        <v>2014</v>
      </c>
      <c r="B78" s="3" t="s">
        <v>208</v>
      </c>
      <c r="C78" t="s">
        <v>209</v>
      </c>
      <c r="D78">
        <v>1187.4000000000001</v>
      </c>
      <c r="E78">
        <v>190.6</v>
      </c>
      <c r="F78">
        <v>9367.2999999999993</v>
      </c>
      <c r="G78">
        <v>15208</v>
      </c>
      <c r="H78">
        <v>2064</v>
      </c>
      <c r="I78">
        <v>71107</v>
      </c>
      <c r="J78">
        <v>997</v>
      </c>
      <c r="K78">
        <v>216</v>
      </c>
      <c r="L78">
        <v>7873</v>
      </c>
      <c r="M78">
        <v>9661.7000000000007</v>
      </c>
      <c r="N78">
        <v>3658.1</v>
      </c>
      <c r="O78">
        <v>52899.1</v>
      </c>
      <c r="P78">
        <v>11132.4</v>
      </c>
      <c r="Q78">
        <v>1595.7</v>
      </c>
      <c r="R78">
        <v>47937.3</v>
      </c>
      <c r="S78">
        <v>2957</v>
      </c>
      <c r="T78">
        <v>1594</v>
      </c>
      <c r="U78">
        <v>17733</v>
      </c>
    </row>
    <row r="79" spans="1:21" x14ac:dyDescent="0.3">
      <c r="A79">
        <f t="shared" si="0"/>
        <v>2014</v>
      </c>
      <c r="B79" s="3" t="s">
        <v>210</v>
      </c>
      <c r="C79" t="s">
        <v>211</v>
      </c>
      <c r="D79">
        <v>1564.4</v>
      </c>
      <c r="E79">
        <v>268.8</v>
      </c>
      <c r="F79">
        <v>9320.9</v>
      </c>
      <c r="G79">
        <v>14195</v>
      </c>
      <c r="H79">
        <v>1926</v>
      </c>
      <c r="I79">
        <v>64040</v>
      </c>
      <c r="J79">
        <v>758</v>
      </c>
      <c r="K79">
        <v>196</v>
      </c>
      <c r="L79">
        <v>7164</v>
      </c>
      <c r="M79">
        <v>8825</v>
      </c>
      <c r="N79">
        <v>3224.7</v>
      </c>
      <c r="O79">
        <v>56657.8</v>
      </c>
      <c r="P79">
        <v>6226.6</v>
      </c>
      <c r="Q79">
        <v>1221.0999999999999</v>
      </c>
      <c r="R79">
        <v>42874.2</v>
      </c>
      <c r="S79">
        <v>2576</v>
      </c>
      <c r="T79">
        <v>1214</v>
      </c>
      <c r="U79">
        <v>13368</v>
      </c>
    </row>
    <row r="80" spans="1:21" x14ac:dyDescent="0.3">
      <c r="A80">
        <f t="shared" si="0"/>
        <v>2014</v>
      </c>
      <c r="B80" s="3" t="s">
        <v>212</v>
      </c>
      <c r="C80" t="s">
        <v>213</v>
      </c>
      <c r="D80">
        <v>2245.6</v>
      </c>
      <c r="E80">
        <v>370.2</v>
      </c>
      <c r="F80">
        <v>11252.3</v>
      </c>
      <c r="G80">
        <v>15278</v>
      </c>
      <c r="H80">
        <v>2073</v>
      </c>
      <c r="I80">
        <v>77687</v>
      </c>
      <c r="J80">
        <v>668</v>
      </c>
      <c r="K80">
        <v>167</v>
      </c>
      <c r="L80">
        <v>5568</v>
      </c>
      <c r="M80">
        <v>12381.3</v>
      </c>
      <c r="N80">
        <v>4034.2</v>
      </c>
      <c r="O80">
        <v>54830.5</v>
      </c>
      <c r="P80">
        <v>11397.6</v>
      </c>
      <c r="Q80">
        <v>2735.8</v>
      </c>
      <c r="R80">
        <v>69779.3</v>
      </c>
      <c r="S80">
        <v>1898</v>
      </c>
      <c r="T80">
        <v>979</v>
      </c>
      <c r="U80">
        <v>15518</v>
      </c>
    </row>
    <row r="81" spans="1:21" x14ac:dyDescent="0.3">
      <c r="A81">
        <f t="shared" si="0"/>
        <v>2015</v>
      </c>
      <c r="B81" s="3" t="s">
        <v>214</v>
      </c>
      <c r="C81" t="s">
        <v>215</v>
      </c>
      <c r="D81">
        <v>1280.5</v>
      </c>
      <c r="E81">
        <v>233.9</v>
      </c>
      <c r="F81">
        <v>8634.4</v>
      </c>
      <c r="G81">
        <v>16019</v>
      </c>
      <c r="H81">
        <v>2355</v>
      </c>
      <c r="I81">
        <v>70270</v>
      </c>
      <c r="J81">
        <v>725</v>
      </c>
      <c r="K81">
        <v>125</v>
      </c>
      <c r="L81">
        <v>7940</v>
      </c>
      <c r="M81">
        <v>8534.1</v>
      </c>
      <c r="N81">
        <v>3334.7</v>
      </c>
      <c r="O81">
        <v>52569.1</v>
      </c>
      <c r="P81">
        <v>788.4</v>
      </c>
      <c r="Q81">
        <v>198.2</v>
      </c>
      <c r="R81">
        <v>40451.800000000003</v>
      </c>
      <c r="S81">
        <v>5257</v>
      </c>
      <c r="T81">
        <v>1438</v>
      </c>
      <c r="U81">
        <v>14021</v>
      </c>
    </row>
    <row r="82" spans="1:21" x14ac:dyDescent="0.3">
      <c r="A82">
        <f t="shared" ref="A82:A121" si="1">VALUE((_xlfn.TEXTBEFORE(B82,"-")))</f>
        <v>2015</v>
      </c>
      <c r="B82" s="3" t="s">
        <v>216</v>
      </c>
      <c r="C82" t="s">
        <v>217</v>
      </c>
      <c r="D82">
        <v>1167.9000000000001</v>
      </c>
      <c r="E82">
        <v>213.6</v>
      </c>
      <c r="F82">
        <v>9823.1</v>
      </c>
      <c r="G82">
        <v>15531</v>
      </c>
      <c r="H82">
        <v>2283</v>
      </c>
      <c r="I82">
        <v>73178</v>
      </c>
      <c r="J82">
        <v>1533</v>
      </c>
      <c r="K82">
        <v>85</v>
      </c>
      <c r="L82">
        <v>8145</v>
      </c>
      <c r="M82">
        <v>8108</v>
      </c>
      <c r="N82">
        <v>3837.6</v>
      </c>
      <c r="O82">
        <v>54611.3</v>
      </c>
      <c r="P82">
        <v>8946.7999999999993</v>
      </c>
      <c r="Q82">
        <v>1519.9</v>
      </c>
      <c r="R82">
        <v>48446.400000000001</v>
      </c>
      <c r="S82">
        <v>2627</v>
      </c>
      <c r="T82">
        <v>1824</v>
      </c>
      <c r="U82">
        <v>20768</v>
      </c>
    </row>
    <row r="83" spans="1:21" x14ac:dyDescent="0.3">
      <c r="A83">
        <f t="shared" si="1"/>
        <v>2015</v>
      </c>
      <c r="B83" s="3" t="s">
        <v>218</v>
      </c>
      <c r="C83" t="s">
        <v>219</v>
      </c>
      <c r="D83">
        <v>1723.9</v>
      </c>
      <c r="E83">
        <v>324.3</v>
      </c>
      <c r="F83">
        <v>9804.7999999999993</v>
      </c>
      <c r="G83">
        <v>15066</v>
      </c>
      <c r="H83">
        <v>2214</v>
      </c>
      <c r="I83">
        <v>67951</v>
      </c>
      <c r="J83">
        <v>971</v>
      </c>
      <c r="K83">
        <v>39</v>
      </c>
      <c r="L83">
        <v>6954</v>
      </c>
      <c r="M83">
        <v>9057.9</v>
      </c>
      <c r="N83">
        <v>3598.2</v>
      </c>
      <c r="O83">
        <v>56975</v>
      </c>
      <c r="P83">
        <v>6272.2</v>
      </c>
      <c r="Q83">
        <v>1335.7</v>
      </c>
      <c r="R83">
        <v>44965.3</v>
      </c>
      <c r="S83">
        <v>2378</v>
      </c>
      <c r="T83">
        <v>1371</v>
      </c>
      <c r="U83">
        <v>12656</v>
      </c>
    </row>
    <row r="84" spans="1:21" x14ac:dyDescent="0.3">
      <c r="A84">
        <f t="shared" si="1"/>
        <v>2015</v>
      </c>
      <c r="B84" s="3" t="s">
        <v>220</v>
      </c>
      <c r="C84" t="s">
        <v>221</v>
      </c>
      <c r="D84">
        <v>2438.6</v>
      </c>
      <c r="E84">
        <v>400.9</v>
      </c>
      <c r="F84">
        <v>12219.4</v>
      </c>
      <c r="G84">
        <v>14362</v>
      </c>
      <c r="H84">
        <v>2111</v>
      </c>
      <c r="I84">
        <v>80282</v>
      </c>
      <c r="J84">
        <v>320</v>
      </c>
      <c r="K84">
        <v>670</v>
      </c>
      <c r="L84">
        <v>5663</v>
      </c>
      <c r="M84">
        <v>14171.2</v>
      </c>
      <c r="N84">
        <v>4850.7</v>
      </c>
      <c r="O84">
        <v>55088.4</v>
      </c>
      <c r="P84">
        <v>12134.7</v>
      </c>
      <c r="Q84">
        <v>2968</v>
      </c>
      <c r="R84">
        <v>72142.600000000006</v>
      </c>
      <c r="S84">
        <v>3089</v>
      </c>
      <c r="T84">
        <v>832</v>
      </c>
      <c r="U84">
        <v>14485</v>
      </c>
    </row>
    <row r="85" spans="1:21" x14ac:dyDescent="0.3">
      <c r="A85">
        <f t="shared" si="1"/>
        <v>2016</v>
      </c>
      <c r="B85" s="3" t="s">
        <v>222</v>
      </c>
      <c r="C85" t="s">
        <v>223</v>
      </c>
      <c r="D85">
        <v>1255.8</v>
      </c>
      <c r="E85">
        <v>209.8</v>
      </c>
      <c r="F85">
        <v>7753.8</v>
      </c>
      <c r="G85">
        <v>18438</v>
      </c>
      <c r="H85">
        <v>2626</v>
      </c>
      <c r="I85">
        <v>72957</v>
      </c>
      <c r="J85">
        <v>649</v>
      </c>
      <c r="K85">
        <v>299</v>
      </c>
      <c r="L85">
        <v>8086</v>
      </c>
      <c r="M85">
        <v>8946</v>
      </c>
      <c r="N85">
        <v>3170.9</v>
      </c>
      <c r="O85">
        <v>52752.5</v>
      </c>
      <c r="P85">
        <v>860.7</v>
      </c>
      <c r="Q85">
        <v>182.4</v>
      </c>
      <c r="R85">
        <v>40988.5</v>
      </c>
      <c r="S85">
        <v>6860</v>
      </c>
      <c r="T85">
        <v>1174</v>
      </c>
      <c r="U85">
        <v>13947</v>
      </c>
    </row>
    <row r="86" spans="1:21" x14ac:dyDescent="0.3">
      <c r="A86">
        <f t="shared" si="1"/>
        <v>2016</v>
      </c>
      <c r="B86" s="3" t="s">
        <v>224</v>
      </c>
      <c r="C86" t="s">
        <v>225</v>
      </c>
      <c r="D86">
        <v>1224.7</v>
      </c>
      <c r="E86">
        <v>193.7</v>
      </c>
      <c r="F86">
        <v>8987.1</v>
      </c>
      <c r="G86">
        <v>17864</v>
      </c>
      <c r="H86">
        <v>2544</v>
      </c>
      <c r="I86">
        <v>76951</v>
      </c>
      <c r="J86">
        <v>1225</v>
      </c>
      <c r="K86">
        <v>169</v>
      </c>
      <c r="L86">
        <v>8199</v>
      </c>
      <c r="M86">
        <v>8904.1</v>
      </c>
      <c r="N86">
        <v>3391.8</v>
      </c>
      <c r="O86">
        <v>55192.7</v>
      </c>
      <c r="P86">
        <v>10224.6</v>
      </c>
      <c r="Q86">
        <v>1756.6</v>
      </c>
      <c r="R86">
        <v>49973.4</v>
      </c>
      <c r="S86">
        <v>4646</v>
      </c>
      <c r="T86">
        <v>2042</v>
      </c>
      <c r="U86">
        <v>17466</v>
      </c>
    </row>
    <row r="87" spans="1:21" x14ac:dyDescent="0.3">
      <c r="A87">
        <f t="shared" si="1"/>
        <v>2016</v>
      </c>
      <c r="B87" s="3" t="s">
        <v>226</v>
      </c>
      <c r="C87" t="s">
        <v>227</v>
      </c>
      <c r="D87">
        <v>2368.1</v>
      </c>
      <c r="E87">
        <v>403.1</v>
      </c>
      <c r="F87">
        <v>9273.2999999999993</v>
      </c>
      <c r="G87">
        <v>16654</v>
      </c>
      <c r="H87">
        <v>2372</v>
      </c>
      <c r="I87">
        <v>70218</v>
      </c>
      <c r="J87">
        <v>839</v>
      </c>
      <c r="K87">
        <v>172</v>
      </c>
      <c r="L87">
        <v>7533</v>
      </c>
      <c r="M87">
        <v>9643.7000000000007</v>
      </c>
      <c r="N87">
        <v>2987.5</v>
      </c>
      <c r="O87">
        <v>57545.2</v>
      </c>
      <c r="P87">
        <v>6668.1</v>
      </c>
      <c r="Q87">
        <v>1374.1</v>
      </c>
      <c r="R87">
        <v>45145.9</v>
      </c>
      <c r="S87">
        <v>4091</v>
      </c>
      <c r="T87">
        <v>1117</v>
      </c>
      <c r="U87">
        <v>12949</v>
      </c>
    </row>
    <row r="88" spans="1:21" x14ac:dyDescent="0.3">
      <c r="A88">
        <f t="shared" si="1"/>
        <v>2016</v>
      </c>
      <c r="B88" s="3" t="s">
        <v>228</v>
      </c>
      <c r="C88" t="s">
        <v>229</v>
      </c>
      <c r="D88">
        <v>2537.9</v>
      </c>
      <c r="E88">
        <v>422.1</v>
      </c>
      <c r="F88">
        <v>10757.8</v>
      </c>
      <c r="G88">
        <v>18343</v>
      </c>
      <c r="H88">
        <v>2613</v>
      </c>
      <c r="I88">
        <v>85169</v>
      </c>
      <c r="J88">
        <v>1247</v>
      </c>
      <c r="K88">
        <v>118</v>
      </c>
      <c r="L88">
        <v>5348</v>
      </c>
      <c r="M88">
        <v>13001.5</v>
      </c>
      <c r="N88">
        <v>3680.3</v>
      </c>
      <c r="O88">
        <v>55924.9</v>
      </c>
      <c r="P88">
        <v>12624.2</v>
      </c>
      <c r="Q88">
        <v>3055.7</v>
      </c>
      <c r="R88">
        <v>72516.800000000003</v>
      </c>
      <c r="S88">
        <v>2580</v>
      </c>
      <c r="T88">
        <v>1356</v>
      </c>
      <c r="U88">
        <v>15828</v>
      </c>
    </row>
    <row r="89" spans="1:21" x14ac:dyDescent="0.3">
      <c r="A89">
        <f t="shared" si="1"/>
        <v>2017</v>
      </c>
      <c r="B89" s="3" t="s">
        <v>230</v>
      </c>
      <c r="C89" t="s">
        <v>231</v>
      </c>
      <c r="D89">
        <v>1432.1</v>
      </c>
      <c r="E89">
        <v>239.9</v>
      </c>
      <c r="F89">
        <v>8088.8</v>
      </c>
      <c r="G89">
        <v>19984</v>
      </c>
      <c r="H89">
        <v>2319</v>
      </c>
      <c r="I89">
        <v>78447</v>
      </c>
      <c r="J89">
        <v>246</v>
      </c>
      <c r="K89">
        <v>854</v>
      </c>
      <c r="L89">
        <v>8250</v>
      </c>
      <c r="M89">
        <v>8655.9</v>
      </c>
      <c r="N89">
        <v>2628.7</v>
      </c>
      <c r="O89">
        <v>52862.6</v>
      </c>
      <c r="P89">
        <v>941.3</v>
      </c>
      <c r="Q89">
        <v>202.9</v>
      </c>
      <c r="R89">
        <v>42264.9</v>
      </c>
      <c r="S89">
        <v>9148</v>
      </c>
      <c r="T89">
        <v>1498</v>
      </c>
      <c r="U89">
        <v>17286</v>
      </c>
    </row>
    <row r="90" spans="1:21" x14ac:dyDescent="0.3">
      <c r="A90">
        <f t="shared" si="1"/>
        <v>2017</v>
      </c>
      <c r="B90" s="3" t="s">
        <v>232</v>
      </c>
      <c r="C90" t="s">
        <v>233</v>
      </c>
      <c r="D90">
        <v>1666.4</v>
      </c>
      <c r="E90">
        <v>269.7</v>
      </c>
      <c r="F90">
        <v>9475.2000000000007</v>
      </c>
      <c r="G90">
        <v>19368</v>
      </c>
      <c r="H90">
        <v>2248</v>
      </c>
      <c r="I90">
        <v>81495</v>
      </c>
      <c r="J90">
        <v>2280</v>
      </c>
      <c r="K90">
        <v>188</v>
      </c>
      <c r="L90">
        <v>8049</v>
      </c>
      <c r="M90">
        <v>10226.799999999999</v>
      </c>
      <c r="N90">
        <v>3310.6</v>
      </c>
      <c r="O90">
        <v>56014.1</v>
      </c>
      <c r="P90">
        <v>10283.299999999999</v>
      </c>
      <c r="Q90">
        <v>1777.4</v>
      </c>
      <c r="R90">
        <v>51558.6</v>
      </c>
      <c r="S90">
        <v>3416</v>
      </c>
      <c r="T90">
        <v>1828</v>
      </c>
      <c r="U90">
        <v>18816</v>
      </c>
    </row>
    <row r="91" spans="1:21" x14ac:dyDescent="0.3">
      <c r="A91">
        <f t="shared" si="1"/>
        <v>2017</v>
      </c>
      <c r="B91" s="3" t="s">
        <v>234</v>
      </c>
      <c r="C91" t="s">
        <v>235</v>
      </c>
      <c r="D91">
        <v>2257.6</v>
      </c>
      <c r="E91">
        <v>381.8</v>
      </c>
      <c r="F91">
        <v>9456.4</v>
      </c>
      <c r="G91">
        <v>18566</v>
      </c>
      <c r="H91">
        <v>2155</v>
      </c>
      <c r="I91">
        <v>75802</v>
      </c>
      <c r="J91">
        <v>903</v>
      </c>
      <c r="K91">
        <v>216</v>
      </c>
      <c r="L91">
        <v>7107</v>
      </c>
      <c r="M91">
        <v>9622.6</v>
      </c>
      <c r="N91">
        <v>2771.8</v>
      </c>
      <c r="O91">
        <v>60062.8</v>
      </c>
      <c r="P91">
        <v>6289.9</v>
      </c>
      <c r="Q91">
        <v>1305.2</v>
      </c>
      <c r="R91">
        <v>45231.199999999997</v>
      </c>
      <c r="S91">
        <v>3033</v>
      </c>
      <c r="T91">
        <v>1501</v>
      </c>
      <c r="U91">
        <v>14457</v>
      </c>
    </row>
    <row r="92" spans="1:21" x14ac:dyDescent="0.3">
      <c r="A92">
        <f t="shared" si="1"/>
        <v>2017</v>
      </c>
      <c r="B92" s="3" t="s">
        <v>236</v>
      </c>
      <c r="C92" t="s">
        <v>237</v>
      </c>
      <c r="D92">
        <v>2616.3000000000002</v>
      </c>
      <c r="E92">
        <v>435.1</v>
      </c>
      <c r="F92">
        <v>11190.4</v>
      </c>
      <c r="G92">
        <v>19997</v>
      </c>
      <c r="H92">
        <v>2320</v>
      </c>
      <c r="I92">
        <v>89492</v>
      </c>
      <c r="J92">
        <v>926</v>
      </c>
      <c r="K92">
        <v>288</v>
      </c>
      <c r="L92">
        <v>5981</v>
      </c>
      <c r="M92">
        <v>19765.8</v>
      </c>
      <c r="N92">
        <v>5988.4</v>
      </c>
      <c r="O92">
        <v>57983.4</v>
      </c>
      <c r="P92">
        <v>12480.7</v>
      </c>
      <c r="Q92">
        <v>3092.5</v>
      </c>
      <c r="R92">
        <v>72640.100000000006</v>
      </c>
      <c r="S92">
        <v>2494</v>
      </c>
      <c r="T92">
        <v>1479</v>
      </c>
      <c r="U92">
        <v>18322</v>
      </c>
    </row>
    <row r="93" spans="1:21" x14ac:dyDescent="0.3">
      <c r="A93">
        <f t="shared" si="1"/>
        <v>2018</v>
      </c>
      <c r="B93" s="3" t="s">
        <v>238</v>
      </c>
      <c r="C93" t="s">
        <v>239</v>
      </c>
      <c r="D93">
        <v>1705.1</v>
      </c>
      <c r="E93">
        <v>280</v>
      </c>
      <c r="F93">
        <v>8773.7000000000007</v>
      </c>
      <c r="G93">
        <v>21974</v>
      </c>
      <c r="H93">
        <v>2413</v>
      </c>
      <c r="I93">
        <v>82691</v>
      </c>
      <c r="J93">
        <v>1377</v>
      </c>
      <c r="K93">
        <v>250</v>
      </c>
      <c r="L93">
        <v>8192</v>
      </c>
      <c r="M93">
        <v>9989</v>
      </c>
      <c r="N93">
        <v>2592.5</v>
      </c>
      <c r="O93">
        <v>59751.6</v>
      </c>
      <c r="P93">
        <v>837</v>
      </c>
      <c r="Q93">
        <v>220.2</v>
      </c>
      <c r="R93">
        <v>43022.8</v>
      </c>
      <c r="S93">
        <v>10218</v>
      </c>
      <c r="T93">
        <v>1903</v>
      </c>
      <c r="U93">
        <v>18283</v>
      </c>
    </row>
    <row r="94" spans="1:21" x14ac:dyDescent="0.3">
      <c r="A94">
        <f t="shared" si="1"/>
        <v>2018</v>
      </c>
      <c r="B94" s="3" t="s">
        <v>240</v>
      </c>
      <c r="C94" t="s">
        <v>241</v>
      </c>
      <c r="D94">
        <v>1784</v>
      </c>
      <c r="E94">
        <v>283.10000000000002</v>
      </c>
      <c r="F94">
        <v>10138.799999999999</v>
      </c>
      <c r="G94">
        <v>22538</v>
      </c>
      <c r="H94">
        <v>2475</v>
      </c>
      <c r="I94">
        <v>87303</v>
      </c>
      <c r="J94">
        <v>1019</v>
      </c>
      <c r="K94">
        <v>170</v>
      </c>
      <c r="L94">
        <v>8541</v>
      </c>
      <c r="M94">
        <v>9799.2000000000007</v>
      </c>
      <c r="N94">
        <v>2736.1</v>
      </c>
      <c r="O94">
        <v>60610.8</v>
      </c>
      <c r="P94">
        <v>9868.2000000000007</v>
      </c>
      <c r="Q94">
        <v>1645.3</v>
      </c>
      <c r="R94">
        <v>51240.2</v>
      </c>
      <c r="S94">
        <v>4110</v>
      </c>
      <c r="T94">
        <v>1869</v>
      </c>
      <c r="U94">
        <v>15114</v>
      </c>
    </row>
    <row r="95" spans="1:21" x14ac:dyDescent="0.3">
      <c r="A95">
        <f t="shared" si="1"/>
        <v>2018</v>
      </c>
      <c r="B95" s="3" t="s">
        <v>242</v>
      </c>
      <c r="C95" t="s">
        <v>243</v>
      </c>
      <c r="D95">
        <v>2573.6999999999998</v>
      </c>
      <c r="E95">
        <v>429.4</v>
      </c>
      <c r="F95">
        <v>10021.5</v>
      </c>
      <c r="G95">
        <v>20443</v>
      </c>
      <c r="H95">
        <v>2244</v>
      </c>
      <c r="I95">
        <v>78430</v>
      </c>
      <c r="J95">
        <v>1156</v>
      </c>
      <c r="K95">
        <v>95</v>
      </c>
      <c r="L95">
        <v>7373</v>
      </c>
      <c r="M95">
        <v>8882</v>
      </c>
      <c r="N95">
        <v>2655.8</v>
      </c>
      <c r="O95">
        <v>66568</v>
      </c>
      <c r="P95">
        <v>5233.1000000000004</v>
      </c>
      <c r="Q95">
        <v>981.9</v>
      </c>
      <c r="R95">
        <v>46147</v>
      </c>
      <c r="S95">
        <v>3163</v>
      </c>
      <c r="T95">
        <v>1867</v>
      </c>
      <c r="U95">
        <v>16232</v>
      </c>
    </row>
    <row r="96" spans="1:21" x14ac:dyDescent="0.3">
      <c r="A96">
        <f t="shared" si="1"/>
        <v>2018</v>
      </c>
      <c r="B96" s="3" t="s">
        <v>244</v>
      </c>
      <c r="C96" t="s">
        <v>245</v>
      </c>
      <c r="D96">
        <v>3056.4</v>
      </c>
      <c r="E96">
        <v>506.6</v>
      </c>
      <c r="F96">
        <v>12005.6</v>
      </c>
      <c r="G96">
        <v>20323</v>
      </c>
      <c r="H96">
        <v>2232</v>
      </c>
      <c r="I96">
        <v>91971</v>
      </c>
      <c r="J96">
        <v>1275</v>
      </c>
      <c r="K96">
        <v>340</v>
      </c>
      <c r="L96">
        <v>5585</v>
      </c>
      <c r="M96">
        <v>16290.4</v>
      </c>
      <c r="N96">
        <v>4859.6000000000004</v>
      </c>
      <c r="O96">
        <v>62070</v>
      </c>
      <c r="P96">
        <v>11629</v>
      </c>
      <c r="Q96">
        <v>2892.6</v>
      </c>
      <c r="R96">
        <v>72537.899999999994</v>
      </c>
      <c r="S96">
        <v>2769</v>
      </c>
      <c r="T96">
        <v>1557</v>
      </c>
      <c r="U96">
        <v>19362</v>
      </c>
    </row>
    <row r="97" spans="1:21" x14ac:dyDescent="0.3">
      <c r="A97">
        <f t="shared" si="1"/>
        <v>2019</v>
      </c>
      <c r="B97" s="3" t="s">
        <v>246</v>
      </c>
      <c r="C97" t="s">
        <v>247</v>
      </c>
      <c r="D97">
        <v>1755.3</v>
      </c>
      <c r="E97">
        <v>299.60000000000002</v>
      </c>
      <c r="F97">
        <v>9075.5</v>
      </c>
      <c r="G97">
        <v>21376</v>
      </c>
      <c r="H97">
        <v>2529</v>
      </c>
      <c r="I97">
        <v>84082</v>
      </c>
      <c r="J97">
        <v>1511</v>
      </c>
      <c r="K97">
        <v>183</v>
      </c>
      <c r="L97">
        <v>8231</v>
      </c>
      <c r="M97">
        <v>9964.9</v>
      </c>
      <c r="N97">
        <v>3231.6</v>
      </c>
      <c r="O97">
        <v>55691.8</v>
      </c>
      <c r="P97">
        <v>729.2</v>
      </c>
      <c r="Q97">
        <v>197.4</v>
      </c>
      <c r="R97">
        <v>44036.5</v>
      </c>
      <c r="S97">
        <v>12476</v>
      </c>
      <c r="T97">
        <v>1344</v>
      </c>
      <c r="U97">
        <v>21305</v>
      </c>
    </row>
    <row r="98" spans="1:21" x14ac:dyDescent="0.3">
      <c r="A98">
        <f t="shared" si="1"/>
        <v>2019</v>
      </c>
      <c r="B98" s="3" t="s">
        <v>248</v>
      </c>
      <c r="C98" t="s">
        <v>249</v>
      </c>
      <c r="D98">
        <v>1961.2</v>
      </c>
      <c r="E98">
        <v>317.3</v>
      </c>
      <c r="F98">
        <v>10690.7</v>
      </c>
      <c r="G98">
        <v>21577</v>
      </c>
      <c r="H98">
        <v>2551</v>
      </c>
      <c r="I98">
        <v>91949</v>
      </c>
      <c r="J98">
        <v>1178</v>
      </c>
      <c r="K98">
        <v>217</v>
      </c>
      <c r="L98">
        <v>8681</v>
      </c>
      <c r="M98">
        <v>10159.6</v>
      </c>
      <c r="N98">
        <v>3325.3</v>
      </c>
      <c r="O98">
        <v>60449.1</v>
      </c>
      <c r="P98">
        <v>9704.2999999999993</v>
      </c>
      <c r="Q98">
        <v>1640.5</v>
      </c>
      <c r="R98">
        <v>52281.3</v>
      </c>
      <c r="S98">
        <v>4457</v>
      </c>
      <c r="T98">
        <v>1667</v>
      </c>
      <c r="U98">
        <v>15311</v>
      </c>
    </row>
    <row r="99" spans="1:21" x14ac:dyDescent="0.3">
      <c r="A99">
        <f t="shared" si="1"/>
        <v>2019</v>
      </c>
      <c r="B99" s="3" t="s">
        <v>250</v>
      </c>
      <c r="C99" t="s">
        <v>251</v>
      </c>
      <c r="D99">
        <v>2514</v>
      </c>
      <c r="E99">
        <v>422.6</v>
      </c>
      <c r="F99">
        <v>10539.1</v>
      </c>
      <c r="G99">
        <v>19296</v>
      </c>
      <c r="H99">
        <v>2282</v>
      </c>
      <c r="I99">
        <v>81372</v>
      </c>
      <c r="J99">
        <v>1157</v>
      </c>
      <c r="K99">
        <v>150</v>
      </c>
      <c r="L99">
        <v>5724</v>
      </c>
      <c r="M99">
        <v>11305.8</v>
      </c>
      <c r="N99">
        <v>3590.9</v>
      </c>
      <c r="O99">
        <v>61753.2</v>
      </c>
      <c r="P99">
        <v>6067.5</v>
      </c>
      <c r="Q99">
        <v>1088.2</v>
      </c>
      <c r="R99">
        <v>47097.3</v>
      </c>
      <c r="S99">
        <v>3109</v>
      </c>
      <c r="T99">
        <v>1788</v>
      </c>
      <c r="U99">
        <v>17261</v>
      </c>
    </row>
    <row r="100" spans="1:21" x14ac:dyDescent="0.3">
      <c r="A100">
        <f t="shared" si="1"/>
        <v>2019</v>
      </c>
      <c r="B100" s="3" t="s">
        <v>252</v>
      </c>
      <c r="C100" t="s">
        <v>253</v>
      </c>
      <c r="D100">
        <v>3072.1</v>
      </c>
      <c r="E100">
        <v>515.1</v>
      </c>
      <c r="F100">
        <v>12574.4</v>
      </c>
      <c r="G100">
        <v>19942</v>
      </c>
      <c r="H100">
        <v>2360</v>
      </c>
      <c r="I100">
        <v>97449</v>
      </c>
      <c r="J100">
        <v>1341</v>
      </c>
      <c r="K100">
        <v>153</v>
      </c>
      <c r="L100">
        <v>7845</v>
      </c>
      <c r="M100">
        <v>16612.099999999999</v>
      </c>
      <c r="N100">
        <v>4900.3999999999996</v>
      </c>
      <c r="O100">
        <v>71744.399999999994</v>
      </c>
      <c r="P100">
        <v>12603.2</v>
      </c>
      <c r="Q100">
        <v>3125.6</v>
      </c>
      <c r="R100">
        <v>77074.100000000006</v>
      </c>
      <c r="S100">
        <v>2543</v>
      </c>
      <c r="T100">
        <v>1708</v>
      </c>
      <c r="U100">
        <v>21635</v>
      </c>
    </row>
    <row r="101" spans="1:21" x14ac:dyDescent="0.3">
      <c r="A101">
        <f t="shared" si="1"/>
        <v>2020</v>
      </c>
      <c r="B101" s="3" t="s">
        <v>254</v>
      </c>
      <c r="C101" t="s">
        <v>255</v>
      </c>
      <c r="D101">
        <v>1584.2</v>
      </c>
      <c r="E101">
        <v>252.7</v>
      </c>
      <c r="F101">
        <v>9670.2000000000007</v>
      </c>
      <c r="G101">
        <v>20218</v>
      </c>
      <c r="H101">
        <v>3266</v>
      </c>
      <c r="I101">
        <v>88783</v>
      </c>
      <c r="J101">
        <v>1553</v>
      </c>
      <c r="K101">
        <v>153</v>
      </c>
      <c r="L101">
        <v>8184</v>
      </c>
      <c r="M101">
        <v>9125.1</v>
      </c>
      <c r="N101">
        <v>3323.3</v>
      </c>
      <c r="O101">
        <v>57026.2</v>
      </c>
      <c r="P101">
        <v>957.5</v>
      </c>
      <c r="Q101">
        <v>210.6</v>
      </c>
      <c r="R101">
        <v>44710.8</v>
      </c>
      <c r="S101">
        <v>10496</v>
      </c>
      <c r="T101">
        <v>1369</v>
      </c>
      <c r="U101">
        <v>24581</v>
      </c>
    </row>
    <row r="102" spans="1:21" x14ac:dyDescent="0.3">
      <c r="A102">
        <f t="shared" si="1"/>
        <v>2020</v>
      </c>
      <c r="B102" s="3" t="s">
        <v>256</v>
      </c>
      <c r="C102" t="s">
        <v>257</v>
      </c>
      <c r="D102">
        <v>939.5</v>
      </c>
      <c r="E102">
        <v>144.9</v>
      </c>
      <c r="F102">
        <v>9165.7999999999993</v>
      </c>
      <c r="G102">
        <v>11832</v>
      </c>
      <c r="H102">
        <v>1912</v>
      </c>
      <c r="I102">
        <v>82022</v>
      </c>
      <c r="J102">
        <v>1010</v>
      </c>
      <c r="K102">
        <v>110</v>
      </c>
      <c r="L102">
        <v>8445</v>
      </c>
      <c r="M102">
        <v>12421.6</v>
      </c>
      <c r="N102">
        <v>4088.5</v>
      </c>
      <c r="O102">
        <v>53495.9</v>
      </c>
      <c r="P102">
        <v>9802.6</v>
      </c>
      <c r="Q102">
        <v>1660.6</v>
      </c>
      <c r="R102">
        <v>48610.3</v>
      </c>
      <c r="S102">
        <v>1887</v>
      </c>
      <c r="T102">
        <v>1267</v>
      </c>
      <c r="U102">
        <v>12344</v>
      </c>
    </row>
    <row r="103" spans="1:21" x14ac:dyDescent="0.3">
      <c r="A103">
        <f t="shared" si="1"/>
        <v>2020</v>
      </c>
      <c r="B103" s="3" t="s">
        <v>258</v>
      </c>
      <c r="C103" t="s">
        <v>259</v>
      </c>
      <c r="D103">
        <v>1944.5</v>
      </c>
      <c r="E103">
        <v>314.7</v>
      </c>
      <c r="F103">
        <v>9290.5</v>
      </c>
      <c r="G103">
        <v>13412</v>
      </c>
      <c r="H103">
        <v>2166</v>
      </c>
      <c r="I103">
        <v>77673</v>
      </c>
      <c r="J103">
        <v>864</v>
      </c>
      <c r="K103">
        <v>116</v>
      </c>
      <c r="L103">
        <v>6202</v>
      </c>
      <c r="M103">
        <v>11772.6</v>
      </c>
      <c r="N103">
        <v>3854</v>
      </c>
      <c r="O103">
        <v>65813.8</v>
      </c>
      <c r="P103">
        <v>5493.4</v>
      </c>
      <c r="Q103">
        <v>1153.5</v>
      </c>
      <c r="R103">
        <v>45692</v>
      </c>
      <c r="S103">
        <v>3299</v>
      </c>
      <c r="T103">
        <v>1196</v>
      </c>
      <c r="U103">
        <v>18120</v>
      </c>
    </row>
    <row r="104" spans="1:21" x14ac:dyDescent="0.3">
      <c r="A104">
        <f t="shared" si="1"/>
        <v>2020</v>
      </c>
      <c r="B104" s="3" t="s">
        <v>260</v>
      </c>
      <c r="C104" t="s">
        <v>261</v>
      </c>
      <c r="D104">
        <v>2608.5</v>
      </c>
      <c r="E104">
        <v>419.5</v>
      </c>
      <c r="F104">
        <v>12056.4</v>
      </c>
      <c r="G104">
        <v>19062</v>
      </c>
      <c r="H104">
        <v>3081</v>
      </c>
      <c r="I104">
        <v>95223</v>
      </c>
      <c r="J104">
        <v>898</v>
      </c>
      <c r="K104">
        <v>186</v>
      </c>
      <c r="L104">
        <v>8130</v>
      </c>
      <c r="M104">
        <v>12843.8</v>
      </c>
      <c r="N104">
        <v>4134.1000000000004</v>
      </c>
      <c r="O104">
        <v>64196</v>
      </c>
      <c r="P104">
        <v>11940.5</v>
      </c>
      <c r="Q104">
        <v>2919.7</v>
      </c>
      <c r="R104">
        <v>75592.399999999994</v>
      </c>
      <c r="S104">
        <v>3835</v>
      </c>
      <c r="T104">
        <v>1247</v>
      </c>
      <c r="U104">
        <v>21762</v>
      </c>
    </row>
    <row r="105" spans="1:21" x14ac:dyDescent="0.3">
      <c r="A105">
        <f t="shared" si="1"/>
        <v>2021</v>
      </c>
      <c r="B105" s="3" t="s">
        <v>262</v>
      </c>
      <c r="C105" t="s">
        <v>263</v>
      </c>
      <c r="D105">
        <v>1291.5999999999999</v>
      </c>
      <c r="E105">
        <v>198.2</v>
      </c>
      <c r="F105">
        <v>8847.7000000000007</v>
      </c>
      <c r="G105">
        <v>22305</v>
      </c>
      <c r="H105">
        <v>2985</v>
      </c>
      <c r="I105">
        <v>85420</v>
      </c>
      <c r="J105">
        <v>1835</v>
      </c>
      <c r="K105">
        <v>237</v>
      </c>
      <c r="L105">
        <v>8366</v>
      </c>
      <c r="M105">
        <v>10619.2</v>
      </c>
      <c r="N105">
        <v>3376.3</v>
      </c>
      <c r="O105">
        <v>57940.5</v>
      </c>
      <c r="P105">
        <v>963.2</v>
      </c>
      <c r="Q105">
        <v>203.1</v>
      </c>
      <c r="R105">
        <v>45707.4</v>
      </c>
      <c r="S105">
        <v>10004</v>
      </c>
      <c r="T105">
        <v>1656</v>
      </c>
      <c r="U105">
        <v>22398</v>
      </c>
    </row>
    <row r="106" spans="1:21" x14ac:dyDescent="0.3">
      <c r="A106">
        <f t="shared" si="1"/>
        <v>2021</v>
      </c>
      <c r="B106" s="3" t="s">
        <v>264</v>
      </c>
      <c r="C106" t="s">
        <v>265</v>
      </c>
      <c r="D106">
        <v>2157.8000000000002</v>
      </c>
      <c r="E106">
        <v>333.1</v>
      </c>
      <c r="F106">
        <v>11117.5</v>
      </c>
      <c r="G106">
        <v>21111</v>
      </c>
      <c r="H106">
        <v>2826</v>
      </c>
      <c r="I106">
        <v>86223</v>
      </c>
      <c r="J106">
        <v>1169</v>
      </c>
      <c r="K106">
        <v>184</v>
      </c>
      <c r="L106">
        <v>9062</v>
      </c>
      <c r="M106">
        <v>10151.299999999999</v>
      </c>
      <c r="N106">
        <v>3338.7</v>
      </c>
      <c r="O106">
        <v>57460.2</v>
      </c>
      <c r="P106">
        <v>9102.6</v>
      </c>
      <c r="Q106">
        <v>1762.8</v>
      </c>
      <c r="R106">
        <v>53973.2</v>
      </c>
      <c r="S106">
        <v>5517</v>
      </c>
      <c r="T106">
        <v>2297</v>
      </c>
      <c r="U106">
        <v>11473</v>
      </c>
    </row>
    <row r="107" spans="1:21" x14ac:dyDescent="0.3">
      <c r="A107">
        <f t="shared" si="1"/>
        <v>2021</v>
      </c>
      <c r="B107" s="3" t="s">
        <v>266</v>
      </c>
      <c r="C107" t="s">
        <v>267</v>
      </c>
      <c r="D107">
        <v>2634.1</v>
      </c>
      <c r="E107">
        <v>419.9</v>
      </c>
      <c r="F107">
        <v>11069.5</v>
      </c>
      <c r="G107">
        <v>23000</v>
      </c>
      <c r="H107">
        <v>3078</v>
      </c>
      <c r="I107">
        <v>86225</v>
      </c>
      <c r="J107">
        <v>1144</v>
      </c>
      <c r="K107">
        <v>203</v>
      </c>
      <c r="L107">
        <v>6358</v>
      </c>
      <c r="M107">
        <v>10805.1</v>
      </c>
      <c r="N107">
        <v>3488.9</v>
      </c>
      <c r="O107">
        <v>66106.100000000006</v>
      </c>
      <c r="P107">
        <v>7566.6</v>
      </c>
      <c r="Q107">
        <v>1054.8</v>
      </c>
      <c r="R107">
        <v>50176.4</v>
      </c>
      <c r="S107">
        <v>4481</v>
      </c>
      <c r="T107">
        <v>1903</v>
      </c>
      <c r="U107">
        <v>21766</v>
      </c>
    </row>
    <row r="108" spans="1:21" x14ac:dyDescent="0.3">
      <c r="A108">
        <f t="shared" si="1"/>
        <v>2021</v>
      </c>
      <c r="B108" s="3" t="s">
        <v>268</v>
      </c>
      <c r="C108" t="s">
        <v>269</v>
      </c>
      <c r="D108">
        <v>3717.5</v>
      </c>
      <c r="E108">
        <v>595.79999999999995</v>
      </c>
      <c r="F108">
        <v>13481.6</v>
      </c>
      <c r="G108">
        <v>31262</v>
      </c>
      <c r="H108">
        <v>4185</v>
      </c>
      <c r="I108">
        <v>106534</v>
      </c>
      <c r="J108">
        <v>1491</v>
      </c>
      <c r="K108">
        <v>358</v>
      </c>
      <c r="L108">
        <v>9608</v>
      </c>
      <c r="M108">
        <v>21741.3</v>
      </c>
      <c r="N108">
        <v>5914.3</v>
      </c>
      <c r="O108">
        <v>67529.3</v>
      </c>
      <c r="P108">
        <v>10710.4</v>
      </c>
      <c r="Q108">
        <v>3121.6</v>
      </c>
      <c r="R108">
        <v>81179.8</v>
      </c>
      <c r="S108">
        <v>6260</v>
      </c>
      <c r="T108">
        <v>1670</v>
      </c>
      <c r="U108">
        <v>24935</v>
      </c>
    </row>
    <row r="109" spans="1:21" x14ac:dyDescent="0.3">
      <c r="A109">
        <f t="shared" si="1"/>
        <v>2022</v>
      </c>
      <c r="B109" s="3" t="s">
        <v>270</v>
      </c>
      <c r="C109" t="s">
        <v>271</v>
      </c>
      <c r="D109">
        <v>2419.8000000000002</v>
      </c>
      <c r="E109">
        <v>376.4</v>
      </c>
      <c r="F109">
        <v>10262.1</v>
      </c>
      <c r="G109">
        <v>28152</v>
      </c>
      <c r="H109">
        <v>1845</v>
      </c>
      <c r="I109">
        <v>94642</v>
      </c>
      <c r="J109">
        <v>2097</v>
      </c>
      <c r="K109">
        <v>285</v>
      </c>
      <c r="L109">
        <v>8938</v>
      </c>
      <c r="M109">
        <v>12912.4</v>
      </c>
      <c r="N109">
        <v>3520.2</v>
      </c>
      <c r="O109">
        <v>62458.9</v>
      </c>
      <c r="P109">
        <v>1565.3</v>
      </c>
      <c r="Q109">
        <v>433.5</v>
      </c>
      <c r="R109">
        <v>45902.5</v>
      </c>
      <c r="S109">
        <v>12946</v>
      </c>
      <c r="T109">
        <v>1469</v>
      </c>
      <c r="U109">
        <v>24582</v>
      </c>
    </row>
    <row r="110" spans="1:21" x14ac:dyDescent="0.3">
      <c r="A110">
        <f t="shared" si="1"/>
        <v>2022</v>
      </c>
      <c r="B110" s="3" t="s">
        <v>272</v>
      </c>
      <c r="C110" t="s">
        <v>273</v>
      </c>
      <c r="D110">
        <v>2805.5</v>
      </c>
      <c r="E110">
        <v>427.3</v>
      </c>
      <c r="F110">
        <v>12146.5</v>
      </c>
      <c r="G110">
        <v>27576</v>
      </c>
      <c r="H110">
        <v>1807</v>
      </c>
      <c r="I110">
        <v>96563</v>
      </c>
      <c r="J110">
        <v>1325</v>
      </c>
      <c r="K110">
        <v>209</v>
      </c>
      <c r="L110">
        <v>10271</v>
      </c>
      <c r="M110">
        <v>21448.9</v>
      </c>
      <c r="N110">
        <v>5672.9</v>
      </c>
      <c r="O110">
        <v>62016.2</v>
      </c>
      <c r="P110">
        <v>12272</v>
      </c>
      <c r="Q110">
        <v>3053.4</v>
      </c>
      <c r="R110">
        <v>56475.4</v>
      </c>
      <c r="S110">
        <v>9469</v>
      </c>
      <c r="T110">
        <v>1680</v>
      </c>
      <c r="U110">
        <v>15139</v>
      </c>
    </row>
    <row r="111" spans="1:21" x14ac:dyDescent="0.3">
      <c r="A111">
        <f t="shared" si="1"/>
        <v>2022</v>
      </c>
      <c r="B111" s="3" t="s">
        <v>274</v>
      </c>
      <c r="C111" t="s">
        <v>275</v>
      </c>
      <c r="D111">
        <v>3742.8</v>
      </c>
      <c r="E111">
        <v>606.9</v>
      </c>
      <c r="F111">
        <v>11490.9</v>
      </c>
      <c r="G111">
        <v>27783</v>
      </c>
      <c r="H111">
        <v>1820</v>
      </c>
      <c r="I111">
        <v>93101</v>
      </c>
      <c r="J111">
        <v>1622</v>
      </c>
      <c r="K111">
        <v>220</v>
      </c>
      <c r="L111">
        <v>7070</v>
      </c>
      <c r="M111">
        <v>14902.5</v>
      </c>
      <c r="N111">
        <v>3850.5</v>
      </c>
      <c r="O111">
        <v>73452.399999999994</v>
      </c>
      <c r="P111">
        <v>11703.3</v>
      </c>
      <c r="Q111">
        <v>2793.7</v>
      </c>
      <c r="R111">
        <v>52123.6</v>
      </c>
      <c r="S111">
        <v>6749</v>
      </c>
      <c r="T111">
        <v>1415</v>
      </c>
      <c r="U111">
        <v>19383</v>
      </c>
    </row>
    <row r="112" spans="1:21" x14ac:dyDescent="0.3">
      <c r="A112">
        <f t="shared" si="1"/>
        <v>2022</v>
      </c>
      <c r="B112" s="3" t="s">
        <v>276</v>
      </c>
      <c r="C112" t="s">
        <v>277</v>
      </c>
      <c r="D112">
        <v>4414.5</v>
      </c>
      <c r="E112">
        <v>721.8</v>
      </c>
      <c r="F112">
        <v>14383.9</v>
      </c>
      <c r="G112">
        <v>31415</v>
      </c>
      <c r="H112">
        <v>2061</v>
      </c>
      <c r="I112">
        <v>108724</v>
      </c>
      <c r="J112">
        <v>1635</v>
      </c>
      <c r="K112">
        <v>456</v>
      </c>
      <c r="L112">
        <v>9373</v>
      </c>
      <c r="M112">
        <v>19380.599999999999</v>
      </c>
      <c r="N112">
        <v>4956.3999999999996</v>
      </c>
      <c r="O112">
        <v>69567.199999999997</v>
      </c>
      <c r="P112">
        <v>17064.7</v>
      </c>
      <c r="Q112">
        <v>4853</v>
      </c>
      <c r="R112">
        <v>79145.7</v>
      </c>
      <c r="S112">
        <v>7344</v>
      </c>
      <c r="T112">
        <v>1614</v>
      </c>
      <c r="U112">
        <v>25929</v>
      </c>
    </row>
    <row r="113" spans="1:21" x14ac:dyDescent="0.3">
      <c r="A113">
        <f t="shared" si="1"/>
        <v>2023</v>
      </c>
      <c r="B113" s="3" t="s">
        <v>278</v>
      </c>
      <c r="C113" t="s">
        <v>279</v>
      </c>
      <c r="D113">
        <v>2422.6999999999998</v>
      </c>
      <c r="E113">
        <v>386.9</v>
      </c>
      <c r="F113">
        <v>9905.2999999999993</v>
      </c>
      <c r="G113">
        <v>28125</v>
      </c>
      <c r="H113">
        <v>1880</v>
      </c>
      <c r="I113">
        <v>92957</v>
      </c>
      <c r="J113">
        <v>2451</v>
      </c>
      <c r="K113">
        <v>173</v>
      </c>
      <c r="L113">
        <v>9336</v>
      </c>
      <c r="M113">
        <v>14839.8</v>
      </c>
      <c r="N113">
        <v>3570.6</v>
      </c>
      <c r="O113">
        <v>64250.400000000001</v>
      </c>
      <c r="P113">
        <v>1862.2</v>
      </c>
      <c r="Q113">
        <v>427.4</v>
      </c>
      <c r="R113">
        <v>50340.9</v>
      </c>
      <c r="S113">
        <v>12224</v>
      </c>
      <c r="T113">
        <v>1630</v>
      </c>
      <c r="U113">
        <v>26869</v>
      </c>
    </row>
    <row r="114" spans="1:21" x14ac:dyDescent="0.3">
      <c r="A114">
        <f t="shared" si="1"/>
        <v>2023</v>
      </c>
      <c r="B114" s="3" t="s">
        <v>280</v>
      </c>
      <c r="C114" t="s">
        <v>281</v>
      </c>
      <c r="D114">
        <v>2723.6</v>
      </c>
      <c r="E114">
        <v>401.1</v>
      </c>
      <c r="F114">
        <v>12564.6</v>
      </c>
      <c r="G114">
        <v>29323</v>
      </c>
      <c r="H114">
        <v>1960</v>
      </c>
      <c r="I114">
        <v>95119</v>
      </c>
      <c r="J114">
        <v>1165</v>
      </c>
      <c r="K114">
        <v>215</v>
      </c>
      <c r="L114">
        <v>10387</v>
      </c>
      <c r="M114">
        <v>16205.1</v>
      </c>
      <c r="N114">
        <v>3823.1</v>
      </c>
      <c r="O114">
        <v>63857.599999999999</v>
      </c>
      <c r="P114">
        <v>12770.7</v>
      </c>
      <c r="Q114">
        <v>3440.9</v>
      </c>
      <c r="R114">
        <v>62123.3</v>
      </c>
      <c r="S114">
        <v>14345</v>
      </c>
      <c r="T114">
        <v>1878</v>
      </c>
      <c r="U114">
        <v>19187</v>
      </c>
    </row>
    <row r="115" spans="1:21" x14ac:dyDescent="0.3">
      <c r="A115">
        <f t="shared" si="1"/>
        <v>2023</v>
      </c>
      <c r="B115" s="3" t="s">
        <v>282</v>
      </c>
      <c r="C115" t="s">
        <v>283</v>
      </c>
      <c r="D115">
        <v>3529.3</v>
      </c>
      <c r="E115">
        <v>569.29999999999995</v>
      </c>
      <c r="F115">
        <v>11965.7</v>
      </c>
      <c r="G115">
        <v>29968</v>
      </c>
      <c r="H115">
        <v>2003</v>
      </c>
      <c r="I115">
        <v>93955</v>
      </c>
      <c r="J115">
        <v>1299</v>
      </c>
      <c r="K115">
        <v>236</v>
      </c>
      <c r="L115">
        <v>6819</v>
      </c>
      <c r="M115">
        <v>13771.2</v>
      </c>
      <c r="N115">
        <v>3105.7</v>
      </c>
      <c r="O115">
        <v>73695.600000000006</v>
      </c>
      <c r="P115">
        <v>14890</v>
      </c>
      <c r="Q115">
        <v>3166.9</v>
      </c>
      <c r="R115">
        <v>58840.3</v>
      </c>
      <c r="S115">
        <v>9019</v>
      </c>
      <c r="T115">
        <v>1911</v>
      </c>
      <c r="U115">
        <v>24941</v>
      </c>
    </row>
    <row r="116" spans="1:21" x14ac:dyDescent="0.3">
      <c r="A116">
        <f t="shared" si="1"/>
        <v>2023</v>
      </c>
      <c r="B116" s="3" t="s">
        <v>284</v>
      </c>
      <c r="C116" t="s">
        <v>285</v>
      </c>
      <c r="D116">
        <v>4961.2</v>
      </c>
      <c r="E116">
        <v>799.1</v>
      </c>
      <c r="F116">
        <v>15481.6</v>
      </c>
      <c r="G116">
        <v>32954</v>
      </c>
      <c r="H116">
        <v>2201</v>
      </c>
      <c r="I116">
        <v>109102</v>
      </c>
      <c r="J116">
        <v>1148</v>
      </c>
      <c r="K116">
        <v>688</v>
      </c>
      <c r="L116">
        <v>9311</v>
      </c>
      <c r="M116">
        <v>18440.5</v>
      </c>
      <c r="N116">
        <v>4286.6000000000004</v>
      </c>
      <c r="O116">
        <v>71466.8</v>
      </c>
      <c r="P116">
        <v>17415.599999999999</v>
      </c>
      <c r="Q116">
        <v>5166.2</v>
      </c>
      <c r="R116">
        <v>88132.5</v>
      </c>
      <c r="S116">
        <v>6210</v>
      </c>
      <c r="T116">
        <v>1328</v>
      </c>
      <c r="U116">
        <v>32326</v>
      </c>
    </row>
    <row r="117" spans="1:21" x14ac:dyDescent="0.3">
      <c r="A117">
        <f t="shared" si="1"/>
        <v>2024</v>
      </c>
      <c r="B117" s="3" t="s">
        <v>286</v>
      </c>
      <c r="C117" t="s">
        <v>287</v>
      </c>
      <c r="D117">
        <v>2399.9</v>
      </c>
      <c r="E117">
        <v>385.8</v>
      </c>
      <c r="F117">
        <v>10694.4</v>
      </c>
      <c r="G117">
        <v>28502</v>
      </c>
      <c r="H117">
        <v>2038</v>
      </c>
      <c r="I117">
        <v>96195</v>
      </c>
      <c r="J117">
        <v>2196</v>
      </c>
      <c r="K117">
        <v>318</v>
      </c>
      <c r="L117">
        <v>9612</v>
      </c>
      <c r="M117">
        <v>15202.5</v>
      </c>
      <c r="N117">
        <v>3426.1</v>
      </c>
      <c r="O117">
        <v>66518.600000000006</v>
      </c>
      <c r="P117">
        <v>2665.9</v>
      </c>
      <c r="Q117">
        <v>505.4</v>
      </c>
      <c r="R117">
        <v>56270.3</v>
      </c>
      <c r="S117">
        <v>9262</v>
      </c>
      <c r="T117">
        <v>2013</v>
      </c>
      <c r="U117">
        <v>29719</v>
      </c>
    </row>
    <row r="118" spans="1:21" x14ac:dyDescent="0.3">
      <c r="A118">
        <f t="shared" si="1"/>
        <v>2024</v>
      </c>
      <c r="B118" s="3" t="s">
        <v>288</v>
      </c>
      <c r="C118" t="s">
        <v>289</v>
      </c>
      <c r="D118">
        <v>2410.1</v>
      </c>
      <c r="E118">
        <v>338.5</v>
      </c>
      <c r="F118">
        <v>13210.8</v>
      </c>
      <c r="G118">
        <v>29356</v>
      </c>
      <c r="H118">
        <v>2099</v>
      </c>
      <c r="I118">
        <v>101483</v>
      </c>
      <c r="J118">
        <v>1247</v>
      </c>
      <c r="K118">
        <v>343</v>
      </c>
      <c r="L118">
        <v>10612</v>
      </c>
      <c r="M118">
        <v>17121.400000000001</v>
      </c>
      <c r="N118">
        <v>3932.1</v>
      </c>
      <c r="O118">
        <v>67546.7</v>
      </c>
      <c r="P118">
        <v>13511.3</v>
      </c>
      <c r="Q118">
        <v>3871.2</v>
      </c>
      <c r="R118">
        <v>64353.4</v>
      </c>
      <c r="S118">
        <v>16525</v>
      </c>
      <c r="T118">
        <v>1717</v>
      </c>
      <c r="U118">
        <v>25431</v>
      </c>
    </row>
    <row r="119" spans="1:21" x14ac:dyDescent="0.3">
      <c r="A119">
        <f t="shared" si="1"/>
        <v>2024</v>
      </c>
      <c r="B119" s="3" t="s">
        <v>290</v>
      </c>
      <c r="C119" t="s">
        <v>291</v>
      </c>
      <c r="D119">
        <v>3350.7</v>
      </c>
      <c r="E119">
        <v>533.4</v>
      </c>
      <c r="F119">
        <v>13004.5</v>
      </c>
      <c r="G119">
        <v>29618</v>
      </c>
      <c r="H119">
        <v>2118</v>
      </c>
      <c r="I119">
        <v>96682</v>
      </c>
      <c r="J119">
        <v>988</v>
      </c>
      <c r="K119">
        <v>385</v>
      </c>
      <c r="L119">
        <v>7122</v>
      </c>
      <c r="M119">
        <v>14847.5</v>
      </c>
      <c r="N119">
        <v>3340.7</v>
      </c>
      <c r="O119">
        <v>74651.5</v>
      </c>
      <c r="P119">
        <v>10871.5</v>
      </c>
      <c r="Q119">
        <v>2993.9</v>
      </c>
      <c r="R119">
        <v>65184</v>
      </c>
      <c r="S119">
        <v>7758</v>
      </c>
      <c r="T119">
        <v>2514</v>
      </c>
      <c r="U119">
        <v>32543</v>
      </c>
    </row>
    <row r="120" spans="1:21" x14ac:dyDescent="0.3">
      <c r="A120">
        <f t="shared" si="1"/>
        <v>2024</v>
      </c>
      <c r="B120" s="3" t="s">
        <v>292</v>
      </c>
      <c r="C120" t="s">
        <v>293</v>
      </c>
      <c r="D120">
        <v>5098.2</v>
      </c>
      <c r="E120">
        <v>796</v>
      </c>
      <c r="F120">
        <v>16724</v>
      </c>
      <c r="G120">
        <v>32136</v>
      </c>
      <c r="H120">
        <v>2298</v>
      </c>
      <c r="I120">
        <v>116465</v>
      </c>
      <c r="J120">
        <v>1001</v>
      </c>
      <c r="K120">
        <v>505</v>
      </c>
      <c r="L120">
        <v>9740</v>
      </c>
      <c r="M120">
        <v>18056.2</v>
      </c>
      <c r="N120">
        <v>4212.2</v>
      </c>
      <c r="O120">
        <v>72016.600000000006</v>
      </c>
      <c r="P120">
        <v>18407.2</v>
      </c>
      <c r="Q120">
        <v>5739.3</v>
      </c>
      <c r="R120">
        <v>94770.6</v>
      </c>
      <c r="S120">
        <v>7499</v>
      </c>
      <c r="T120">
        <v>1625</v>
      </c>
      <c r="U120">
        <v>30332</v>
      </c>
    </row>
    <row r="121" spans="1:21" x14ac:dyDescent="0.3">
      <c r="A121">
        <f t="shared" si="1"/>
        <v>2025</v>
      </c>
      <c r="B121" s="3" t="s">
        <v>294</v>
      </c>
      <c r="C121" t="s">
        <v>295</v>
      </c>
      <c r="D121">
        <v>2278.3000000000002</v>
      </c>
      <c r="E121">
        <v>351</v>
      </c>
      <c r="F121">
        <v>11071.3</v>
      </c>
      <c r="G121">
        <v>29992</v>
      </c>
      <c r="H121">
        <v>2170</v>
      </c>
      <c r="I121">
        <v>101737</v>
      </c>
      <c r="J121">
        <v>2076</v>
      </c>
      <c r="K121">
        <v>268</v>
      </c>
      <c r="L121">
        <v>10510</v>
      </c>
      <c r="M121">
        <v>16254.2</v>
      </c>
      <c r="N121">
        <v>3767</v>
      </c>
      <c r="O121">
        <v>68201</v>
      </c>
      <c r="P121">
        <v>2942.2</v>
      </c>
      <c r="Q121">
        <v>572</v>
      </c>
      <c r="R121">
        <v>54827.4</v>
      </c>
      <c r="S121">
        <v>10159</v>
      </c>
      <c r="T121">
        <v>1727</v>
      </c>
      <c r="U121">
        <v>29858</v>
      </c>
    </row>
  </sheetData>
  <hyperlinks>
    <hyperlink ref="B1" r:id="rId1" xr:uid="{87693648-3C0B-4A3F-8CD2-5478C47DB1AA}"/>
    <hyperlink ref="D6" r:id="rId2" xr:uid="{DAD9496B-B0AC-434D-ADE4-299594BDE94F}"/>
    <hyperlink ref="E6" r:id="rId3" xr:uid="{977F685A-E6FF-4F2F-83C6-34F7376FA919}"/>
    <hyperlink ref="F6" r:id="rId4" xr:uid="{A0AD190D-6E3A-46CE-8A3F-443DFBD5A2C1}"/>
    <hyperlink ref="G6" r:id="rId5" xr:uid="{48478E82-F9C5-445E-BFE7-A6F485751C0E}"/>
    <hyperlink ref="H6" r:id="rId6" xr:uid="{CC344F39-9DBC-421D-ACDF-9DE64DC100B3}"/>
    <hyperlink ref="I6" r:id="rId7" xr:uid="{ED64E622-924F-485A-9463-B629516E90E7}"/>
    <hyperlink ref="J6" r:id="rId8" xr:uid="{40B66B96-D0B9-421E-B6A8-33A8FC2433F0}"/>
    <hyperlink ref="K6" r:id="rId9" xr:uid="{6DAB77E4-5D78-4E0D-BED9-65827F3F754E}"/>
    <hyperlink ref="L6" r:id="rId10" xr:uid="{03540F5C-5D1C-43BC-88F1-0ACF89172103}"/>
    <hyperlink ref="M6" r:id="rId11" xr:uid="{7B83AF29-9C77-4E90-81EA-DB66A7A2CC15}"/>
    <hyperlink ref="N6" r:id="rId12" xr:uid="{6827453C-3743-400C-BBB2-13B8CA98DED3}"/>
    <hyperlink ref="O6" r:id="rId13" xr:uid="{A65C64C5-11A9-45F3-8BDE-10237E268B4F}"/>
    <hyperlink ref="P6" r:id="rId14" xr:uid="{936D9249-2690-42D1-9B8A-79FE5E05A9A9}"/>
    <hyperlink ref="Q6" r:id="rId15" xr:uid="{92EF85D7-6983-4163-9C3A-1AFE706DD593}"/>
    <hyperlink ref="R6" r:id="rId16" xr:uid="{27783D87-3E22-4847-A966-98A9CD21472F}"/>
    <hyperlink ref="S6" r:id="rId17" xr:uid="{2C1CE84A-C9BA-4E2A-9BC7-4FE4CC4D5C0C}"/>
    <hyperlink ref="T6" r:id="rId18" xr:uid="{6660E9B4-6EAC-4F1C-AF04-7B79459E45BD}"/>
    <hyperlink ref="U6" r:id="rId19" xr:uid="{7CAE42EE-DF29-4215-A572-8A3C97D9F84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57EE-F575-4E94-A5A5-D2FDD743F9A6}">
  <dimension ref="B3:T30"/>
  <sheetViews>
    <sheetView tabSelected="1" zoomScale="73" workbookViewId="0">
      <selection activeCell="T5" sqref="T5"/>
    </sheetView>
  </sheetViews>
  <sheetFormatPr defaultRowHeight="14.4" x14ac:dyDescent="0.3"/>
  <cols>
    <col min="3" max="3" width="13.77734375" bestFit="1" customWidth="1"/>
    <col min="4" max="4" width="13" bestFit="1" customWidth="1"/>
    <col min="5" max="5" width="13.77734375" bestFit="1" customWidth="1"/>
    <col min="6" max="6" width="14.88671875" bestFit="1" customWidth="1"/>
    <col min="7" max="7" width="13.77734375" bestFit="1" customWidth="1"/>
    <col min="8" max="8" width="15.33203125" bestFit="1" customWidth="1"/>
    <col min="9" max="9" width="14.88671875" bestFit="1" customWidth="1"/>
    <col min="10" max="10" width="12.6640625" bestFit="1" customWidth="1"/>
    <col min="11" max="11" width="13.77734375" bestFit="1" customWidth="1"/>
    <col min="12" max="12" width="14.88671875" bestFit="1" customWidth="1"/>
    <col min="13" max="13" width="13.77734375" bestFit="1" customWidth="1"/>
    <col min="14" max="14" width="15.33203125" bestFit="1" customWidth="1"/>
    <col min="15" max="15" width="14.88671875" bestFit="1" customWidth="1"/>
    <col min="16" max="16" width="13.77734375" bestFit="1" customWidth="1"/>
    <col min="17" max="17" width="15.33203125" bestFit="1" customWidth="1"/>
    <col min="18" max="18" width="14.88671875" bestFit="1" customWidth="1"/>
    <col min="19" max="19" width="12.6640625" bestFit="1" customWidth="1"/>
    <col min="20" max="20" width="14.77734375" bestFit="1" customWidth="1"/>
  </cols>
  <sheetData>
    <row r="3" spans="2:20" x14ac:dyDescent="0.3">
      <c r="C3" t="s">
        <v>296</v>
      </c>
      <c r="D3" t="s">
        <v>296</v>
      </c>
      <c r="E3" t="s">
        <v>296</v>
      </c>
      <c r="F3" t="s">
        <v>297</v>
      </c>
      <c r="G3" t="s">
        <v>297</v>
      </c>
      <c r="H3" t="s">
        <v>297</v>
      </c>
      <c r="I3" t="s">
        <v>298</v>
      </c>
      <c r="J3" t="s">
        <v>298</v>
      </c>
      <c r="K3" t="s">
        <v>298</v>
      </c>
      <c r="L3" t="s">
        <v>299</v>
      </c>
      <c r="M3" t="s">
        <v>299</v>
      </c>
      <c r="N3" t="s">
        <v>299</v>
      </c>
      <c r="O3" t="s">
        <v>300</v>
      </c>
      <c r="P3" t="s">
        <v>300</v>
      </c>
      <c r="Q3" t="s">
        <v>300</v>
      </c>
      <c r="R3" t="s">
        <v>301</v>
      </c>
      <c r="S3" t="s">
        <v>301</v>
      </c>
      <c r="T3" t="s">
        <v>301</v>
      </c>
    </row>
    <row r="4" spans="2:20" x14ac:dyDescent="0.3">
      <c r="C4" t="s">
        <v>302</v>
      </c>
      <c r="D4" t="s">
        <v>303</v>
      </c>
      <c r="E4" t="s">
        <v>304</v>
      </c>
      <c r="F4" t="s">
        <v>302</v>
      </c>
      <c r="G4" t="s">
        <v>303</v>
      </c>
      <c r="H4" t="s">
        <v>304</v>
      </c>
      <c r="I4" t="s">
        <v>302</v>
      </c>
      <c r="J4" t="s">
        <v>303</v>
      </c>
      <c r="K4" t="s">
        <v>304</v>
      </c>
      <c r="L4" t="s">
        <v>302</v>
      </c>
      <c r="M4" t="s">
        <v>303</v>
      </c>
      <c r="N4" t="s">
        <v>304</v>
      </c>
      <c r="O4" t="s">
        <v>302</v>
      </c>
      <c r="P4" t="s">
        <v>303</v>
      </c>
      <c r="Q4" t="s">
        <v>304</v>
      </c>
      <c r="R4" t="s">
        <v>302</v>
      </c>
      <c r="S4" t="s">
        <v>303</v>
      </c>
      <c r="T4" t="s">
        <v>304</v>
      </c>
    </row>
    <row r="5" spans="2:20" x14ac:dyDescent="0.3">
      <c r="B5">
        <v>1999</v>
      </c>
      <c r="C5" s="4">
        <f>SUMIFS(Quarterly!D:D,Quarterly!$A:$A,Annual!$B5)*10^6</f>
        <v>2979799999.9999995</v>
      </c>
      <c r="D5" s="4">
        <f>SUMIFS(Quarterly!E:E,Quarterly!$A:$A,Annual!$B5)*10^6</f>
        <v>863400000</v>
      </c>
      <c r="E5" s="4">
        <f>SUMIFS(Quarterly!F:F,Quarterly!$A:$A,Annual!$B5)*10^6</f>
        <v>23194700000</v>
      </c>
      <c r="F5" s="4">
        <f>SUMIFS(Quarterly!G:G,Quarterly!$A:$A,Annual!$B5)*10^6</f>
        <v>39724000000</v>
      </c>
      <c r="G5" s="4">
        <f>SUMIFS(Quarterly!H:H,Quarterly!$A:$A,Annual!$B5)*10^6</f>
        <v>14239000000</v>
      </c>
      <c r="H5" s="4">
        <f>SUMIFS(Quarterly!I:I,Quarterly!$A:$A,Annual!$B5)*10^6</f>
        <v>199487000000</v>
      </c>
      <c r="I5" s="4">
        <f>SUMIFS(Quarterly!J:J,Quarterly!$A:$A,Annual!$B5)*10^6</f>
        <v>4265000000</v>
      </c>
      <c r="J5" s="4">
        <f>SUMIFS(Quarterly!K:K,Quarterly!$A:$A,Annual!$B5)*10^6</f>
        <v>1273000000</v>
      </c>
      <c r="K5" s="4">
        <f>SUMIFS(Quarterly!L:L,Quarterly!$A:$A,Annual!$B5)*10^6</f>
        <v>17072000000</v>
      </c>
      <c r="L5" s="4">
        <f>SUMIFS(Quarterly!M:M,Quarterly!$A:$A,Annual!$B5)*10^6</f>
        <v>28532900000</v>
      </c>
      <c r="M5" s="4">
        <f>SUMIFS(Quarterly!N:N,Quarterly!$A:$A,Annual!$B5)*10^6</f>
        <v>6596700000.000001</v>
      </c>
      <c r="N5" s="4">
        <f>SUMIFS(Quarterly!O:O,Quarterly!$A:$A,Annual!$B5)*10^6</f>
        <v>128317799999.99998</v>
      </c>
      <c r="O5" s="4">
        <f>SUMIFS(Quarterly!P:P,Quarterly!$A:$A,Annual!$B5)*10^6</f>
        <v>25063100000</v>
      </c>
      <c r="P5" s="4">
        <f>SUMIFS(Quarterly!Q:Q,Quarterly!$A:$A,Annual!$B5)*10^6</f>
        <v>6573000000</v>
      </c>
      <c r="Q5" s="4">
        <f>SUMIFS(Quarterly!R:R,Quarterly!$A:$A,Annual!$B5)*10^6</f>
        <v>134646099999.99997</v>
      </c>
      <c r="R5" s="4">
        <f>SUMIFS(Quarterly!S:S,Quarterly!$A:$A,Annual!$B5)*10^6</f>
        <v>13409000000</v>
      </c>
      <c r="S5" s="4">
        <f>SUMIFS(Quarterly!T:T,Quarterly!$A:$A,Annual!$B5)*10^6</f>
        <v>2724000000</v>
      </c>
      <c r="T5" s="4">
        <f>SUMIFS(Quarterly!U:U,Quarterly!$A:$A,Annual!$B5)*10^6</f>
        <v>28000000000</v>
      </c>
    </row>
    <row r="6" spans="2:20" x14ac:dyDescent="0.3">
      <c r="B6">
        <f>B5+1</f>
        <v>2000</v>
      </c>
      <c r="C6" s="4">
        <f>SUMIFS(Quarterly!D:D,Quarterly!$A:$A,Annual!$B6)*10^6</f>
        <v>3440500000</v>
      </c>
      <c r="D6" s="4">
        <f>SUMIFS(Quarterly!E:E,Quarterly!$A:$A,Annual!$B6)*10^6</f>
        <v>1063699999.9999998</v>
      </c>
      <c r="E6" s="4">
        <f>SUMIFS(Quarterly!F:F,Quarterly!$A:$A,Annual!$B6)*10^6</f>
        <v>23594800000</v>
      </c>
      <c r="F6" s="4">
        <f>SUMIFS(Quarterly!G:G,Quarterly!$A:$A,Annual!$B6)*10^6</f>
        <v>48058000000</v>
      </c>
      <c r="G6" s="4">
        <f>SUMIFS(Quarterly!H:H,Quarterly!$A:$A,Annual!$B6)*10^6</f>
        <v>10090000000</v>
      </c>
      <c r="H6" s="4">
        <f>SUMIFS(Quarterly!I:I,Quarterly!$A:$A,Annual!$B6)*10^6</f>
        <v>207350000000</v>
      </c>
      <c r="I6" s="4">
        <f>SUMIFS(Quarterly!J:J,Quarterly!$A:$A,Annual!$B6)*10^6</f>
        <v>6435000000</v>
      </c>
      <c r="J6" s="4">
        <f>SUMIFS(Quarterly!K:K,Quarterly!$A:$A,Annual!$B6)*10^6</f>
        <v>1588000000</v>
      </c>
      <c r="K6" s="4">
        <f>SUMIFS(Quarterly!L:L,Quarterly!$A:$A,Annual!$B6)*10^6</f>
        <v>19797000000</v>
      </c>
      <c r="L6" s="4">
        <f>SUMIFS(Quarterly!M:M,Quarterly!$A:$A,Annual!$B6)*10^6</f>
        <v>30443799999.999996</v>
      </c>
      <c r="M6" s="4">
        <f>SUMIFS(Quarterly!N:N,Quarterly!$A:$A,Annual!$B6)*10^6</f>
        <v>8785100000</v>
      </c>
      <c r="N6" s="4">
        <f>SUMIFS(Quarterly!O:O,Quarterly!$A:$A,Annual!$B6)*10^6</f>
        <v>133820200000.00002</v>
      </c>
      <c r="O6" s="4">
        <f>SUMIFS(Quarterly!P:P,Quarterly!$A:$A,Annual!$B6)*10^6</f>
        <v>20626900000</v>
      </c>
      <c r="P6" s="4">
        <f>SUMIFS(Quarterly!Q:Q,Quarterly!$A:$A,Annual!$B6)*10^6</f>
        <v>8164300000</v>
      </c>
      <c r="Q6" s="4">
        <f>SUMIFS(Quarterly!R:R,Quarterly!$A:$A,Annual!$B6)*10^6</f>
        <v>140532000000</v>
      </c>
      <c r="R6" s="4">
        <f>SUMIFS(Quarterly!S:S,Quarterly!$A:$A,Annual!$B6)*10^6</f>
        <v>14233000000</v>
      </c>
      <c r="S6" s="4">
        <f>SUMIFS(Quarterly!T:T,Quarterly!$A:$A,Annual!$B6)*10^6</f>
        <v>3221000000</v>
      </c>
      <c r="T6" s="4">
        <f>SUMIFS(Quarterly!U:U,Quarterly!$A:$A,Annual!$B6)*10^6</f>
        <v>30059000000</v>
      </c>
    </row>
    <row r="7" spans="2:20" x14ac:dyDescent="0.3">
      <c r="B7">
        <f t="shared" ref="B7:B30" si="0">B6+1</f>
        <v>2001</v>
      </c>
      <c r="C7" s="4">
        <f>SUMIFS(Quarterly!D:D,Quarterly!$A:$A,Annual!$B7)*10^6</f>
        <v>5683400000.000001</v>
      </c>
      <c r="D7" s="4">
        <f>SUMIFS(Quarterly!E:E,Quarterly!$A:$A,Annual!$B7)*10^6</f>
        <v>1209600000.0000002</v>
      </c>
      <c r="E7" s="4">
        <f>SUMIFS(Quarterly!F:F,Quarterly!$A:$A,Annual!$B7)*10^6</f>
        <v>25701800000</v>
      </c>
      <c r="F7" s="4">
        <f>SUMIFS(Quarterly!G:G,Quarterly!$A:$A,Annual!$B7)*10^6</f>
        <v>27496000000</v>
      </c>
      <c r="G7" s="4">
        <f>SUMIFS(Quarterly!H:H,Quarterly!$A:$A,Annual!$B7)*10^6</f>
        <v>6014000000</v>
      </c>
      <c r="H7" s="4">
        <f>SUMIFS(Quarterly!I:I,Quarterly!$A:$A,Annual!$B7)*10^6</f>
        <v>206936000000</v>
      </c>
      <c r="I7" s="4">
        <f>SUMIFS(Quarterly!J:J,Quarterly!$A:$A,Annual!$B7)*10^6</f>
        <v>5405000000</v>
      </c>
      <c r="J7" s="4">
        <f>SUMIFS(Quarterly!K:K,Quarterly!$A:$A,Annual!$B7)*10^6</f>
        <v>681000000</v>
      </c>
      <c r="K7" s="4">
        <f>SUMIFS(Quarterly!L:L,Quarterly!$A:$A,Annual!$B7)*10^6</f>
        <v>20295000000</v>
      </c>
      <c r="L7" s="4">
        <f>SUMIFS(Quarterly!M:M,Quarterly!$A:$A,Annual!$B7)*10^6</f>
        <v>35387300000</v>
      </c>
      <c r="M7" s="4">
        <f>SUMIFS(Quarterly!N:N,Quarterly!$A:$A,Annual!$B7)*10^6</f>
        <v>8714000000</v>
      </c>
      <c r="N7" s="4">
        <f>SUMIFS(Quarterly!O:O,Quarterly!$A:$A,Annual!$B7)*10^6</f>
        <v>139334700000</v>
      </c>
      <c r="O7" s="4">
        <f>SUMIFS(Quarterly!P:P,Quarterly!$A:$A,Annual!$B7)*10^6</f>
        <v>32060600000</v>
      </c>
      <c r="P7" s="4">
        <f>SUMIFS(Quarterly!Q:Q,Quarterly!$A:$A,Annual!$B7)*10^6</f>
        <v>7976900000</v>
      </c>
      <c r="Q7" s="4">
        <f>SUMIFS(Quarterly!R:R,Quarterly!$A:$A,Annual!$B7)*10^6</f>
        <v>141292100000</v>
      </c>
      <c r="R7" s="4">
        <f>SUMIFS(Quarterly!S:S,Quarterly!$A:$A,Annual!$B7)*10^6</f>
        <v>12960000000</v>
      </c>
      <c r="S7" s="4">
        <f>SUMIFS(Quarterly!T:T,Quarterly!$A:$A,Annual!$B7)*10^6</f>
        <v>4708000000</v>
      </c>
      <c r="T7" s="4">
        <f>SUMIFS(Quarterly!U:U,Quarterly!$A:$A,Annual!$B7)*10^6</f>
        <v>30404000000</v>
      </c>
    </row>
    <row r="8" spans="2:20" x14ac:dyDescent="0.3">
      <c r="B8">
        <f t="shared" si="0"/>
        <v>2002</v>
      </c>
      <c r="C8" s="4">
        <f>SUMIFS(Quarterly!D:D,Quarterly!$A:$A,Annual!$B8)*10^6</f>
        <v>4111200000</v>
      </c>
      <c r="D8" s="4">
        <f>SUMIFS(Quarterly!E:E,Quarterly!$A:$A,Annual!$B8)*10^6</f>
        <v>1121800000</v>
      </c>
      <c r="E8" s="4">
        <f>SUMIFS(Quarterly!F:F,Quarterly!$A:$A,Annual!$B8)*10^6</f>
        <v>25779300000</v>
      </c>
      <c r="F8" s="4">
        <f>SUMIFS(Quarterly!G:G,Quarterly!$A:$A,Annual!$B8)*10^6</f>
        <v>26901000000</v>
      </c>
      <c r="G8" s="4">
        <f>SUMIFS(Quarterly!H:H,Quarterly!$A:$A,Annual!$B8)*10^6</f>
        <v>6153000000</v>
      </c>
      <c r="H8" s="4">
        <f>SUMIFS(Quarterly!I:I,Quarterly!$A:$A,Annual!$B8)*10^6</f>
        <v>202288000000</v>
      </c>
      <c r="I8" s="4">
        <f>SUMIFS(Quarterly!J:J,Quarterly!$A:$A,Annual!$B8)*10^6</f>
        <v>5742000000</v>
      </c>
      <c r="J8" s="4">
        <f>SUMIFS(Quarterly!K:K,Quarterly!$A:$A,Annual!$B8)*10^6</f>
        <v>525000000</v>
      </c>
      <c r="K8" s="4">
        <f>SUMIFS(Quarterly!L:L,Quarterly!$A:$A,Annual!$B8)*10^6</f>
        <v>20747000000</v>
      </c>
      <c r="L8" s="4">
        <f>SUMIFS(Quarterly!M:M,Quarterly!$A:$A,Annual!$B8)*10^6</f>
        <v>30253000000</v>
      </c>
      <c r="M8" s="4">
        <f>SUMIFS(Quarterly!N:N,Quarterly!$A:$A,Annual!$B8)*10^6</f>
        <v>7944700000.000001</v>
      </c>
      <c r="N8" s="4">
        <f>SUMIFS(Quarterly!O:O,Quarterly!$A:$A,Annual!$B8)*10^6</f>
        <v>138428800000</v>
      </c>
      <c r="O8" s="4">
        <f>SUMIFS(Quarterly!P:P,Quarterly!$A:$A,Annual!$B8)*10^6</f>
        <v>27249600000</v>
      </c>
      <c r="P8" s="4">
        <f>SUMIFS(Quarterly!Q:Q,Quarterly!$A:$A,Annual!$B8)*10^6</f>
        <v>8074600000</v>
      </c>
      <c r="Q8" s="4">
        <f>SUMIFS(Quarterly!R:R,Quarterly!$A:$A,Annual!$B8)*10^6</f>
        <v>143300300000</v>
      </c>
      <c r="R8" s="4">
        <f>SUMIFS(Quarterly!S:S,Quarterly!$A:$A,Annual!$B8)*10^6</f>
        <v>12041000000</v>
      </c>
      <c r="S8" s="4">
        <f>SUMIFS(Quarterly!T:T,Quarterly!$A:$A,Annual!$B8)*10^6</f>
        <v>3559000000</v>
      </c>
      <c r="T8" s="4">
        <f>SUMIFS(Quarterly!U:U,Quarterly!$A:$A,Annual!$B8)*10^6</f>
        <v>35371000000</v>
      </c>
    </row>
    <row r="9" spans="2:20" x14ac:dyDescent="0.3">
      <c r="B9">
        <f t="shared" si="0"/>
        <v>2003</v>
      </c>
      <c r="C9" s="4">
        <f>SUMIFS(Quarterly!D:D,Quarterly!$A:$A,Annual!$B9)*10^6</f>
        <v>4297000000</v>
      </c>
      <c r="D9" s="4">
        <f>SUMIFS(Quarterly!E:E,Quarterly!$A:$A,Annual!$B9)*10^6</f>
        <v>892900000</v>
      </c>
      <c r="E9" s="4">
        <f>SUMIFS(Quarterly!F:F,Quarterly!$A:$A,Annual!$B9)*10^6</f>
        <v>26103000000.000004</v>
      </c>
      <c r="F9" s="4">
        <f>SUMIFS(Quarterly!G:G,Quarterly!$A:$A,Annual!$B9)*10^6</f>
        <v>28471000000</v>
      </c>
      <c r="G9" s="4">
        <f>SUMIFS(Quarterly!H:H,Quarterly!$A:$A,Annual!$B9)*10^6</f>
        <v>9120000000</v>
      </c>
      <c r="H9" s="4">
        <f>SUMIFS(Quarterly!I:I,Quarterly!$A:$A,Annual!$B9)*10^6</f>
        <v>198688000000</v>
      </c>
      <c r="I9" s="4">
        <f>SUMIFS(Quarterly!J:J,Quarterly!$A:$A,Annual!$B9)*10^6</f>
        <v>4575000000</v>
      </c>
      <c r="J9" s="4">
        <f>SUMIFS(Quarterly!K:K,Quarterly!$A:$A,Annual!$B9)*10^6</f>
        <v>627000000</v>
      </c>
      <c r="K9" s="4">
        <f>SUMIFS(Quarterly!L:L,Quarterly!$A:$A,Annual!$B9)*10^6</f>
        <v>20656000000</v>
      </c>
      <c r="L9" s="4">
        <f>SUMIFS(Quarterly!M:M,Quarterly!$A:$A,Annual!$B9)*10^6</f>
        <v>26680800000.000004</v>
      </c>
      <c r="M9" s="4">
        <f>SUMIFS(Quarterly!N:N,Quarterly!$A:$A,Annual!$B9)*10^6</f>
        <v>6270700000.000001</v>
      </c>
      <c r="N9" s="4">
        <f>SUMIFS(Quarterly!O:O,Quarterly!$A:$A,Annual!$B9)*10^6</f>
        <v>143405400000</v>
      </c>
      <c r="O9" s="4">
        <f>SUMIFS(Quarterly!P:P,Quarterly!$A:$A,Annual!$B9)*10^6</f>
        <v>22190699999.999996</v>
      </c>
      <c r="P9" s="4">
        <f>SUMIFS(Quarterly!Q:Q,Quarterly!$A:$A,Annual!$B9)*10^6</f>
        <v>9384599999.9999981</v>
      </c>
      <c r="Q9" s="4">
        <f>SUMIFS(Quarterly!R:R,Quarterly!$A:$A,Annual!$B9)*10^6</f>
        <v>145156300000</v>
      </c>
      <c r="R9" s="4">
        <f>SUMIFS(Quarterly!S:S,Quarterly!$A:$A,Annual!$B9)*10^6</f>
        <v>9524000000</v>
      </c>
      <c r="S9" s="4">
        <f>SUMIFS(Quarterly!T:T,Quarterly!$A:$A,Annual!$B9)*10^6</f>
        <v>3998000000</v>
      </c>
      <c r="T9" s="4">
        <f>SUMIFS(Quarterly!U:U,Quarterly!$A:$A,Annual!$B9)*10^6</f>
        <v>34236000000</v>
      </c>
    </row>
    <row r="10" spans="2:20" x14ac:dyDescent="0.3">
      <c r="B10">
        <f t="shared" si="0"/>
        <v>2004</v>
      </c>
      <c r="C10" s="4">
        <f>SUMIFS(Quarterly!D:D,Quarterly!$A:$A,Annual!$B10)*10^6</f>
        <v>4727700000</v>
      </c>
      <c r="D10" s="4">
        <f>SUMIFS(Quarterly!E:E,Quarterly!$A:$A,Annual!$B10)*10^6</f>
        <v>874800000</v>
      </c>
      <c r="E10" s="4">
        <f>SUMIFS(Quarterly!F:F,Quarterly!$A:$A,Annual!$B10)*10^6</f>
        <v>26584600000.000004</v>
      </c>
      <c r="F10" s="4">
        <f>SUMIFS(Quarterly!G:G,Quarterly!$A:$A,Annual!$B10)*10^6</f>
        <v>37680000000</v>
      </c>
      <c r="G10" s="4">
        <f>SUMIFS(Quarterly!H:H,Quarterly!$A:$A,Annual!$B10)*10^6</f>
        <v>8429000000</v>
      </c>
      <c r="H10" s="4">
        <f>SUMIFS(Quarterly!I:I,Quarterly!$A:$A,Annual!$B10)*10^6</f>
        <v>189840000000</v>
      </c>
      <c r="I10" s="4">
        <f>SUMIFS(Quarterly!J:J,Quarterly!$A:$A,Annual!$B10)*10^6</f>
        <v>5109000000</v>
      </c>
      <c r="J10" s="4">
        <f>SUMIFS(Quarterly!K:K,Quarterly!$A:$A,Annual!$B10)*10^6</f>
        <v>517000000</v>
      </c>
      <c r="K10" s="4">
        <f>SUMIFS(Quarterly!L:L,Quarterly!$A:$A,Annual!$B10)*10^6</f>
        <v>21243000000</v>
      </c>
      <c r="L10" s="4">
        <f>SUMIFS(Quarterly!M:M,Quarterly!$A:$A,Annual!$B10)*10^6</f>
        <v>29276500000</v>
      </c>
      <c r="M10" s="4">
        <f>SUMIFS(Quarterly!N:N,Quarterly!$A:$A,Annual!$B10)*10^6</f>
        <v>9501900000</v>
      </c>
      <c r="N10" s="4">
        <f>SUMIFS(Quarterly!O:O,Quarterly!$A:$A,Annual!$B10)*10^6</f>
        <v>147847100000</v>
      </c>
      <c r="O10" s="4">
        <f>SUMIFS(Quarterly!P:P,Quarterly!$A:$A,Annual!$B10)*10^6</f>
        <v>25656800000</v>
      </c>
      <c r="P10" s="4">
        <f>SUMIFS(Quarterly!Q:Q,Quarterly!$A:$A,Annual!$B10)*10^6</f>
        <v>7987300000</v>
      </c>
      <c r="Q10" s="4">
        <f>SUMIFS(Quarterly!R:R,Quarterly!$A:$A,Annual!$B10)*10^6</f>
        <v>149917700000</v>
      </c>
      <c r="R10" s="4">
        <f>SUMIFS(Quarterly!S:S,Quarterly!$A:$A,Annual!$B10)*10^6</f>
        <v>10482000000</v>
      </c>
      <c r="S10" s="4">
        <f>SUMIFS(Quarterly!T:T,Quarterly!$A:$A,Annual!$B10)*10^6</f>
        <v>4736000000</v>
      </c>
      <c r="T10" s="4">
        <f>SUMIFS(Quarterly!U:U,Quarterly!$A:$A,Annual!$B10)*10^6</f>
        <v>35205000000</v>
      </c>
    </row>
    <row r="11" spans="2:20" x14ac:dyDescent="0.3">
      <c r="B11">
        <f t="shared" si="0"/>
        <v>2005</v>
      </c>
      <c r="C11" s="4">
        <f>SUMIFS(Quarterly!D:D,Quarterly!$A:$A,Annual!$B11)*10^6</f>
        <v>4856200000.000001</v>
      </c>
      <c r="D11" s="4">
        <f>SUMIFS(Quarterly!E:E,Quarterly!$A:$A,Annual!$B11)*10^6</f>
        <v>865900000</v>
      </c>
      <c r="E11" s="4">
        <f>SUMIFS(Quarterly!F:F,Quarterly!$A:$A,Annual!$B11)*10^6</f>
        <v>26659900000</v>
      </c>
      <c r="F11" s="4">
        <f>SUMIFS(Quarterly!G:G,Quarterly!$A:$A,Annual!$B11)*10^6</f>
        <v>40109000000</v>
      </c>
      <c r="G11" s="4">
        <f>SUMIFS(Quarterly!H:H,Quarterly!$A:$A,Annual!$B11)*10^6</f>
        <v>13408000000</v>
      </c>
      <c r="H11" s="4">
        <f>SUMIFS(Quarterly!I:I,Quarterly!$A:$A,Annual!$B11)*10^6</f>
        <v>192286000000</v>
      </c>
      <c r="I11" s="4">
        <f>SUMIFS(Quarterly!J:J,Quarterly!$A:$A,Annual!$B11)*10^6</f>
        <v>5105000000</v>
      </c>
      <c r="J11" s="4">
        <f>SUMIFS(Quarterly!K:K,Quarterly!$A:$A,Annual!$B11)*10^6</f>
        <v>451000000</v>
      </c>
      <c r="K11" s="4">
        <f>SUMIFS(Quarterly!L:L,Quarterly!$A:$A,Annual!$B11)*10^6</f>
        <v>22252000000</v>
      </c>
      <c r="L11" s="4">
        <f>SUMIFS(Quarterly!M:M,Quarterly!$A:$A,Annual!$B11)*10^6</f>
        <v>33962899999.999992</v>
      </c>
      <c r="M11" s="4">
        <f>SUMIFS(Quarterly!N:N,Quarterly!$A:$A,Annual!$B11)*10^6</f>
        <v>7018400000</v>
      </c>
      <c r="N11" s="4">
        <f>SUMIFS(Quarterly!O:O,Quarterly!$A:$A,Annual!$B11)*10^6</f>
        <v>156111300000</v>
      </c>
      <c r="O11" s="4">
        <f>SUMIFS(Quarterly!P:P,Quarterly!$A:$A,Annual!$B11)*10^6</f>
        <v>25642000000</v>
      </c>
      <c r="P11" s="4">
        <f>SUMIFS(Quarterly!Q:Q,Quarterly!$A:$A,Annual!$B11)*10^6</f>
        <v>8261100000</v>
      </c>
      <c r="Q11" s="4">
        <f>SUMIFS(Quarterly!R:R,Quarterly!$A:$A,Annual!$B11)*10^6</f>
        <v>154951000000</v>
      </c>
      <c r="R11" s="4">
        <f>SUMIFS(Quarterly!S:S,Quarterly!$A:$A,Annual!$B11)*10^6</f>
        <v>13398000000</v>
      </c>
      <c r="S11" s="4">
        <f>SUMIFS(Quarterly!T:T,Quarterly!$A:$A,Annual!$B11)*10^6</f>
        <v>4187000000</v>
      </c>
      <c r="T11" s="4">
        <f>SUMIFS(Quarterly!U:U,Quarterly!$A:$A,Annual!$B11)*10^6</f>
        <v>36204000000</v>
      </c>
    </row>
    <row r="12" spans="2:20" x14ac:dyDescent="0.3">
      <c r="B12">
        <f t="shared" si="0"/>
        <v>2006</v>
      </c>
      <c r="C12" s="4">
        <f>SUMIFS(Quarterly!D:D,Quarterly!$A:$A,Annual!$B12)*10^6</f>
        <v>5098600000</v>
      </c>
      <c r="D12" s="4">
        <f>SUMIFS(Quarterly!E:E,Quarterly!$A:$A,Annual!$B12)*10^6</f>
        <v>825400000</v>
      </c>
      <c r="E12" s="4">
        <f>SUMIFS(Quarterly!F:F,Quarterly!$A:$A,Annual!$B12)*10^6</f>
        <v>28027399999.999996</v>
      </c>
      <c r="F12" s="4">
        <f>SUMIFS(Quarterly!G:G,Quarterly!$A:$A,Annual!$B12)*10^6</f>
        <v>58642000000</v>
      </c>
      <c r="G12" s="4">
        <f>SUMIFS(Quarterly!H:H,Quarterly!$A:$A,Annual!$B12)*10^6</f>
        <v>7667000000</v>
      </c>
      <c r="H12" s="4">
        <f>SUMIFS(Quarterly!I:I,Quarterly!$A:$A,Annual!$B12)*10^6</f>
        <v>206383000000</v>
      </c>
      <c r="I12" s="4">
        <f>SUMIFS(Quarterly!J:J,Quarterly!$A:$A,Annual!$B12)*10^6</f>
        <v>5093000000</v>
      </c>
      <c r="J12" s="4">
        <f>SUMIFS(Quarterly!K:K,Quarterly!$A:$A,Annual!$B12)*10^6</f>
        <v>851000000</v>
      </c>
      <c r="K12" s="4">
        <f>SUMIFS(Quarterly!L:L,Quarterly!$A:$A,Annual!$B12)*10^6</f>
        <v>23008000000</v>
      </c>
      <c r="L12" s="4">
        <f>SUMIFS(Quarterly!M:M,Quarterly!$A:$A,Annual!$B12)*10^6</f>
        <v>43402800000</v>
      </c>
      <c r="M12" s="4">
        <f>SUMIFS(Quarterly!N:N,Quarterly!$A:$A,Annual!$B12)*10^6</f>
        <v>9164800000.0000019</v>
      </c>
      <c r="N12" s="4">
        <f>SUMIFS(Quarterly!O:O,Quarterly!$A:$A,Annual!$B12)*10^6</f>
        <v>162114900000.00003</v>
      </c>
      <c r="O12" s="4">
        <f>SUMIFS(Quarterly!P:P,Quarterly!$A:$A,Annual!$B12)*10^6</f>
        <v>36867100000.000008</v>
      </c>
      <c r="P12" s="4">
        <f>SUMIFS(Quarterly!Q:Q,Quarterly!$A:$A,Annual!$B12)*10^6</f>
        <v>7595200000.000001</v>
      </c>
      <c r="Q12" s="4">
        <f>SUMIFS(Quarterly!R:R,Quarterly!$A:$A,Annual!$B12)*10^6</f>
        <v>167116800000</v>
      </c>
      <c r="R12" s="4">
        <f>SUMIFS(Quarterly!S:S,Quarterly!$A:$A,Annual!$B12)*10^6</f>
        <v>14827000000</v>
      </c>
      <c r="S12" s="4">
        <f>SUMIFS(Quarterly!T:T,Quarterly!$A:$A,Annual!$B12)*10^6</f>
        <v>3877000000</v>
      </c>
      <c r="T12" s="4">
        <f>SUMIFS(Quarterly!U:U,Quarterly!$A:$A,Annual!$B12)*10^6</f>
        <v>39184000000</v>
      </c>
    </row>
    <row r="13" spans="2:20" x14ac:dyDescent="0.3">
      <c r="B13">
        <f t="shared" si="0"/>
        <v>2007</v>
      </c>
      <c r="C13" s="4">
        <f>SUMIFS(Quarterly!D:D,Quarterly!$A:$A,Annual!$B13)*10^6</f>
        <v>6069800000</v>
      </c>
      <c r="D13" s="4">
        <f>SUMIFS(Quarterly!E:E,Quarterly!$A:$A,Annual!$B13)*10^6</f>
        <v>966500000</v>
      </c>
      <c r="E13" s="4">
        <f>SUMIFS(Quarterly!F:F,Quarterly!$A:$A,Annual!$B13)*10^6</f>
        <v>30280899999.999996</v>
      </c>
      <c r="F13" s="4">
        <f>SUMIFS(Quarterly!G:G,Quarterly!$A:$A,Annual!$B13)*10^6</f>
        <v>59306000000</v>
      </c>
      <c r="G13" s="4">
        <f>SUMIFS(Quarterly!H:H,Quarterly!$A:$A,Annual!$B13)*10^6</f>
        <v>10249000000</v>
      </c>
      <c r="H13" s="4">
        <f>SUMIFS(Quarterly!I:I,Quarterly!$A:$A,Annual!$B13)*10^6</f>
        <v>224824000000</v>
      </c>
      <c r="I13" s="4">
        <f>SUMIFS(Quarterly!J:J,Quarterly!$A:$A,Annual!$B13)*10^6</f>
        <v>6359000000</v>
      </c>
      <c r="J13" s="4">
        <f>SUMIFS(Quarterly!K:K,Quarterly!$A:$A,Annual!$B13)*10^6</f>
        <v>937000000</v>
      </c>
      <c r="K13" s="4">
        <f>SUMIFS(Quarterly!L:L,Quarterly!$A:$A,Annual!$B13)*10^6</f>
        <v>24456000000</v>
      </c>
      <c r="L13" s="4">
        <f>SUMIFS(Quarterly!M:M,Quarterly!$A:$A,Annual!$B13)*10^6</f>
        <v>45842500000</v>
      </c>
      <c r="M13" s="4">
        <f>SUMIFS(Quarterly!N:N,Quarterly!$A:$A,Annual!$B13)*10^6</f>
        <v>10346400000</v>
      </c>
      <c r="N13" s="4">
        <f>SUMIFS(Quarterly!O:O,Quarterly!$A:$A,Annual!$B13)*10^6</f>
        <v>167081500000</v>
      </c>
      <c r="O13" s="4">
        <f>SUMIFS(Quarterly!P:P,Quarterly!$A:$A,Annual!$B13)*10^6</f>
        <v>43511700000</v>
      </c>
      <c r="P13" s="4">
        <f>SUMIFS(Quarterly!Q:Q,Quarterly!$A:$A,Annual!$B13)*10^6</f>
        <v>7387200000</v>
      </c>
      <c r="Q13" s="4">
        <f>SUMIFS(Quarterly!R:R,Quarterly!$A:$A,Annual!$B13)*10^6</f>
        <v>179499200000</v>
      </c>
      <c r="R13" s="4">
        <f>SUMIFS(Quarterly!S:S,Quarterly!$A:$A,Annual!$B13)*10^6</f>
        <v>16211000000</v>
      </c>
      <c r="S13" s="4">
        <f>SUMIFS(Quarterly!T:T,Quarterly!$A:$A,Annual!$B13)*10^6</f>
        <v>3789000000</v>
      </c>
      <c r="T13" s="4">
        <f>SUMIFS(Quarterly!U:U,Quarterly!$A:$A,Annual!$B13)*10^6</f>
        <v>44194000000</v>
      </c>
    </row>
    <row r="14" spans="2:20" x14ac:dyDescent="0.3">
      <c r="B14">
        <f t="shared" si="0"/>
        <v>2008</v>
      </c>
      <c r="C14" s="4">
        <f>SUMIFS(Quarterly!D:D,Quarterly!$A:$A,Annual!$B14)*10^6</f>
        <v>6503900000</v>
      </c>
      <c r="D14" s="4">
        <f>SUMIFS(Quarterly!E:E,Quarterly!$A:$A,Annual!$B14)*10^6</f>
        <v>960199999.99999988</v>
      </c>
      <c r="E14" s="4">
        <f>SUMIFS(Quarterly!F:F,Quarterly!$A:$A,Annual!$B14)*10^6</f>
        <v>32858600000</v>
      </c>
      <c r="F14" s="4">
        <f>SUMIFS(Quarterly!G:G,Quarterly!$A:$A,Annual!$B14)*10^6</f>
        <v>59182000000</v>
      </c>
      <c r="G14" s="4">
        <f>SUMIFS(Quarterly!H:H,Quarterly!$A:$A,Annual!$B14)*10^6</f>
        <v>4908000000</v>
      </c>
      <c r="H14" s="4">
        <f>SUMIFS(Quarterly!I:I,Quarterly!$A:$A,Annual!$B14)*10^6</f>
        <v>244245000000</v>
      </c>
      <c r="I14" s="4">
        <f>SUMIFS(Quarterly!J:J,Quarterly!$A:$A,Annual!$B14)*10^6</f>
        <v>6457000000</v>
      </c>
      <c r="J14" s="4">
        <f>SUMIFS(Quarterly!K:K,Quarterly!$A:$A,Annual!$B14)*10^6</f>
        <v>441000000</v>
      </c>
      <c r="K14" s="4">
        <f>SUMIFS(Quarterly!L:L,Quarterly!$A:$A,Annual!$B14)*10^6</f>
        <v>25645000000</v>
      </c>
      <c r="L14" s="4">
        <f>SUMIFS(Quarterly!M:M,Quarterly!$A:$A,Annual!$B14)*10^6</f>
        <v>48339900000</v>
      </c>
      <c r="M14" s="4">
        <f>SUMIFS(Quarterly!N:N,Quarterly!$A:$A,Annual!$B14)*10^6</f>
        <v>6503400000.000001</v>
      </c>
      <c r="N14" s="4">
        <f>SUMIFS(Quarterly!O:O,Quarterly!$A:$A,Annual!$B14)*10^6</f>
        <v>176911700000</v>
      </c>
      <c r="O14" s="4">
        <f>SUMIFS(Quarterly!P:P,Quarterly!$A:$A,Annual!$B14)*10^6</f>
        <v>42336100000</v>
      </c>
      <c r="P14" s="4">
        <f>SUMIFS(Quarterly!Q:Q,Quarterly!$A:$A,Annual!$B14)*10^6</f>
        <v>6008900000</v>
      </c>
      <c r="Q14" s="4">
        <f>SUMIFS(Quarterly!R:R,Quarterly!$A:$A,Annual!$B14)*10^6</f>
        <v>189465199999.99997</v>
      </c>
      <c r="R14" s="4">
        <f>SUMIFS(Quarterly!S:S,Quarterly!$A:$A,Annual!$B14)*10^6</f>
        <v>16198000000</v>
      </c>
      <c r="S14" s="4">
        <f>SUMIFS(Quarterly!T:T,Quarterly!$A:$A,Annual!$B14)*10^6</f>
        <v>3615000000</v>
      </c>
      <c r="T14" s="4">
        <f>SUMIFS(Quarterly!U:U,Quarterly!$A:$A,Annual!$B14)*10^6</f>
        <v>49673000000</v>
      </c>
    </row>
    <row r="15" spans="2:20" x14ac:dyDescent="0.3">
      <c r="B15">
        <f t="shared" si="0"/>
        <v>2009</v>
      </c>
      <c r="C15" s="4">
        <f>SUMIFS(Quarterly!D:D,Quarterly!$A:$A,Annual!$B15)*10^6</f>
        <v>4392100000</v>
      </c>
      <c r="D15" s="4">
        <f>SUMIFS(Quarterly!E:E,Quarterly!$A:$A,Annual!$B15)*10^6</f>
        <v>694100000</v>
      </c>
      <c r="E15" s="4">
        <f>SUMIFS(Quarterly!F:F,Quarterly!$A:$A,Annual!$B15)*10^6</f>
        <v>30839000000</v>
      </c>
      <c r="F15" s="4">
        <f>SUMIFS(Quarterly!G:G,Quarterly!$A:$A,Annual!$B15)*10^6</f>
        <v>37713000000</v>
      </c>
      <c r="G15" s="4">
        <f>SUMIFS(Quarterly!H:H,Quarterly!$A:$A,Annual!$B15)*10^6</f>
        <v>7577000000</v>
      </c>
      <c r="H15" s="4">
        <f>SUMIFS(Quarterly!I:I,Quarterly!$A:$A,Annual!$B15)*10^6</f>
        <v>232027000000</v>
      </c>
      <c r="I15" s="4">
        <f>SUMIFS(Quarterly!J:J,Quarterly!$A:$A,Annual!$B15)*10^6</f>
        <v>3109000000</v>
      </c>
      <c r="J15" s="4">
        <f>SUMIFS(Quarterly!K:K,Quarterly!$A:$A,Annual!$B15)*10^6</f>
        <v>843000000</v>
      </c>
      <c r="K15" s="4">
        <f>SUMIFS(Quarterly!L:L,Quarterly!$A:$A,Annual!$B15)*10^6</f>
        <v>24109000000</v>
      </c>
      <c r="L15" s="4">
        <f>SUMIFS(Quarterly!M:M,Quarterly!$A:$A,Annual!$B15)*10^6</f>
        <v>24832600000</v>
      </c>
      <c r="M15" s="4">
        <f>SUMIFS(Quarterly!N:N,Quarterly!$A:$A,Annual!$B15)*10^6</f>
        <v>5986099999.999999</v>
      </c>
      <c r="N15" s="4">
        <f>SUMIFS(Quarterly!O:O,Quarterly!$A:$A,Annual!$B15)*10^6</f>
        <v>170915800000</v>
      </c>
      <c r="O15" s="4">
        <f>SUMIFS(Quarterly!P:P,Quarterly!$A:$A,Annual!$B15)*10^6</f>
        <v>32879100000.000008</v>
      </c>
      <c r="P15" s="4">
        <f>SUMIFS(Quarterly!Q:Q,Quarterly!$A:$A,Annual!$B15)*10^6</f>
        <v>5247800000</v>
      </c>
      <c r="Q15" s="4">
        <f>SUMIFS(Quarterly!R:R,Quarterly!$A:$A,Annual!$B15)*10^6</f>
        <v>183070200000</v>
      </c>
      <c r="R15" s="4">
        <f>SUMIFS(Quarterly!S:S,Quarterly!$A:$A,Annual!$B15)*10^6</f>
        <v>9185000000</v>
      </c>
      <c r="S15" s="4">
        <f>SUMIFS(Quarterly!T:T,Quarterly!$A:$A,Annual!$B15)*10^6</f>
        <v>3342000000</v>
      </c>
      <c r="T15" s="4">
        <f>SUMIFS(Quarterly!U:U,Quarterly!$A:$A,Annual!$B15)*10^6</f>
        <v>52146000000</v>
      </c>
    </row>
    <row r="16" spans="2:20" x14ac:dyDescent="0.3">
      <c r="B16">
        <f t="shared" si="0"/>
        <v>2010</v>
      </c>
      <c r="C16" s="4">
        <f>SUMIFS(Quarterly!D:D,Quarterly!$A:$A,Annual!$B16)*10^6</f>
        <v>4963400000</v>
      </c>
      <c r="D16" s="4">
        <f>SUMIFS(Quarterly!E:E,Quarterly!$A:$A,Annual!$B16)*10^6</f>
        <v>808399999.99999988</v>
      </c>
      <c r="E16" s="4">
        <f>SUMIFS(Quarterly!F:F,Quarterly!$A:$A,Annual!$B16)*10^6</f>
        <v>31347699999.999996</v>
      </c>
      <c r="F16" s="4">
        <f>SUMIFS(Quarterly!G:G,Quarterly!$A:$A,Annual!$B16)*10^6</f>
        <v>43986000000</v>
      </c>
      <c r="G16" s="4">
        <f>SUMIFS(Quarterly!H:H,Quarterly!$A:$A,Annual!$B16)*10^6</f>
        <v>8379000000</v>
      </c>
      <c r="H16" s="4">
        <f>SUMIFS(Quarterly!I:I,Quarterly!$A:$A,Annual!$B16)*10^6</f>
        <v>224643000000</v>
      </c>
      <c r="I16" s="4">
        <f>SUMIFS(Quarterly!J:J,Quarterly!$A:$A,Annual!$B16)*10^6</f>
        <v>3843000000</v>
      </c>
      <c r="J16" s="4">
        <f>SUMIFS(Quarterly!K:K,Quarterly!$A:$A,Annual!$B16)*10^6</f>
        <v>663000000</v>
      </c>
      <c r="K16" s="4">
        <f>SUMIFS(Quarterly!L:L,Quarterly!$A:$A,Annual!$B16)*10^6</f>
        <v>23208000000</v>
      </c>
      <c r="L16" s="4">
        <f>SUMIFS(Quarterly!M:M,Quarterly!$A:$A,Annual!$B16)*10^6</f>
        <v>33001300000.000004</v>
      </c>
      <c r="M16" s="4">
        <f>SUMIFS(Quarterly!N:N,Quarterly!$A:$A,Annual!$B16)*10^6</f>
        <v>10027300000</v>
      </c>
      <c r="N16" s="4">
        <f>SUMIFS(Quarterly!O:O,Quarterly!$A:$A,Annual!$B16)*10^6</f>
        <v>175301300000</v>
      </c>
      <c r="O16" s="4">
        <f>SUMIFS(Quarterly!P:P,Quarterly!$A:$A,Annual!$B16)*10^6</f>
        <v>32678899999.999996</v>
      </c>
      <c r="P16" s="4">
        <f>SUMIFS(Quarterly!Q:Q,Quarterly!$A:$A,Annual!$B16)*10^6</f>
        <v>4784500000</v>
      </c>
      <c r="Q16" s="4">
        <f>SUMIFS(Quarterly!R:R,Quarterly!$A:$A,Annual!$B16)*10^6</f>
        <v>188139800000</v>
      </c>
      <c r="R16" s="4">
        <f>SUMIFS(Quarterly!S:S,Quarterly!$A:$A,Annual!$B16)*10^6</f>
        <v>9388000000</v>
      </c>
      <c r="S16" s="4">
        <f>SUMIFS(Quarterly!T:T,Quarterly!$A:$A,Annual!$B16)*10^6</f>
        <v>4681000000</v>
      </c>
      <c r="T16" s="4">
        <f>SUMIFS(Quarterly!U:U,Quarterly!$A:$A,Annual!$B16)*10^6</f>
        <v>52521000000</v>
      </c>
    </row>
    <row r="17" spans="2:20" x14ac:dyDescent="0.3">
      <c r="B17">
        <f t="shared" si="0"/>
        <v>2011</v>
      </c>
      <c r="C17" s="4">
        <f>SUMIFS(Quarterly!D:D,Quarterly!$A:$A,Annual!$B17)*10^6</f>
        <v>5556100000</v>
      </c>
      <c r="D17" s="4">
        <f>SUMIFS(Quarterly!E:E,Quarterly!$A:$A,Annual!$B17)*10^6</f>
        <v>890300000</v>
      </c>
      <c r="E17" s="4">
        <f>SUMIFS(Quarterly!F:F,Quarterly!$A:$A,Annual!$B17)*10^6</f>
        <v>32733900000</v>
      </c>
      <c r="F17" s="4">
        <f>SUMIFS(Quarterly!G:G,Quarterly!$A:$A,Annual!$B17)*10^6</f>
        <v>58084000000</v>
      </c>
      <c r="G17" s="4">
        <f>SUMIFS(Quarterly!H:H,Quarterly!$A:$A,Annual!$B17)*10^6</f>
        <v>6115000000</v>
      </c>
      <c r="H17" s="4">
        <f>SUMIFS(Quarterly!I:I,Quarterly!$A:$A,Annual!$B17)*10^6</f>
        <v>235545000000</v>
      </c>
      <c r="I17" s="4">
        <f>SUMIFS(Quarterly!J:J,Quarterly!$A:$A,Annual!$B17)*10^6</f>
        <v>4456000000</v>
      </c>
      <c r="J17" s="4">
        <f>SUMIFS(Quarterly!K:K,Quarterly!$A:$A,Annual!$B17)*10^6</f>
        <v>624000000</v>
      </c>
      <c r="K17" s="4">
        <f>SUMIFS(Quarterly!L:L,Quarterly!$A:$A,Annual!$B17)*10^6</f>
        <v>24861000000</v>
      </c>
      <c r="L17" s="4">
        <f>SUMIFS(Quarterly!M:M,Quarterly!$A:$A,Annual!$B17)*10^6</f>
        <v>37947300000</v>
      </c>
      <c r="M17" s="4">
        <f>SUMIFS(Quarterly!N:N,Quarterly!$A:$A,Annual!$B17)*10^6</f>
        <v>12652600000</v>
      </c>
      <c r="N17" s="4">
        <f>SUMIFS(Quarterly!O:O,Quarterly!$A:$A,Annual!$B17)*10^6</f>
        <v>184779200000</v>
      </c>
      <c r="O17" s="4">
        <f>SUMIFS(Quarterly!P:P,Quarterly!$A:$A,Annual!$B17)*10^6</f>
        <v>31160699999.999996</v>
      </c>
      <c r="P17" s="4">
        <f>SUMIFS(Quarterly!Q:Q,Quarterly!$A:$A,Annual!$B17)*10^6</f>
        <v>5687700000</v>
      </c>
      <c r="Q17" s="4">
        <f>SUMIFS(Quarterly!R:R,Quarterly!$A:$A,Annual!$B17)*10^6</f>
        <v>189150700000</v>
      </c>
      <c r="R17" s="4">
        <f>SUMIFS(Quarterly!S:S,Quarterly!$A:$A,Annual!$B17)*10^6</f>
        <v>9038000000</v>
      </c>
      <c r="S17" s="4">
        <f>SUMIFS(Quarterly!T:T,Quarterly!$A:$A,Annual!$B17)*10^6</f>
        <v>4620000000</v>
      </c>
      <c r="T17" s="4">
        <f>SUMIFS(Quarterly!U:U,Quarterly!$A:$A,Annual!$B17)*10^6</f>
        <v>55521000000</v>
      </c>
    </row>
    <row r="18" spans="2:20" x14ac:dyDescent="0.3">
      <c r="B18">
        <f t="shared" si="0"/>
        <v>2012</v>
      </c>
      <c r="C18" s="4">
        <f>SUMIFS(Quarterly!D:D,Quarterly!$A:$A,Annual!$B18)*10^6</f>
        <v>5696400000</v>
      </c>
      <c r="D18" s="4">
        <f>SUMIFS(Quarterly!E:E,Quarterly!$A:$A,Annual!$B18)*10^6</f>
        <v>955500000</v>
      </c>
      <c r="E18" s="4">
        <f>SUMIFS(Quarterly!F:F,Quarterly!$A:$A,Annual!$B18)*10^6</f>
        <v>34610100000</v>
      </c>
      <c r="F18" s="4">
        <f>SUMIFS(Quarterly!G:G,Quarterly!$A:$A,Annual!$B18)*10^6</f>
        <v>58911000000</v>
      </c>
      <c r="G18" s="4">
        <f>SUMIFS(Quarterly!H:H,Quarterly!$A:$A,Annual!$B18)*10^6</f>
        <v>9932000000</v>
      </c>
      <c r="H18" s="4">
        <f>SUMIFS(Quarterly!I:I,Quarterly!$A:$A,Annual!$B18)*10^6</f>
        <v>252706000000</v>
      </c>
      <c r="I18" s="4">
        <f>SUMIFS(Quarterly!J:J,Quarterly!$A:$A,Annual!$B18)*10^6</f>
        <v>3683000000</v>
      </c>
      <c r="J18" s="4">
        <f>SUMIFS(Quarterly!K:K,Quarterly!$A:$A,Annual!$B18)*10^6</f>
        <v>475000000</v>
      </c>
      <c r="K18" s="4">
        <f>SUMIFS(Quarterly!L:L,Quarterly!$A:$A,Annual!$B18)*10^6</f>
        <v>25718000000</v>
      </c>
      <c r="L18" s="4">
        <f>SUMIFS(Quarterly!M:M,Quarterly!$A:$A,Annual!$B18)*10^6</f>
        <v>38818700000</v>
      </c>
      <c r="M18" s="4">
        <f>SUMIFS(Quarterly!N:N,Quarterly!$A:$A,Annual!$B18)*10^6</f>
        <v>13458200000</v>
      </c>
      <c r="N18" s="4">
        <f>SUMIFS(Quarterly!O:O,Quarterly!$A:$A,Annual!$B18)*10^6</f>
        <v>201299400000.00003</v>
      </c>
      <c r="O18" s="4">
        <f>SUMIFS(Quarterly!P:P,Quarterly!$A:$A,Annual!$B18)*10^6</f>
        <v>32336000000</v>
      </c>
      <c r="P18" s="4">
        <f>SUMIFS(Quarterly!Q:Q,Quarterly!$A:$A,Annual!$B18)*10^6</f>
        <v>6665600000</v>
      </c>
      <c r="Q18" s="4">
        <f>SUMIFS(Quarterly!R:R,Quarterly!$A:$A,Annual!$B18)*10^6</f>
        <v>199209500000</v>
      </c>
      <c r="R18" s="4">
        <f>SUMIFS(Quarterly!S:S,Quarterly!$A:$A,Annual!$B18)*10^6</f>
        <v>8860000000</v>
      </c>
      <c r="S18" s="4">
        <f>SUMIFS(Quarterly!T:T,Quarterly!$A:$A,Annual!$B18)*10^6</f>
        <v>4785000000</v>
      </c>
      <c r="T18" s="4">
        <f>SUMIFS(Quarterly!U:U,Quarterly!$A:$A,Annual!$B18)*10^6</f>
        <v>56008000000</v>
      </c>
    </row>
    <row r="19" spans="2:20" x14ac:dyDescent="0.3">
      <c r="B19">
        <f t="shared" si="0"/>
        <v>2013</v>
      </c>
      <c r="C19" s="4">
        <f>SUMIFS(Quarterly!D:D,Quarterly!$A:$A,Annual!$B19)*10^6</f>
        <v>6107000000</v>
      </c>
      <c r="D19" s="4">
        <f>SUMIFS(Quarterly!E:E,Quarterly!$A:$A,Annual!$B19)*10^6</f>
        <v>1020000000</v>
      </c>
      <c r="E19" s="4">
        <f>SUMIFS(Quarterly!F:F,Quarterly!$A:$A,Annual!$B19)*10^6</f>
        <v>35891100000.000008</v>
      </c>
      <c r="F19" s="4">
        <f>SUMIFS(Quarterly!G:G,Quarterly!$A:$A,Annual!$B19)*10^6</f>
        <v>57851000000</v>
      </c>
      <c r="G19" s="4">
        <f>SUMIFS(Quarterly!H:H,Quarterly!$A:$A,Annual!$B19)*10^6</f>
        <v>9336000000</v>
      </c>
      <c r="H19" s="4">
        <f>SUMIFS(Quarterly!I:I,Quarterly!$A:$A,Annual!$B19)*10^6</f>
        <v>267357000000</v>
      </c>
      <c r="I19" s="4">
        <f>SUMIFS(Quarterly!J:J,Quarterly!$A:$A,Annual!$B19)*10^6</f>
        <v>3929000000</v>
      </c>
      <c r="J19" s="4">
        <f>SUMIFS(Quarterly!K:K,Quarterly!$A:$A,Annual!$B19)*10^6</f>
        <v>776000000</v>
      </c>
      <c r="K19" s="4">
        <f>SUMIFS(Quarterly!L:L,Quarterly!$A:$A,Annual!$B19)*10^6</f>
        <v>26819000000</v>
      </c>
      <c r="L19" s="4">
        <f>SUMIFS(Quarterly!M:M,Quarterly!$A:$A,Annual!$B19)*10^6</f>
        <v>41386900000</v>
      </c>
      <c r="M19" s="4">
        <f>SUMIFS(Quarterly!N:N,Quarterly!$A:$A,Annual!$B19)*10^6</f>
        <v>13643100000</v>
      </c>
      <c r="N19" s="4">
        <f>SUMIFS(Quarterly!O:O,Quarterly!$A:$A,Annual!$B19)*10^6</f>
        <v>211611099999.99997</v>
      </c>
      <c r="O19" s="4">
        <f>SUMIFS(Quarterly!P:P,Quarterly!$A:$A,Annual!$B19)*10^6</f>
        <v>34537200000</v>
      </c>
      <c r="P19" s="4">
        <f>SUMIFS(Quarterly!Q:Q,Quarterly!$A:$A,Annual!$B19)*10^6</f>
        <v>6629700000.000001</v>
      </c>
      <c r="Q19" s="4">
        <f>SUMIFS(Quarterly!R:R,Quarterly!$A:$A,Annual!$B19)*10^6</f>
        <v>198295200000</v>
      </c>
      <c r="R19" s="4">
        <f>SUMIFS(Quarterly!S:S,Quarterly!$A:$A,Annual!$B19)*10^6</f>
        <v>9426000000</v>
      </c>
      <c r="S19" s="4">
        <f>SUMIFS(Quarterly!T:T,Quarterly!$A:$A,Annual!$B19)*10^6</f>
        <v>4685000000</v>
      </c>
      <c r="T19" s="4">
        <f>SUMIFS(Quarterly!U:U,Quarterly!$A:$A,Annual!$B19)*10^6</f>
        <v>55195000000</v>
      </c>
    </row>
    <row r="20" spans="2:20" x14ac:dyDescent="0.3">
      <c r="B20">
        <f t="shared" si="0"/>
        <v>2014</v>
      </c>
      <c r="C20" s="4">
        <f>SUMIFS(Quarterly!D:D,Quarterly!$A:$A,Annual!$B20)*10^6</f>
        <v>6136100000</v>
      </c>
      <c r="D20" s="4">
        <f>SUMIFS(Quarterly!E:E,Quarterly!$A:$A,Annual!$B20)*10^6</f>
        <v>1026300000</v>
      </c>
      <c r="E20" s="4">
        <f>SUMIFS(Quarterly!F:F,Quarterly!$A:$A,Annual!$B20)*10^6</f>
        <v>38048899999.999992</v>
      </c>
      <c r="F20" s="4">
        <f>SUMIFS(Quarterly!G:G,Quarterly!$A:$A,Annual!$B20)*10^6</f>
        <v>59862000000</v>
      </c>
      <c r="G20" s="4">
        <f>SUMIFS(Quarterly!H:H,Quarterly!$A:$A,Annual!$B20)*10^6</f>
        <v>8123000000</v>
      </c>
      <c r="H20" s="4">
        <f>SUMIFS(Quarterly!I:I,Quarterly!$A:$A,Annual!$B20)*10^6</f>
        <v>277902000000</v>
      </c>
      <c r="I20" s="4">
        <f>SUMIFS(Quarterly!J:J,Quarterly!$A:$A,Annual!$B20)*10^6</f>
        <v>3014000000</v>
      </c>
      <c r="J20" s="4">
        <f>SUMIFS(Quarterly!K:K,Quarterly!$A:$A,Annual!$B20)*10^6</f>
        <v>800000000</v>
      </c>
      <c r="K20" s="4">
        <f>SUMIFS(Quarterly!L:L,Quarterly!$A:$A,Annual!$B20)*10^6</f>
        <v>28357000000</v>
      </c>
      <c r="L20" s="4">
        <f>SUMIFS(Quarterly!M:M,Quarterly!$A:$A,Annual!$B20)*10^6</f>
        <v>40266899999.999992</v>
      </c>
      <c r="M20" s="4">
        <f>SUMIFS(Quarterly!N:N,Quarterly!$A:$A,Annual!$B20)*10^6</f>
        <v>13831400000.000002</v>
      </c>
      <c r="N20" s="4">
        <f>SUMIFS(Quarterly!O:O,Quarterly!$A:$A,Annual!$B20)*10^6</f>
        <v>215331400000.00003</v>
      </c>
      <c r="O20" s="4">
        <f>SUMIFS(Quarterly!P:P,Quarterly!$A:$A,Annual!$B20)*10^6</f>
        <v>29783000000</v>
      </c>
      <c r="P20" s="4">
        <f>SUMIFS(Quarterly!Q:Q,Quarterly!$A:$A,Annual!$B20)*10^6</f>
        <v>5782300000</v>
      </c>
      <c r="Q20" s="4">
        <f>SUMIFS(Quarterly!R:R,Quarterly!$A:$A,Annual!$B20)*10^6</f>
        <v>198924600000</v>
      </c>
      <c r="R20" s="4">
        <f>SUMIFS(Quarterly!S:S,Quarterly!$A:$A,Annual!$B20)*10^6</f>
        <v>11108000000</v>
      </c>
      <c r="S20" s="4">
        <f>SUMIFS(Quarterly!T:T,Quarterly!$A:$A,Annual!$B20)*10^6</f>
        <v>5294000000</v>
      </c>
      <c r="T20" s="4">
        <f>SUMIFS(Quarterly!U:U,Quarterly!$A:$A,Annual!$B20)*10^6</f>
        <v>59264000000</v>
      </c>
    </row>
    <row r="21" spans="2:20" x14ac:dyDescent="0.3">
      <c r="B21">
        <f t="shared" si="0"/>
        <v>2015</v>
      </c>
      <c r="C21" s="4">
        <f>SUMIFS(Quarterly!D:D,Quarterly!$A:$A,Annual!$B21)*10^6</f>
        <v>6610900000</v>
      </c>
      <c r="D21" s="4">
        <f>SUMIFS(Quarterly!E:E,Quarterly!$A:$A,Annual!$B21)*10^6</f>
        <v>1172699999.9999998</v>
      </c>
      <c r="E21" s="4">
        <f>SUMIFS(Quarterly!F:F,Quarterly!$A:$A,Annual!$B21)*10^6</f>
        <v>40481700000</v>
      </c>
      <c r="F21" s="4">
        <f>SUMIFS(Quarterly!G:G,Quarterly!$A:$A,Annual!$B21)*10^6</f>
        <v>60978000000</v>
      </c>
      <c r="G21" s="4">
        <f>SUMIFS(Quarterly!H:H,Quarterly!$A:$A,Annual!$B21)*10^6</f>
        <v>8963000000</v>
      </c>
      <c r="H21" s="4">
        <f>SUMIFS(Quarterly!I:I,Quarterly!$A:$A,Annual!$B21)*10^6</f>
        <v>291681000000</v>
      </c>
      <c r="I21" s="4">
        <f>SUMIFS(Quarterly!J:J,Quarterly!$A:$A,Annual!$B21)*10^6</f>
        <v>3549000000</v>
      </c>
      <c r="J21" s="4">
        <f>SUMIFS(Quarterly!K:K,Quarterly!$A:$A,Annual!$B21)*10^6</f>
        <v>919000000</v>
      </c>
      <c r="K21" s="4">
        <f>SUMIFS(Quarterly!L:L,Quarterly!$A:$A,Annual!$B21)*10^6</f>
        <v>28702000000</v>
      </c>
      <c r="L21" s="4">
        <f>SUMIFS(Quarterly!M:M,Quarterly!$A:$A,Annual!$B21)*10^6</f>
        <v>39871200000</v>
      </c>
      <c r="M21" s="4">
        <f>SUMIFS(Quarterly!N:N,Quarterly!$A:$A,Annual!$B21)*10^6</f>
        <v>15621200000</v>
      </c>
      <c r="N21" s="4">
        <f>SUMIFS(Quarterly!O:O,Quarterly!$A:$A,Annual!$B21)*10^6</f>
        <v>219243800000</v>
      </c>
      <c r="O21" s="4">
        <f>SUMIFS(Quarterly!P:P,Quarterly!$A:$A,Annual!$B21)*10^6</f>
        <v>28142100000</v>
      </c>
      <c r="P21" s="4">
        <f>SUMIFS(Quarterly!Q:Q,Quarterly!$A:$A,Annual!$B21)*10^6</f>
        <v>6021800000</v>
      </c>
      <c r="Q21" s="4">
        <f>SUMIFS(Quarterly!R:R,Quarterly!$A:$A,Annual!$B21)*10^6</f>
        <v>206006100000</v>
      </c>
      <c r="R21" s="4">
        <f>SUMIFS(Quarterly!S:S,Quarterly!$A:$A,Annual!$B21)*10^6</f>
        <v>13351000000</v>
      </c>
      <c r="S21" s="4">
        <f>SUMIFS(Quarterly!T:T,Quarterly!$A:$A,Annual!$B21)*10^6</f>
        <v>5465000000</v>
      </c>
      <c r="T21" s="4">
        <f>SUMIFS(Quarterly!U:U,Quarterly!$A:$A,Annual!$B21)*10^6</f>
        <v>61930000000</v>
      </c>
    </row>
    <row r="22" spans="2:20" x14ac:dyDescent="0.3">
      <c r="B22">
        <f t="shared" si="0"/>
        <v>2016</v>
      </c>
      <c r="C22" s="4">
        <f>SUMIFS(Quarterly!D:D,Quarterly!$A:$A,Annual!$B22)*10^6</f>
        <v>7386500000</v>
      </c>
      <c r="D22" s="4">
        <f>SUMIFS(Quarterly!E:E,Quarterly!$A:$A,Annual!$B22)*10^6</f>
        <v>1228700000</v>
      </c>
      <c r="E22" s="4">
        <f>SUMIFS(Quarterly!F:F,Quarterly!$A:$A,Annual!$B22)*10^6</f>
        <v>36772000000</v>
      </c>
      <c r="F22" s="4">
        <f>SUMIFS(Quarterly!G:G,Quarterly!$A:$A,Annual!$B22)*10^6</f>
        <v>71299000000</v>
      </c>
      <c r="G22" s="4">
        <f>SUMIFS(Quarterly!H:H,Quarterly!$A:$A,Annual!$B22)*10^6</f>
        <v>10155000000</v>
      </c>
      <c r="H22" s="4">
        <f>SUMIFS(Quarterly!I:I,Quarterly!$A:$A,Annual!$B22)*10^6</f>
        <v>305295000000</v>
      </c>
      <c r="I22" s="4">
        <f>SUMIFS(Quarterly!J:J,Quarterly!$A:$A,Annual!$B22)*10^6</f>
        <v>3960000000</v>
      </c>
      <c r="J22" s="4">
        <f>SUMIFS(Quarterly!K:K,Quarterly!$A:$A,Annual!$B22)*10^6</f>
        <v>758000000</v>
      </c>
      <c r="K22" s="4">
        <f>SUMIFS(Quarterly!L:L,Quarterly!$A:$A,Annual!$B22)*10^6</f>
        <v>29166000000</v>
      </c>
      <c r="L22" s="4">
        <f>SUMIFS(Quarterly!M:M,Quarterly!$A:$A,Annual!$B22)*10^6</f>
        <v>40495300000</v>
      </c>
      <c r="M22" s="4">
        <f>SUMIFS(Quarterly!N:N,Quarterly!$A:$A,Annual!$B22)*10^6</f>
        <v>13230500000</v>
      </c>
      <c r="N22" s="4">
        <f>SUMIFS(Quarterly!O:O,Quarterly!$A:$A,Annual!$B22)*10^6</f>
        <v>221415300000</v>
      </c>
      <c r="O22" s="4">
        <f>SUMIFS(Quarterly!P:P,Quarterly!$A:$A,Annual!$B22)*10^6</f>
        <v>30377600000.000004</v>
      </c>
      <c r="P22" s="4">
        <f>SUMIFS(Quarterly!Q:Q,Quarterly!$A:$A,Annual!$B22)*10^6</f>
        <v>6368799999.999999</v>
      </c>
      <c r="Q22" s="4">
        <f>SUMIFS(Quarterly!R:R,Quarterly!$A:$A,Annual!$B22)*10^6</f>
        <v>208624599999.99997</v>
      </c>
      <c r="R22" s="4">
        <f>SUMIFS(Quarterly!S:S,Quarterly!$A:$A,Annual!$B22)*10^6</f>
        <v>18177000000</v>
      </c>
      <c r="S22" s="4">
        <f>SUMIFS(Quarterly!T:T,Quarterly!$A:$A,Annual!$B22)*10^6</f>
        <v>5689000000</v>
      </c>
      <c r="T22" s="4">
        <f>SUMIFS(Quarterly!U:U,Quarterly!$A:$A,Annual!$B22)*10^6</f>
        <v>60190000000</v>
      </c>
    </row>
    <row r="23" spans="2:20" x14ac:dyDescent="0.3">
      <c r="B23">
        <f t="shared" si="0"/>
        <v>2017</v>
      </c>
      <c r="C23" s="4">
        <f>SUMIFS(Quarterly!D:D,Quarterly!$A:$A,Annual!$B23)*10^6</f>
        <v>7972400000.000001</v>
      </c>
      <c r="D23" s="4">
        <f>SUMIFS(Quarterly!E:E,Quarterly!$A:$A,Annual!$B23)*10^6</f>
        <v>1326500000</v>
      </c>
      <c r="E23" s="4">
        <f>SUMIFS(Quarterly!F:F,Quarterly!$A:$A,Annual!$B23)*10^6</f>
        <v>38210800000</v>
      </c>
      <c r="F23" s="4">
        <f>SUMIFS(Quarterly!G:G,Quarterly!$A:$A,Annual!$B23)*10^6</f>
        <v>77915000000</v>
      </c>
      <c r="G23" s="4">
        <f>SUMIFS(Quarterly!H:H,Quarterly!$A:$A,Annual!$B23)*10^6</f>
        <v>9042000000</v>
      </c>
      <c r="H23" s="4">
        <f>SUMIFS(Quarterly!I:I,Quarterly!$A:$A,Annual!$B23)*10^6</f>
        <v>325236000000</v>
      </c>
      <c r="I23" s="4">
        <f>SUMIFS(Quarterly!J:J,Quarterly!$A:$A,Annual!$B23)*10^6</f>
        <v>4355000000</v>
      </c>
      <c r="J23" s="4">
        <f>SUMIFS(Quarterly!K:K,Quarterly!$A:$A,Annual!$B23)*10^6</f>
        <v>1546000000</v>
      </c>
      <c r="K23" s="4">
        <f>SUMIFS(Quarterly!L:L,Quarterly!$A:$A,Annual!$B23)*10^6</f>
        <v>29387000000</v>
      </c>
      <c r="L23" s="4">
        <f>SUMIFS(Quarterly!M:M,Quarterly!$A:$A,Annual!$B23)*10^6</f>
        <v>48271099999.999992</v>
      </c>
      <c r="M23" s="4">
        <f>SUMIFS(Quarterly!N:N,Quarterly!$A:$A,Annual!$B23)*10^6</f>
        <v>14699499999.999998</v>
      </c>
      <c r="N23" s="4">
        <f>SUMIFS(Quarterly!O:O,Quarterly!$A:$A,Annual!$B23)*10^6</f>
        <v>226922900000</v>
      </c>
      <c r="O23" s="4">
        <f>SUMIFS(Quarterly!P:P,Quarterly!$A:$A,Annual!$B23)*10^6</f>
        <v>29995200000</v>
      </c>
      <c r="P23" s="4">
        <f>SUMIFS(Quarterly!Q:Q,Quarterly!$A:$A,Annual!$B23)*10^6</f>
        <v>6378000000</v>
      </c>
      <c r="Q23" s="4">
        <f>SUMIFS(Quarterly!R:R,Quarterly!$A:$A,Annual!$B23)*10^6</f>
        <v>211694800000.00003</v>
      </c>
      <c r="R23" s="4">
        <f>SUMIFS(Quarterly!S:S,Quarterly!$A:$A,Annual!$B23)*10^6</f>
        <v>18091000000</v>
      </c>
      <c r="S23" s="4">
        <f>SUMIFS(Quarterly!T:T,Quarterly!$A:$A,Annual!$B23)*10^6</f>
        <v>6306000000</v>
      </c>
      <c r="T23" s="4">
        <f>SUMIFS(Quarterly!U:U,Quarterly!$A:$A,Annual!$B23)*10^6</f>
        <v>68881000000</v>
      </c>
    </row>
    <row r="24" spans="2:20" x14ac:dyDescent="0.3">
      <c r="B24">
        <f t="shared" si="0"/>
        <v>2018</v>
      </c>
      <c r="C24" s="4">
        <f>SUMIFS(Quarterly!D:D,Quarterly!$A:$A,Annual!$B24)*10^6</f>
        <v>9119199999.9999981</v>
      </c>
      <c r="D24" s="4">
        <f>SUMIFS(Quarterly!E:E,Quarterly!$A:$A,Annual!$B24)*10^6</f>
        <v>1499100000</v>
      </c>
      <c r="E24" s="4">
        <f>SUMIFS(Quarterly!F:F,Quarterly!$A:$A,Annual!$B24)*10^6</f>
        <v>40939600000</v>
      </c>
      <c r="F24" s="4">
        <f>SUMIFS(Quarterly!G:G,Quarterly!$A:$A,Annual!$B24)*10^6</f>
        <v>85278000000</v>
      </c>
      <c r="G24" s="4">
        <f>SUMIFS(Quarterly!H:H,Quarterly!$A:$A,Annual!$B24)*10^6</f>
        <v>9364000000</v>
      </c>
      <c r="H24" s="4">
        <f>SUMIFS(Quarterly!I:I,Quarterly!$A:$A,Annual!$B24)*10^6</f>
        <v>340395000000</v>
      </c>
      <c r="I24" s="4">
        <f>SUMIFS(Quarterly!J:J,Quarterly!$A:$A,Annual!$B24)*10^6</f>
        <v>4827000000</v>
      </c>
      <c r="J24" s="4">
        <f>SUMIFS(Quarterly!K:K,Quarterly!$A:$A,Annual!$B24)*10^6</f>
        <v>855000000</v>
      </c>
      <c r="K24" s="4">
        <f>SUMIFS(Quarterly!L:L,Quarterly!$A:$A,Annual!$B24)*10^6</f>
        <v>29691000000</v>
      </c>
      <c r="L24" s="4">
        <f>SUMIFS(Quarterly!M:M,Quarterly!$A:$A,Annual!$B24)*10^6</f>
        <v>44960600000</v>
      </c>
      <c r="M24" s="4">
        <f>SUMIFS(Quarterly!N:N,Quarterly!$A:$A,Annual!$B24)*10^6</f>
        <v>12844000000</v>
      </c>
      <c r="N24" s="4">
        <f>SUMIFS(Quarterly!O:O,Quarterly!$A:$A,Annual!$B24)*10^6</f>
        <v>249000400000</v>
      </c>
      <c r="O24" s="4">
        <f>SUMIFS(Quarterly!P:P,Quarterly!$A:$A,Annual!$B24)*10^6</f>
        <v>27567300000.000004</v>
      </c>
      <c r="P24" s="4">
        <f>SUMIFS(Quarterly!Q:Q,Quarterly!$A:$A,Annual!$B24)*10^6</f>
        <v>5740000000</v>
      </c>
      <c r="Q24" s="4">
        <f>SUMIFS(Quarterly!R:R,Quarterly!$A:$A,Annual!$B24)*10^6</f>
        <v>212947900000</v>
      </c>
      <c r="R24" s="4">
        <f>SUMIFS(Quarterly!S:S,Quarterly!$A:$A,Annual!$B24)*10^6</f>
        <v>20260000000</v>
      </c>
      <c r="S24" s="4">
        <f>SUMIFS(Quarterly!T:T,Quarterly!$A:$A,Annual!$B24)*10^6</f>
        <v>7196000000</v>
      </c>
      <c r="T24" s="4">
        <f>SUMIFS(Quarterly!U:U,Quarterly!$A:$A,Annual!$B24)*10^6</f>
        <v>68991000000</v>
      </c>
    </row>
    <row r="25" spans="2:20" x14ac:dyDescent="0.3">
      <c r="B25">
        <f t="shared" si="0"/>
        <v>2019</v>
      </c>
      <c r="C25" s="4">
        <f>SUMIFS(Quarterly!D:D,Quarterly!$A:$A,Annual!$B25)*10^6</f>
        <v>9302600000</v>
      </c>
      <c r="D25" s="4">
        <f>SUMIFS(Quarterly!E:E,Quarterly!$A:$A,Annual!$B25)*10^6</f>
        <v>1554600000</v>
      </c>
      <c r="E25" s="4">
        <f>SUMIFS(Quarterly!F:F,Quarterly!$A:$A,Annual!$B25)*10^6</f>
        <v>42879700000.000008</v>
      </c>
      <c r="F25" s="4">
        <f>SUMIFS(Quarterly!G:G,Quarterly!$A:$A,Annual!$B25)*10^6</f>
        <v>82191000000</v>
      </c>
      <c r="G25" s="4">
        <f>SUMIFS(Quarterly!H:H,Quarterly!$A:$A,Annual!$B25)*10^6</f>
        <v>9722000000</v>
      </c>
      <c r="H25" s="4">
        <f>SUMIFS(Quarterly!I:I,Quarterly!$A:$A,Annual!$B25)*10^6</f>
        <v>354852000000</v>
      </c>
      <c r="I25" s="4">
        <f>SUMIFS(Quarterly!J:J,Quarterly!$A:$A,Annual!$B25)*10^6</f>
        <v>5187000000</v>
      </c>
      <c r="J25" s="4">
        <f>SUMIFS(Quarterly!K:K,Quarterly!$A:$A,Annual!$B25)*10^6</f>
        <v>703000000</v>
      </c>
      <c r="K25" s="4">
        <f>SUMIFS(Quarterly!L:L,Quarterly!$A:$A,Annual!$B25)*10^6</f>
        <v>30481000000</v>
      </c>
      <c r="L25" s="4">
        <f>SUMIFS(Quarterly!M:M,Quarterly!$A:$A,Annual!$B25)*10^6</f>
        <v>48042399999.999992</v>
      </c>
      <c r="M25" s="4">
        <f>SUMIFS(Quarterly!N:N,Quarterly!$A:$A,Annual!$B25)*10^6</f>
        <v>15048199999.999998</v>
      </c>
      <c r="N25" s="4">
        <f>SUMIFS(Quarterly!O:O,Quarterly!$A:$A,Annual!$B25)*10^6</f>
        <v>249638499999.99997</v>
      </c>
      <c r="O25" s="4">
        <f>SUMIFS(Quarterly!P:P,Quarterly!$A:$A,Annual!$B25)*10^6</f>
        <v>29104200000</v>
      </c>
      <c r="P25" s="4">
        <f>SUMIFS(Quarterly!Q:Q,Quarterly!$A:$A,Annual!$B25)*10^6</f>
        <v>6051700000.000001</v>
      </c>
      <c r="Q25" s="4">
        <f>SUMIFS(Quarterly!R:R,Quarterly!$A:$A,Annual!$B25)*10^6</f>
        <v>220489200000</v>
      </c>
      <c r="R25" s="4">
        <f>SUMIFS(Quarterly!S:S,Quarterly!$A:$A,Annual!$B25)*10^6</f>
        <v>22585000000</v>
      </c>
      <c r="S25" s="4">
        <f>SUMIFS(Quarterly!T:T,Quarterly!$A:$A,Annual!$B25)*10^6</f>
        <v>6507000000</v>
      </c>
      <c r="T25" s="4">
        <f>SUMIFS(Quarterly!U:U,Quarterly!$A:$A,Annual!$B25)*10^6</f>
        <v>75512000000</v>
      </c>
    </row>
    <row r="26" spans="2:20" x14ac:dyDescent="0.3">
      <c r="B26">
        <f t="shared" si="0"/>
        <v>2020</v>
      </c>
      <c r="C26" s="4">
        <f>SUMIFS(Quarterly!D:D,Quarterly!$A:$A,Annual!$B26)*10^6</f>
        <v>7076700000</v>
      </c>
      <c r="D26" s="4">
        <f>SUMIFS(Quarterly!E:E,Quarterly!$A:$A,Annual!$B26)*10^6</f>
        <v>1131800000</v>
      </c>
      <c r="E26" s="4">
        <f>SUMIFS(Quarterly!F:F,Quarterly!$A:$A,Annual!$B26)*10^6</f>
        <v>40182900000</v>
      </c>
      <c r="F26" s="4">
        <f>SUMIFS(Quarterly!G:G,Quarterly!$A:$A,Annual!$B26)*10^6</f>
        <v>64524000000</v>
      </c>
      <c r="G26" s="4">
        <f>SUMIFS(Quarterly!H:H,Quarterly!$A:$A,Annual!$B26)*10^6</f>
        <v>10425000000</v>
      </c>
      <c r="H26" s="4">
        <f>SUMIFS(Quarterly!I:I,Quarterly!$A:$A,Annual!$B26)*10^6</f>
        <v>343701000000</v>
      </c>
      <c r="I26" s="4">
        <f>SUMIFS(Quarterly!J:J,Quarterly!$A:$A,Annual!$B26)*10^6</f>
        <v>4325000000</v>
      </c>
      <c r="J26" s="4">
        <f>SUMIFS(Quarterly!K:K,Quarterly!$A:$A,Annual!$B26)*10^6</f>
        <v>565000000</v>
      </c>
      <c r="K26" s="4">
        <f>SUMIFS(Quarterly!L:L,Quarterly!$A:$A,Annual!$B26)*10^6</f>
        <v>30961000000</v>
      </c>
      <c r="L26" s="4">
        <f>SUMIFS(Quarterly!M:M,Quarterly!$A:$A,Annual!$B26)*10^6</f>
        <v>46163100000.000008</v>
      </c>
      <c r="M26" s="4">
        <f>SUMIFS(Quarterly!N:N,Quarterly!$A:$A,Annual!$B26)*10^6</f>
        <v>15399900000</v>
      </c>
      <c r="N26" s="4">
        <f>SUMIFS(Quarterly!O:O,Quarterly!$A:$A,Annual!$B26)*10^6</f>
        <v>240531900000.00003</v>
      </c>
      <c r="O26" s="4">
        <f>SUMIFS(Quarterly!P:P,Quarterly!$A:$A,Annual!$B26)*10^6</f>
        <v>28194000000</v>
      </c>
      <c r="P26" s="4">
        <f>SUMIFS(Quarterly!Q:Q,Quarterly!$A:$A,Annual!$B26)*10^6</f>
        <v>5944400000</v>
      </c>
      <c r="Q26" s="4">
        <f>SUMIFS(Quarterly!R:R,Quarterly!$A:$A,Annual!$B26)*10^6</f>
        <v>214605500000</v>
      </c>
      <c r="R26" s="4">
        <f>SUMIFS(Quarterly!S:S,Quarterly!$A:$A,Annual!$B26)*10^6</f>
        <v>19517000000</v>
      </c>
      <c r="S26" s="4">
        <f>SUMIFS(Quarterly!T:T,Quarterly!$A:$A,Annual!$B26)*10^6</f>
        <v>5079000000</v>
      </c>
      <c r="T26" s="4">
        <f>SUMIFS(Quarterly!U:U,Quarterly!$A:$A,Annual!$B26)*10^6</f>
        <v>76807000000</v>
      </c>
    </row>
    <row r="27" spans="2:20" x14ac:dyDescent="0.3">
      <c r="B27">
        <f t="shared" si="0"/>
        <v>2021</v>
      </c>
      <c r="C27" s="4">
        <f>SUMIFS(Quarterly!D:D,Quarterly!$A:$A,Annual!$B27)*10^6</f>
        <v>9801000000</v>
      </c>
      <c r="D27" s="4">
        <f>SUMIFS(Quarterly!E:E,Quarterly!$A:$A,Annual!$B27)*10^6</f>
        <v>1547000000</v>
      </c>
      <c r="E27" s="4">
        <f>SUMIFS(Quarterly!F:F,Quarterly!$A:$A,Annual!$B27)*10^6</f>
        <v>44516300000</v>
      </c>
      <c r="F27" s="4">
        <f>SUMIFS(Quarterly!G:G,Quarterly!$A:$A,Annual!$B27)*10^6</f>
        <v>97678000000</v>
      </c>
      <c r="G27" s="4">
        <f>SUMIFS(Quarterly!H:H,Quarterly!$A:$A,Annual!$B27)*10^6</f>
        <v>13074000000</v>
      </c>
      <c r="H27" s="4">
        <f>SUMIFS(Quarterly!I:I,Quarterly!$A:$A,Annual!$B27)*10^6</f>
        <v>364402000000</v>
      </c>
      <c r="I27" s="4">
        <f>SUMIFS(Quarterly!J:J,Quarterly!$A:$A,Annual!$B27)*10^6</f>
        <v>5639000000</v>
      </c>
      <c r="J27" s="4">
        <f>SUMIFS(Quarterly!K:K,Quarterly!$A:$A,Annual!$B27)*10^6</f>
        <v>982000000</v>
      </c>
      <c r="K27" s="4">
        <f>SUMIFS(Quarterly!L:L,Quarterly!$A:$A,Annual!$B27)*10^6</f>
        <v>33394000000</v>
      </c>
      <c r="L27" s="4">
        <f>SUMIFS(Quarterly!M:M,Quarterly!$A:$A,Annual!$B27)*10^6</f>
        <v>53316899999.999992</v>
      </c>
      <c r="M27" s="4">
        <f>SUMIFS(Quarterly!N:N,Quarterly!$A:$A,Annual!$B27)*10^6</f>
        <v>16118200000</v>
      </c>
      <c r="N27" s="4">
        <f>SUMIFS(Quarterly!O:O,Quarterly!$A:$A,Annual!$B27)*10^6</f>
        <v>249036099999.99997</v>
      </c>
      <c r="O27" s="4">
        <f>SUMIFS(Quarterly!P:P,Quarterly!$A:$A,Annual!$B27)*10^6</f>
        <v>28342800000.000004</v>
      </c>
      <c r="P27" s="4">
        <f>SUMIFS(Quarterly!Q:Q,Quarterly!$A:$A,Annual!$B27)*10^6</f>
        <v>6142299999.999999</v>
      </c>
      <c r="Q27" s="4">
        <f>SUMIFS(Quarterly!R:R,Quarterly!$A:$A,Annual!$B27)*10^6</f>
        <v>231036800000</v>
      </c>
      <c r="R27" s="4">
        <f>SUMIFS(Quarterly!S:S,Quarterly!$A:$A,Annual!$B27)*10^6</f>
        <v>26262000000</v>
      </c>
      <c r="S27" s="4">
        <f>SUMIFS(Quarterly!T:T,Quarterly!$A:$A,Annual!$B27)*10^6</f>
        <v>7526000000</v>
      </c>
      <c r="T27" s="4">
        <f>SUMIFS(Quarterly!U:U,Quarterly!$A:$A,Annual!$B27)*10^6</f>
        <v>80572000000</v>
      </c>
    </row>
    <row r="28" spans="2:20" x14ac:dyDescent="0.3">
      <c r="B28">
        <f>B27+1</f>
        <v>2022</v>
      </c>
      <c r="C28" s="4">
        <f>SUMIFS(Quarterly!D:D,Quarterly!$A:$A,Annual!$B28)*10^6</f>
        <v>13382600000</v>
      </c>
      <c r="D28" s="4">
        <f>SUMIFS(Quarterly!E:E,Quarterly!$A:$A,Annual!$B28)*10^6</f>
        <v>2132399999.9999995</v>
      </c>
      <c r="E28" s="4">
        <f>SUMIFS(Quarterly!F:F,Quarterly!$A:$A,Annual!$B28)*10^6</f>
        <v>48283400000</v>
      </c>
      <c r="F28" s="4">
        <f>SUMIFS(Quarterly!G:G,Quarterly!$A:$A,Annual!$B28)*10^6</f>
        <v>114926000000</v>
      </c>
      <c r="G28" s="4">
        <f>SUMIFS(Quarterly!H:H,Quarterly!$A:$A,Annual!$B28)*10^6</f>
        <v>7533000000</v>
      </c>
      <c r="H28" s="4">
        <f>SUMIFS(Quarterly!I:I,Quarterly!$A:$A,Annual!$B28)*10^6</f>
        <v>393030000000</v>
      </c>
      <c r="I28" s="4">
        <f>SUMIFS(Quarterly!J:J,Quarterly!$A:$A,Annual!$B28)*10^6</f>
        <v>6679000000</v>
      </c>
      <c r="J28" s="4">
        <f>SUMIFS(Quarterly!K:K,Quarterly!$A:$A,Annual!$B28)*10^6</f>
        <v>1170000000</v>
      </c>
      <c r="K28" s="4">
        <f>SUMIFS(Quarterly!L:L,Quarterly!$A:$A,Annual!$B28)*10^6</f>
        <v>35652000000</v>
      </c>
      <c r="L28" s="4">
        <f>SUMIFS(Quarterly!M:M,Quarterly!$A:$A,Annual!$B28)*10^6</f>
        <v>68644399999.999992</v>
      </c>
      <c r="M28" s="4">
        <f>SUMIFS(Quarterly!N:N,Quarterly!$A:$A,Annual!$B28)*10^6</f>
        <v>18000000000</v>
      </c>
      <c r="N28" s="4">
        <f>SUMIFS(Quarterly!O:O,Quarterly!$A:$A,Annual!$B28)*10^6</f>
        <v>267494700000</v>
      </c>
      <c r="O28" s="4">
        <f>SUMIFS(Quarterly!P:P,Quarterly!$A:$A,Annual!$B28)*10^6</f>
        <v>42605300000</v>
      </c>
      <c r="P28" s="4">
        <f>SUMIFS(Quarterly!Q:Q,Quarterly!$A:$A,Annual!$B28)*10^6</f>
        <v>11133600000</v>
      </c>
      <c r="Q28" s="4">
        <f>SUMIFS(Quarterly!R:R,Quarterly!$A:$A,Annual!$B28)*10^6</f>
        <v>233647200000</v>
      </c>
      <c r="R28" s="4">
        <f>SUMIFS(Quarterly!S:S,Quarterly!$A:$A,Annual!$B28)*10^6</f>
        <v>36508000000</v>
      </c>
      <c r="S28" s="4">
        <f>SUMIFS(Quarterly!T:T,Quarterly!$A:$A,Annual!$B28)*10^6</f>
        <v>6178000000</v>
      </c>
      <c r="T28" s="4">
        <f>SUMIFS(Quarterly!U:U,Quarterly!$A:$A,Annual!$B28)*10^6</f>
        <v>85033000000</v>
      </c>
    </row>
    <row r="29" spans="2:20" x14ac:dyDescent="0.3">
      <c r="B29">
        <f t="shared" si="0"/>
        <v>2023</v>
      </c>
      <c r="C29" s="4">
        <f>SUMIFS(Quarterly!D:D,Quarterly!$A:$A,Annual!$B29)*10^6</f>
        <v>13636800000</v>
      </c>
      <c r="D29" s="4">
        <f>SUMIFS(Quarterly!E:E,Quarterly!$A:$A,Annual!$B29)*10^6</f>
        <v>2156400000</v>
      </c>
      <c r="E29" s="4">
        <f>SUMIFS(Quarterly!F:F,Quarterly!$A:$A,Annual!$B29)*10^6</f>
        <v>49917200000.000008</v>
      </c>
      <c r="F29" s="4">
        <f>SUMIFS(Quarterly!G:G,Quarterly!$A:$A,Annual!$B29)*10^6</f>
        <v>120370000000</v>
      </c>
      <c r="G29" s="4">
        <f>SUMIFS(Quarterly!H:H,Quarterly!$A:$A,Annual!$B29)*10^6</f>
        <v>8044000000</v>
      </c>
      <c r="H29" s="4">
        <f>SUMIFS(Quarterly!I:I,Quarterly!$A:$A,Annual!$B29)*10^6</f>
        <v>391133000000</v>
      </c>
      <c r="I29" s="4">
        <f>SUMIFS(Quarterly!J:J,Quarterly!$A:$A,Annual!$B29)*10^6</f>
        <v>6063000000</v>
      </c>
      <c r="J29" s="4">
        <f>SUMIFS(Quarterly!K:K,Quarterly!$A:$A,Annual!$B29)*10^6</f>
        <v>1312000000</v>
      </c>
      <c r="K29" s="4">
        <f>SUMIFS(Quarterly!L:L,Quarterly!$A:$A,Annual!$B29)*10^6</f>
        <v>35853000000</v>
      </c>
      <c r="L29" s="4">
        <f>SUMIFS(Quarterly!M:M,Quarterly!$A:$A,Annual!$B29)*10^6</f>
        <v>63256600000.000008</v>
      </c>
      <c r="M29" s="4">
        <f>SUMIFS(Quarterly!N:N,Quarterly!$A:$A,Annual!$B29)*10^6</f>
        <v>14786000000</v>
      </c>
      <c r="N29" s="4">
        <f>SUMIFS(Quarterly!O:O,Quarterly!$A:$A,Annual!$B29)*10^6</f>
        <v>273270400000.00003</v>
      </c>
      <c r="O29" s="4">
        <f>SUMIFS(Quarterly!P:P,Quarterly!$A:$A,Annual!$B29)*10^6</f>
        <v>46938500000</v>
      </c>
      <c r="P29" s="4">
        <f>SUMIFS(Quarterly!Q:Q,Quarterly!$A:$A,Annual!$B29)*10^6</f>
        <v>12201400000.000002</v>
      </c>
      <c r="Q29" s="4">
        <f>SUMIFS(Quarterly!R:R,Quarterly!$A:$A,Annual!$B29)*10^6</f>
        <v>259437000000</v>
      </c>
      <c r="R29" s="4">
        <f>SUMIFS(Quarterly!S:S,Quarterly!$A:$A,Annual!$B29)*10^6</f>
        <v>41798000000</v>
      </c>
      <c r="S29" s="4">
        <f>SUMIFS(Quarterly!T:T,Quarterly!$A:$A,Annual!$B29)*10^6</f>
        <v>6747000000</v>
      </c>
      <c r="T29" s="4">
        <f>SUMIFS(Quarterly!U:U,Quarterly!$A:$A,Annual!$B29)*10^6</f>
        <v>103323000000</v>
      </c>
    </row>
    <row r="30" spans="2:20" x14ac:dyDescent="0.3">
      <c r="B30">
        <f t="shared" si="0"/>
        <v>2024</v>
      </c>
      <c r="C30" s="4">
        <f>SUMIFS(Quarterly!D:D,Quarterly!$A:$A,Annual!$B30)*10^6</f>
        <v>13258900000</v>
      </c>
      <c r="D30" s="4">
        <f>SUMIFS(Quarterly!E:E,Quarterly!$A:$A,Annual!$B30)*10^6</f>
        <v>2053699999.9999998</v>
      </c>
      <c r="E30" s="4">
        <f>SUMIFS(Quarterly!F:F,Quarterly!$A:$A,Annual!$B30)*10^6</f>
        <v>53633700000</v>
      </c>
      <c r="F30" s="4">
        <f>SUMIFS(Quarterly!G:G,Quarterly!$A:$A,Annual!$B30)*10^6</f>
        <v>119612000000</v>
      </c>
      <c r="G30" s="4">
        <f>SUMIFS(Quarterly!H:H,Quarterly!$A:$A,Annual!$B30)*10^6</f>
        <v>8553000000</v>
      </c>
      <c r="H30" s="4">
        <f>SUMIFS(Quarterly!I:I,Quarterly!$A:$A,Annual!$B30)*10^6</f>
        <v>410825000000</v>
      </c>
      <c r="I30" s="4">
        <f>SUMIFS(Quarterly!J:J,Quarterly!$A:$A,Annual!$B30)*10^6</f>
        <v>5432000000</v>
      </c>
      <c r="J30" s="4">
        <f>SUMIFS(Quarterly!K:K,Quarterly!$A:$A,Annual!$B30)*10^6</f>
        <v>1551000000</v>
      </c>
      <c r="K30" s="4">
        <f>SUMIFS(Quarterly!L:L,Quarterly!$A:$A,Annual!$B30)*10^6</f>
        <v>37086000000</v>
      </c>
      <c r="L30" s="4">
        <f>SUMIFS(Quarterly!M:M,Quarterly!$A:$A,Annual!$B30)*10^6</f>
        <v>65227600000.000008</v>
      </c>
      <c r="M30" s="4">
        <f>SUMIFS(Quarterly!N:N,Quarterly!$A:$A,Annual!$B30)*10^6</f>
        <v>14911099999.999998</v>
      </c>
      <c r="N30" s="4">
        <f>SUMIFS(Quarterly!O:O,Quarterly!$A:$A,Annual!$B30)*10^6</f>
        <v>280733400000</v>
      </c>
      <c r="O30" s="4">
        <f>SUMIFS(Quarterly!P:P,Quarterly!$A:$A,Annual!$B30)*10^6</f>
        <v>45455899999.999992</v>
      </c>
      <c r="P30" s="4">
        <f>SUMIFS(Quarterly!Q:Q,Quarterly!$A:$A,Annual!$B30)*10^6</f>
        <v>13109800000</v>
      </c>
      <c r="Q30" s="4">
        <f>SUMIFS(Quarterly!R:R,Quarterly!$A:$A,Annual!$B30)*10^6</f>
        <v>280578300000.00006</v>
      </c>
      <c r="R30" s="4">
        <f>SUMIFS(Quarterly!S:S,Quarterly!$A:$A,Annual!$B30)*10^6</f>
        <v>41044000000</v>
      </c>
      <c r="S30" s="4">
        <f>SUMIFS(Quarterly!T:T,Quarterly!$A:$A,Annual!$B30)*10^6</f>
        <v>7869000000</v>
      </c>
      <c r="T30" s="4">
        <f>SUMIFS(Quarterly!U:U,Quarterly!$A:$A,Annual!$B30)*10^6</f>
        <v>118025000000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05E6B0D7-EEF8-4FE3-939E-181B7CE5DC7F}"/>
</file>

<file path=customXml/itemProps2.xml><?xml version="1.0" encoding="utf-8"?>
<ds:datastoreItem xmlns:ds="http://schemas.openxmlformats.org/officeDocument/2006/customXml" ds:itemID="{6BEC4E33-DEFC-44CE-A87D-DE817C2E62D0}"/>
</file>

<file path=customXml/itemProps3.xml><?xml version="1.0" encoding="utf-8"?>
<ds:datastoreItem xmlns:ds="http://schemas.openxmlformats.org/officeDocument/2006/customXml" ds:itemID="{3C55EE92-8FFA-4F5F-AC45-04E7A694A3C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von Wangenheim</dc:creator>
  <cp:lastModifiedBy>Sven von Wangenheim</cp:lastModifiedBy>
  <dcterms:created xsi:type="dcterms:W3CDTF">2025-08-12T14:19:08Z</dcterms:created>
  <dcterms:modified xsi:type="dcterms:W3CDTF">2025-08-12T15:16:04Z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