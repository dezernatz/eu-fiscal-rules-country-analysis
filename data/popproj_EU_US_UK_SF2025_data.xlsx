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B3-Output-Gaps-team\1.FORECAST\2025_SPRING\data_prep_before_forecast\POP-FRCST\"/>
    </mc:Choice>
  </mc:AlternateContent>
  <xr:revisionPtr revIDLastSave="0" documentId="13_ncr:1_{35391C2C-C7E6-41FA-8A00-6C3580CF775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popproj" sheetId="3" r:id="rId1"/>
    <sheet name="Sheet1" sheetId="8" r:id="rId2"/>
    <sheet name="old" sheetId="5" r:id="rId3"/>
    <sheet name="compare to previous update" sheetId="4" r:id="rId4"/>
    <sheet name="Summary" sheetId="9" r:id="rId5"/>
    <sheet name="Structure" sheetId="10" r:id="rId6"/>
    <sheet name="data_eurostat" sheetId="11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6" i="3" l="1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" i="3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37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10" i="11"/>
  <c r="D58" i="4"/>
  <c r="E58" i="4"/>
  <c r="F58" i="4"/>
  <c r="G58" i="4"/>
  <c r="H58" i="4"/>
  <c r="I58" i="4"/>
  <c r="J58" i="4"/>
  <c r="K58" i="4"/>
  <c r="L58" i="4"/>
  <c r="M58" i="4"/>
  <c r="N58" i="4"/>
  <c r="D59" i="4"/>
  <c r="E59" i="4"/>
  <c r="F59" i="4"/>
  <c r="G59" i="4"/>
  <c r="H59" i="4"/>
  <c r="I59" i="4"/>
  <c r="J59" i="4"/>
  <c r="K59" i="4"/>
  <c r="L59" i="4"/>
  <c r="M59" i="4"/>
  <c r="N59" i="4"/>
  <c r="O58" i="4" l="1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A58" i="4"/>
  <c r="A59" i="4"/>
  <c r="D57" i="4" l="1"/>
  <c r="E57" i="4"/>
  <c r="F57" i="4"/>
  <c r="G57" i="4"/>
  <c r="H57" i="4"/>
  <c r="I57" i="4"/>
  <c r="J57" i="4"/>
  <c r="K57" i="4"/>
  <c r="L57" i="4"/>
  <c r="M57" i="4"/>
  <c r="N57" i="4"/>
  <c r="D29" i="4"/>
  <c r="E29" i="4"/>
  <c r="F29" i="4"/>
  <c r="G29" i="4"/>
  <c r="H29" i="4"/>
  <c r="I29" i="4"/>
  <c r="J29" i="4"/>
  <c r="K29" i="4"/>
  <c r="L29" i="4"/>
  <c r="M29" i="4"/>
  <c r="N29" i="4"/>
  <c r="A30" i="3" l="1"/>
  <c r="O29" i="4" l="1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A56" i="3" l="1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A28" i="3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A27" i="3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26" i="3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A25" i="3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A24" i="3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23" i="3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22" i="3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21" i="3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20" i="3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19" i="3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18" i="3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17" i="3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16" i="3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15" i="3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14" i="3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13" i="3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12" i="3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11" i="3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10" i="3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9" i="3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8" i="3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7" i="3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6" i="3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5" i="3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4" i="3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3" i="3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A2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BB44" i="4" l="1"/>
  <c r="AT44" i="4"/>
  <c r="AT30" i="4"/>
  <c r="AP31" i="4"/>
  <c r="V32" i="4"/>
  <c r="BB32" i="4"/>
  <c r="BF33" i="4"/>
  <c r="Z45" i="4"/>
  <c r="BJ32" i="4"/>
  <c r="AL30" i="4"/>
  <c r="Z31" i="4"/>
  <c r="AX31" i="4"/>
  <c r="AT32" i="4"/>
  <c r="R33" i="4"/>
  <c r="AP33" i="4"/>
  <c r="AT34" i="4"/>
  <c r="Z35" i="4"/>
  <c r="BN35" i="4"/>
  <c r="BN37" i="4"/>
  <c r="BJ44" i="4"/>
  <c r="AD30" i="4"/>
  <c r="BJ30" i="4"/>
  <c r="AH31" i="4"/>
  <c r="BN31" i="4"/>
  <c r="AD32" i="4"/>
  <c r="Z33" i="4"/>
  <c r="AX33" i="4"/>
  <c r="V34" i="4"/>
  <c r="AL34" i="4"/>
  <c r="BB34" i="4"/>
  <c r="AH35" i="4"/>
  <c r="AX35" i="4"/>
  <c r="AD36" i="4"/>
  <c r="AT36" i="4"/>
  <c r="BJ36" i="4"/>
  <c r="Z37" i="4"/>
  <c r="AX37" i="4"/>
  <c r="AL38" i="4"/>
  <c r="V30" i="4"/>
  <c r="BB30" i="4"/>
  <c r="R31" i="4"/>
  <c r="BF31" i="4"/>
  <c r="AL32" i="4"/>
  <c r="AH33" i="4"/>
  <c r="BN33" i="4"/>
  <c r="AD34" i="4"/>
  <c r="BJ34" i="4"/>
  <c r="R35" i="4"/>
  <c r="AP35" i="4"/>
  <c r="BF35" i="4"/>
  <c r="V36" i="4"/>
  <c r="AL36" i="4"/>
  <c r="BB36" i="4"/>
  <c r="R37" i="4"/>
  <c r="AH37" i="4"/>
  <c r="AP37" i="4"/>
  <c r="BF37" i="4"/>
  <c r="V38" i="4"/>
  <c r="AD38" i="4"/>
  <c r="AT38" i="4"/>
  <c r="BB38" i="4"/>
  <c r="BJ38" i="4"/>
  <c r="R39" i="4"/>
  <c r="Z39" i="4"/>
  <c r="AH39" i="4"/>
  <c r="AP39" i="4"/>
  <c r="AX39" i="4"/>
  <c r="BF39" i="4"/>
  <c r="BN39" i="4"/>
  <c r="V40" i="4"/>
  <c r="AD40" i="4"/>
  <c r="AL40" i="4"/>
  <c r="AT40" i="4"/>
  <c r="BB40" i="4"/>
  <c r="BJ40" i="4"/>
  <c r="R41" i="4"/>
  <c r="Z41" i="4"/>
  <c r="AH41" i="4"/>
  <c r="AP41" i="4"/>
  <c r="AX41" i="4"/>
  <c r="BF41" i="4"/>
  <c r="BN41" i="4"/>
  <c r="V42" i="4"/>
  <c r="AD42" i="4"/>
  <c r="AL42" i="4"/>
  <c r="AT42" i="4"/>
  <c r="BB42" i="4"/>
  <c r="BJ42" i="4"/>
  <c r="R43" i="4"/>
  <c r="Z43" i="4"/>
  <c r="AH43" i="4"/>
  <c r="AP43" i="4"/>
  <c r="AX43" i="4"/>
  <c r="BF43" i="4"/>
  <c r="BN43" i="4"/>
  <c r="V44" i="4"/>
  <c r="AD44" i="4"/>
  <c r="AL44" i="4"/>
  <c r="R45" i="4"/>
  <c r="AH45" i="4"/>
  <c r="V46" i="4"/>
  <c r="AL46" i="4"/>
  <c r="AX47" i="4"/>
  <c r="BJ48" i="4"/>
  <c r="AP49" i="4"/>
  <c r="AD50" i="4"/>
  <c r="AL56" i="4"/>
  <c r="T30" i="4"/>
  <c r="AB30" i="4"/>
  <c r="AJ30" i="4"/>
  <c r="AR30" i="4"/>
  <c r="AZ30" i="4"/>
  <c r="BH30" i="4"/>
  <c r="P31" i="4"/>
  <c r="X31" i="4"/>
  <c r="AF31" i="4"/>
  <c r="AN31" i="4"/>
  <c r="AV31" i="4"/>
  <c r="BD31" i="4"/>
  <c r="BL31" i="4"/>
  <c r="T32" i="4"/>
  <c r="AB32" i="4"/>
  <c r="AJ32" i="4"/>
  <c r="AR32" i="4"/>
  <c r="AZ32" i="4"/>
  <c r="BH32" i="4"/>
  <c r="P33" i="4"/>
  <c r="X33" i="4"/>
  <c r="AF33" i="4"/>
  <c r="AN33" i="4"/>
  <c r="AV33" i="4"/>
  <c r="BD33" i="4"/>
  <c r="BL33" i="4"/>
  <c r="T34" i="4"/>
  <c r="AB34" i="4"/>
  <c r="AJ34" i="4"/>
  <c r="AR34" i="4"/>
  <c r="AZ34" i="4"/>
  <c r="BH34" i="4"/>
  <c r="P35" i="4"/>
  <c r="X35" i="4"/>
  <c r="AF35" i="4"/>
  <c r="AN35" i="4"/>
  <c r="AV35" i="4"/>
  <c r="BD35" i="4"/>
  <c r="BL35" i="4"/>
  <c r="T36" i="4"/>
  <c r="AB36" i="4"/>
  <c r="AJ36" i="4"/>
  <c r="AR36" i="4"/>
  <c r="AZ36" i="4"/>
  <c r="BH36" i="4"/>
  <c r="P37" i="4"/>
  <c r="X37" i="4"/>
  <c r="AF37" i="4"/>
  <c r="AN37" i="4"/>
  <c r="AV37" i="4"/>
  <c r="BD37" i="4"/>
  <c r="BL37" i="4"/>
  <c r="T38" i="4"/>
  <c r="AB38" i="4"/>
  <c r="AJ38" i="4"/>
  <c r="AR38" i="4"/>
  <c r="AZ38" i="4"/>
  <c r="BH38" i="4"/>
  <c r="P39" i="4"/>
  <c r="X39" i="4"/>
  <c r="AF39" i="4"/>
  <c r="AN39" i="4"/>
  <c r="AV39" i="4"/>
  <c r="BD39" i="4"/>
  <c r="BL39" i="4"/>
  <c r="T40" i="4"/>
  <c r="AB40" i="4"/>
  <c r="AJ40" i="4"/>
  <c r="AR40" i="4"/>
  <c r="AZ40" i="4"/>
  <c r="BH40" i="4"/>
  <c r="P41" i="4"/>
  <c r="X41" i="4"/>
  <c r="AF41" i="4"/>
  <c r="AN41" i="4"/>
  <c r="AV41" i="4"/>
  <c r="BD41" i="4"/>
  <c r="BL41" i="4"/>
  <c r="T42" i="4"/>
  <c r="AB42" i="4"/>
  <c r="AJ42" i="4"/>
  <c r="AR42" i="4"/>
  <c r="AZ42" i="4"/>
  <c r="BH42" i="4"/>
  <c r="P43" i="4"/>
  <c r="X43" i="4"/>
  <c r="AF43" i="4"/>
  <c r="AN43" i="4"/>
  <c r="AV43" i="4"/>
  <c r="BD43" i="4"/>
  <c r="BL43" i="4"/>
  <c r="T44" i="4"/>
  <c r="AB44" i="4"/>
  <c r="AJ44" i="4"/>
  <c r="AR44" i="4"/>
  <c r="AZ44" i="4"/>
  <c r="BH44" i="4"/>
  <c r="P45" i="4"/>
  <c r="X45" i="4"/>
  <c r="AF45" i="4"/>
  <c r="AN45" i="4"/>
  <c r="AV45" i="4"/>
  <c r="BD45" i="4"/>
  <c r="BL45" i="4"/>
  <c r="T46" i="4"/>
  <c r="AB46" i="4"/>
  <c r="AJ46" i="4"/>
  <c r="AR46" i="4"/>
  <c r="AZ46" i="4"/>
  <c r="BH46" i="4"/>
  <c r="P47" i="4"/>
  <c r="X47" i="4"/>
  <c r="AF47" i="4"/>
  <c r="AN47" i="4"/>
  <c r="AV47" i="4"/>
  <c r="BD47" i="4"/>
  <c r="BL47" i="4"/>
  <c r="T48" i="4"/>
  <c r="AB48" i="4"/>
  <c r="AJ48" i="4"/>
  <c r="AR48" i="4"/>
  <c r="AZ48" i="4"/>
  <c r="BH48" i="4"/>
  <c r="P49" i="4"/>
  <c r="X49" i="4"/>
  <c r="AF49" i="4"/>
  <c r="AN49" i="4"/>
  <c r="AV49" i="4"/>
  <c r="BD49" i="4"/>
  <c r="BL49" i="4"/>
  <c r="T50" i="4"/>
  <c r="AB50" i="4"/>
  <c r="AJ50" i="4"/>
  <c r="AR50" i="4"/>
  <c r="AZ50" i="4"/>
  <c r="BH50" i="4"/>
  <c r="P51" i="4"/>
  <c r="X51" i="4"/>
  <c r="AF51" i="4"/>
  <c r="AN51" i="4"/>
  <c r="AV51" i="4"/>
  <c r="BD51" i="4"/>
  <c r="BL51" i="4"/>
  <c r="T52" i="4"/>
  <c r="AB52" i="4"/>
  <c r="AJ52" i="4"/>
  <c r="AR52" i="4"/>
  <c r="AZ52" i="4"/>
  <c r="BH52" i="4"/>
  <c r="P53" i="4"/>
  <c r="X53" i="4"/>
  <c r="AF53" i="4"/>
  <c r="AN53" i="4"/>
  <c r="AV53" i="4"/>
  <c r="BD53" i="4"/>
  <c r="BL53" i="4"/>
  <c r="T54" i="4"/>
  <c r="AB54" i="4"/>
  <c r="AJ54" i="4"/>
  <c r="AR54" i="4"/>
  <c r="AZ54" i="4"/>
  <c r="BH54" i="4"/>
  <c r="P55" i="4"/>
  <c r="X55" i="4"/>
  <c r="AF55" i="4"/>
  <c r="AN55" i="4"/>
  <c r="AV55" i="4"/>
  <c r="BD55" i="4"/>
  <c r="BL55" i="4"/>
  <c r="T56" i="4"/>
  <c r="AB56" i="4"/>
  <c r="AJ56" i="4"/>
  <c r="AR56" i="4"/>
  <c r="AZ56" i="4"/>
  <c r="BH56" i="4"/>
  <c r="U30" i="4"/>
  <c r="AC30" i="4"/>
  <c r="AK30" i="4"/>
  <c r="AS30" i="4"/>
  <c r="BA30" i="4"/>
  <c r="BI30" i="4"/>
  <c r="Q31" i="4"/>
  <c r="Y31" i="4"/>
  <c r="AG31" i="4"/>
  <c r="AO31" i="4"/>
  <c r="AW31" i="4"/>
  <c r="BE31" i="4"/>
  <c r="BM31" i="4"/>
  <c r="U32" i="4"/>
  <c r="AC32" i="4"/>
  <c r="AK32" i="4"/>
  <c r="AS32" i="4"/>
  <c r="BA32" i="4"/>
  <c r="BI32" i="4"/>
  <c r="Q33" i="4"/>
  <c r="Y33" i="4"/>
  <c r="AG33" i="4"/>
  <c r="AO33" i="4"/>
  <c r="AW33" i="4"/>
  <c r="BE33" i="4"/>
  <c r="BM33" i="4"/>
  <c r="U34" i="4"/>
  <c r="AC34" i="4"/>
  <c r="AK34" i="4"/>
  <c r="AS34" i="4"/>
  <c r="BA34" i="4"/>
  <c r="BI34" i="4"/>
  <c r="Q35" i="4"/>
  <c r="Y35" i="4"/>
  <c r="AG35" i="4"/>
  <c r="AO35" i="4"/>
  <c r="AW35" i="4"/>
  <c r="BE35" i="4"/>
  <c r="BM35" i="4"/>
  <c r="U36" i="4"/>
  <c r="AC36" i="4"/>
  <c r="AK36" i="4"/>
  <c r="AS36" i="4"/>
  <c r="BA36" i="4"/>
  <c r="BI36" i="4"/>
  <c r="Q37" i="4"/>
  <c r="Y37" i="4"/>
  <c r="AG37" i="4"/>
  <c r="AO37" i="4"/>
  <c r="AW37" i="4"/>
  <c r="BE37" i="4"/>
  <c r="BM37" i="4"/>
  <c r="U38" i="4"/>
  <c r="AC38" i="4"/>
  <c r="AK38" i="4"/>
  <c r="AS38" i="4"/>
  <c r="BA38" i="4"/>
  <c r="BI38" i="4"/>
  <c r="Q39" i="4"/>
  <c r="Y39" i="4"/>
  <c r="AG39" i="4"/>
  <c r="AO39" i="4"/>
  <c r="AW39" i="4"/>
  <c r="BE39" i="4"/>
  <c r="BM39" i="4"/>
  <c r="U40" i="4"/>
  <c r="AC40" i="4"/>
  <c r="AK40" i="4"/>
  <c r="AS40" i="4"/>
  <c r="BA40" i="4"/>
  <c r="BI40" i="4"/>
  <c r="Q41" i="4"/>
  <c r="Y41" i="4"/>
  <c r="AG41" i="4"/>
  <c r="AO41" i="4"/>
  <c r="AW41" i="4"/>
  <c r="BE41" i="4"/>
  <c r="BM41" i="4"/>
  <c r="U42" i="4"/>
  <c r="AC42" i="4"/>
  <c r="AK42" i="4"/>
  <c r="AS42" i="4"/>
  <c r="BA42" i="4"/>
  <c r="BI42" i="4"/>
  <c r="Q43" i="4"/>
  <c r="Y43" i="4"/>
  <c r="AG43" i="4"/>
  <c r="AO43" i="4"/>
  <c r="AW43" i="4"/>
  <c r="BE43" i="4"/>
  <c r="BM43" i="4"/>
  <c r="U44" i="4"/>
  <c r="AC44" i="4"/>
  <c r="AK44" i="4"/>
  <c r="AS44" i="4"/>
  <c r="BA44" i="4"/>
  <c r="BI44" i="4"/>
  <c r="Q45" i="4"/>
  <c r="Y45" i="4"/>
  <c r="AG45" i="4"/>
  <c r="AO45" i="4"/>
  <c r="AW45" i="4"/>
  <c r="BE45" i="4"/>
  <c r="BM45" i="4"/>
  <c r="U46" i="4"/>
  <c r="AC46" i="4"/>
  <c r="AK46" i="4"/>
  <c r="AS46" i="4"/>
  <c r="BA46" i="4"/>
  <c r="BI46" i="4"/>
  <c r="Q47" i="4"/>
  <c r="Y47" i="4"/>
  <c r="AG47" i="4"/>
  <c r="AO47" i="4"/>
  <c r="AW47" i="4"/>
  <c r="BE47" i="4"/>
  <c r="BM47" i="4"/>
  <c r="U48" i="4"/>
  <c r="AC48" i="4"/>
  <c r="AK48" i="4"/>
  <c r="AS48" i="4"/>
  <c r="BA48" i="4"/>
  <c r="BI48" i="4"/>
  <c r="Q49" i="4"/>
  <c r="Y49" i="4"/>
  <c r="AG49" i="4"/>
  <c r="AO49" i="4"/>
  <c r="AW49" i="4"/>
  <c r="BE49" i="4"/>
  <c r="BM49" i="4"/>
  <c r="U50" i="4"/>
  <c r="AC50" i="4"/>
  <c r="AK50" i="4"/>
  <c r="AS50" i="4"/>
  <c r="BA50" i="4"/>
  <c r="BI50" i="4"/>
  <c r="Q51" i="4"/>
  <c r="Y51" i="4"/>
  <c r="AG51" i="4"/>
  <c r="AO51" i="4"/>
  <c r="AW51" i="4"/>
  <c r="BE51" i="4"/>
  <c r="BM51" i="4"/>
  <c r="U52" i="4"/>
  <c r="AC52" i="4"/>
  <c r="AK52" i="4"/>
  <c r="AS52" i="4"/>
  <c r="BA52" i="4"/>
  <c r="BI52" i="4"/>
  <c r="Q53" i="4"/>
  <c r="Y53" i="4"/>
  <c r="AG53" i="4"/>
  <c r="AO53" i="4"/>
  <c r="AW53" i="4"/>
  <c r="BE53" i="4"/>
  <c r="BM53" i="4"/>
  <c r="U54" i="4"/>
  <c r="AC54" i="4"/>
  <c r="AK54" i="4"/>
  <c r="AS54" i="4"/>
  <c r="BA54" i="4"/>
  <c r="BI54" i="4"/>
  <c r="Q55" i="4"/>
  <c r="Y55" i="4"/>
  <c r="AG55" i="4"/>
  <c r="AO55" i="4"/>
  <c r="AW55" i="4"/>
  <c r="BE55" i="4"/>
  <c r="BM55" i="4"/>
  <c r="U56" i="4"/>
  <c r="AC56" i="4"/>
  <c r="AK56" i="4"/>
  <c r="AS56" i="4"/>
  <c r="BA56" i="4"/>
  <c r="BI56" i="4"/>
  <c r="AP47" i="4"/>
  <c r="AD48" i="4"/>
  <c r="Z49" i="4"/>
  <c r="BB50" i="4"/>
  <c r="AH51" i="4"/>
  <c r="V52" i="4"/>
  <c r="AT52" i="4"/>
  <c r="R53" i="4"/>
  <c r="AH53" i="4"/>
  <c r="BF53" i="4"/>
  <c r="V54" i="4"/>
  <c r="AL54" i="4"/>
  <c r="BB54" i="4"/>
  <c r="R55" i="4"/>
  <c r="AH55" i="4"/>
  <c r="AX55" i="4"/>
  <c r="BN55" i="4"/>
  <c r="BB56" i="4"/>
  <c r="O30" i="4"/>
  <c r="W30" i="4"/>
  <c r="AE30" i="4"/>
  <c r="AM30" i="4"/>
  <c r="AU30" i="4"/>
  <c r="BC30" i="4"/>
  <c r="BK30" i="4"/>
  <c r="S31" i="4"/>
  <c r="AA31" i="4"/>
  <c r="AI31" i="4"/>
  <c r="AQ31" i="4"/>
  <c r="AY31" i="4"/>
  <c r="BG31" i="4"/>
  <c r="BO31" i="4"/>
  <c r="O32" i="4"/>
  <c r="W32" i="4"/>
  <c r="AE32" i="4"/>
  <c r="AM32" i="4"/>
  <c r="AU32" i="4"/>
  <c r="BC32" i="4"/>
  <c r="BK32" i="4"/>
  <c r="S33" i="4"/>
  <c r="AA33" i="4"/>
  <c r="AI33" i="4"/>
  <c r="AQ33" i="4"/>
  <c r="AY33" i="4"/>
  <c r="BG33" i="4"/>
  <c r="BO33" i="4"/>
  <c r="O34" i="4"/>
  <c r="W34" i="4"/>
  <c r="AE34" i="4"/>
  <c r="AM34" i="4"/>
  <c r="AU34" i="4"/>
  <c r="BC34" i="4"/>
  <c r="BK34" i="4"/>
  <c r="S35" i="4"/>
  <c r="AA35" i="4"/>
  <c r="AI35" i="4"/>
  <c r="AQ35" i="4"/>
  <c r="AY35" i="4"/>
  <c r="BG35" i="4"/>
  <c r="BO35" i="4"/>
  <c r="O36" i="4"/>
  <c r="W36" i="4"/>
  <c r="AE36" i="4"/>
  <c r="AM36" i="4"/>
  <c r="AU36" i="4"/>
  <c r="BC36" i="4"/>
  <c r="BK36" i="4"/>
  <c r="S37" i="4"/>
  <c r="AA37" i="4"/>
  <c r="AI37" i="4"/>
  <c r="AQ37" i="4"/>
  <c r="AY37" i="4"/>
  <c r="BG37" i="4"/>
  <c r="BO37" i="4"/>
  <c r="O38" i="4"/>
  <c r="W38" i="4"/>
  <c r="AE38" i="4"/>
  <c r="AM38" i="4"/>
  <c r="AU38" i="4"/>
  <c r="BC38" i="4"/>
  <c r="BK38" i="4"/>
  <c r="S39" i="4"/>
  <c r="AA39" i="4"/>
  <c r="AI39" i="4"/>
  <c r="AQ39" i="4"/>
  <c r="AY39" i="4"/>
  <c r="BG39" i="4"/>
  <c r="BO39" i="4"/>
  <c r="O40" i="4"/>
  <c r="W40" i="4"/>
  <c r="AE40" i="4"/>
  <c r="AM40" i="4"/>
  <c r="AU40" i="4"/>
  <c r="BC40" i="4"/>
  <c r="BK40" i="4"/>
  <c r="S41" i="4"/>
  <c r="AA41" i="4"/>
  <c r="AI41" i="4"/>
  <c r="AQ41" i="4"/>
  <c r="AY41" i="4"/>
  <c r="BG41" i="4"/>
  <c r="BO41" i="4"/>
  <c r="O42" i="4"/>
  <c r="W42" i="4"/>
  <c r="AE42" i="4"/>
  <c r="AM42" i="4"/>
  <c r="AU42" i="4"/>
  <c r="BC42" i="4"/>
  <c r="BK42" i="4"/>
  <c r="S43" i="4"/>
  <c r="AA43" i="4"/>
  <c r="AI43" i="4"/>
  <c r="AQ43" i="4"/>
  <c r="AY43" i="4"/>
  <c r="BG43" i="4"/>
  <c r="BO43" i="4"/>
  <c r="O44" i="4"/>
  <c r="W44" i="4"/>
  <c r="AE44" i="4"/>
  <c r="AM44" i="4"/>
  <c r="AU44" i="4"/>
  <c r="BC44" i="4"/>
  <c r="BK44" i="4"/>
  <c r="S45" i="4"/>
  <c r="AA45" i="4"/>
  <c r="AI45" i="4"/>
  <c r="AQ45" i="4"/>
  <c r="AY45" i="4"/>
  <c r="BG45" i="4"/>
  <c r="BO45" i="4"/>
  <c r="O46" i="4"/>
  <c r="W46" i="4"/>
  <c r="AE46" i="4"/>
  <c r="AM46" i="4"/>
  <c r="AU46" i="4"/>
  <c r="BC46" i="4"/>
  <c r="BK46" i="4"/>
  <c r="S47" i="4"/>
  <c r="AA47" i="4"/>
  <c r="AI47" i="4"/>
  <c r="AQ47" i="4"/>
  <c r="AY47" i="4"/>
  <c r="BG47" i="4"/>
  <c r="BO47" i="4"/>
  <c r="O48" i="4"/>
  <c r="W48" i="4"/>
  <c r="AE48" i="4"/>
  <c r="AM48" i="4"/>
  <c r="AU48" i="4"/>
  <c r="BC48" i="4"/>
  <c r="BK48" i="4"/>
  <c r="S49" i="4"/>
  <c r="AA49" i="4"/>
  <c r="AI49" i="4"/>
  <c r="AQ49" i="4"/>
  <c r="AY49" i="4"/>
  <c r="BG49" i="4"/>
  <c r="BO49" i="4"/>
  <c r="O50" i="4"/>
  <c r="W50" i="4"/>
  <c r="AE50" i="4"/>
  <c r="AM50" i="4"/>
  <c r="AU50" i="4"/>
  <c r="BC50" i="4"/>
  <c r="BK50" i="4"/>
  <c r="S51" i="4"/>
  <c r="AA51" i="4"/>
  <c r="AI51" i="4"/>
  <c r="AQ51" i="4"/>
  <c r="AY51" i="4"/>
  <c r="BG51" i="4"/>
  <c r="BO51" i="4"/>
  <c r="O52" i="4"/>
  <c r="W52" i="4"/>
  <c r="AE52" i="4"/>
  <c r="AM52" i="4"/>
  <c r="AU52" i="4"/>
  <c r="BC52" i="4"/>
  <c r="BK52" i="4"/>
  <c r="S53" i="4"/>
  <c r="AA53" i="4"/>
  <c r="AI53" i="4"/>
  <c r="AQ53" i="4"/>
  <c r="AY53" i="4"/>
  <c r="BG53" i="4"/>
  <c r="BO53" i="4"/>
  <c r="O54" i="4"/>
  <c r="W54" i="4"/>
  <c r="AE54" i="4"/>
  <c r="AM54" i="4"/>
  <c r="AU54" i="4"/>
  <c r="BC54" i="4"/>
  <c r="BK54" i="4"/>
  <c r="S55" i="4"/>
  <c r="AA55" i="4"/>
  <c r="AI55" i="4"/>
  <c r="AQ55" i="4"/>
  <c r="AY55" i="4"/>
  <c r="BG55" i="4"/>
  <c r="BO55" i="4"/>
  <c r="O56" i="4"/>
  <c r="W56" i="4"/>
  <c r="AE56" i="4"/>
  <c r="AM56" i="4"/>
  <c r="AU56" i="4"/>
  <c r="BC56" i="4"/>
  <c r="BK56" i="4"/>
  <c r="AP45" i="4"/>
  <c r="AD46" i="4"/>
  <c r="R47" i="4"/>
  <c r="BN47" i="4"/>
  <c r="AT48" i="4"/>
  <c r="R49" i="4"/>
  <c r="BN49" i="4"/>
  <c r="V50" i="4"/>
  <c r="BJ50" i="4"/>
  <c r="R51" i="4"/>
  <c r="Z51" i="4"/>
  <c r="BF51" i="4"/>
  <c r="AD52" i="4"/>
  <c r="Z53" i="4"/>
  <c r="AP53" i="4"/>
  <c r="AX53" i="4"/>
  <c r="BN53" i="4"/>
  <c r="AD54" i="4"/>
  <c r="AT54" i="4"/>
  <c r="BJ54" i="4"/>
  <c r="Z55" i="4"/>
  <c r="AP55" i="4"/>
  <c r="BF55" i="4"/>
  <c r="BJ56" i="4"/>
  <c r="P30" i="4"/>
  <c r="X30" i="4"/>
  <c r="AF30" i="4"/>
  <c r="AN30" i="4"/>
  <c r="AV30" i="4"/>
  <c r="BD30" i="4"/>
  <c r="BL30" i="4"/>
  <c r="T31" i="4"/>
  <c r="AB31" i="4"/>
  <c r="AJ31" i="4"/>
  <c r="AR31" i="4"/>
  <c r="AZ31" i="4"/>
  <c r="BH31" i="4"/>
  <c r="P32" i="4"/>
  <c r="X32" i="4"/>
  <c r="AF32" i="4"/>
  <c r="AN32" i="4"/>
  <c r="AV32" i="4"/>
  <c r="BD32" i="4"/>
  <c r="BL32" i="4"/>
  <c r="T33" i="4"/>
  <c r="AB33" i="4"/>
  <c r="AJ33" i="4"/>
  <c r="AR33" i="4"/>
  <c r="AZ33" i="4"/>
  <c r="BH33" i="4"/>
  <c r="P34" i="4"/>
  <c r="X34" i="4"/>
  <c r="AF34" i="4"/>
  <c r="AN34" i="4"/>
  <c r="AV34" i="4"/>
  <c r="BD34" i="4"/>
  <c r="BL34" i="4"/>
  <c r="T35" i="4"/>
  <c r="AB35" i="4"/>
  <c r="AJ35" i="4"/>
  <c r="AR35" i="4"/>
  <c r="AZ35" i="4"/>
  <c r="BH35" i="4"/>
  <c r="P36" i="4"/>
  <c r="X36" i="4"/>
  <c r="AF36" i="4"/>
  <c r="AN36" i="4"/>
  <c r="AV36" i="4"/>
  <c r="BD36" i="4"/>
  <c r="BL36" i="4"/>
  <c r="T37" i="4"/>
  <c r="AB37" i="4"/>
  <c r="AJ37" i="4"/>
  <c r="AR37" i="4"/>
  <c r="AZ37" i="4"/>
  <c r="BH37" i="4"/>
  <c r="P38" i="4"/>
  <c r="X38" i="4"/>
  <c r="AF38" i="4"/>
  <c r="AN38" i="4"/>
  <c r="AV38" i="4"/>
  <c r="BD38" i="4"/>
  <c r="BL38" i="4"/>
  <c r="T39" i="4"/>
  <c r="AB39" i="4"/>
  <c r="AJ39" i="4"/>
  <c r="AR39" i="4"/>
  <c r="AZ39" i="4"/>
  <c r="BH39" i="4"/>
  <c r="P40" i="4"/>
  <c r="X40" i="4"/>
  <c r="AF40" i="4"/>
  <c r="AN40" i="4"/>
  <c r="AV40" i="4"/>
  <c r="BD40" i="4"/>
  <c r="BL40" i="4"/>
  <c r="T41" i="4"/>
  <c r="AB41" i="4"/>
  <c r="AJ41" i="4"/>
  <c r="AR41" i="4"/>
  <c r="AZ41" i="4"/>
  <c r="BH41" i="4"/>
  <c r="P42" i="4"/>
  <c r="X42" i="4"/>
  <c r="AF42" i="4"/>
  <c r="AN42" i="4"/>
  <c r="AV42" i="4"/>
  <c r="BD42" i="4"/>
  <c r="BL42" i="4"/>
  <c r="T43" i="4"/>
  <c r="AB43" i="4"/>
  <c r="AJ43" i="4"/>
  <c r="AR43" i="4"/>
  <c r="AZ43" i="4"/>
  <c r="BH43" i="4"/>
  <c r="P44" i="4"/>
  <c r="X44" i="4"/>
  <c r="AF44" i="4"/>
  <c r="AN44" i="4"/>
  <c r="AV44" i="4"/>
  <c r="BD44" i="4"/>
  <c r="BL44" i="4"/>
  <c r="T45" i="4"/>
  <c r="AB45" i="4"/>
  <c r="AJ45" i="4"/>
  <c r="AR45" i="4"/>
  <c r="AZ45" i="4"/>
  <c r="BH45" i="4"/>
  <c r="P46" i="4"/>
  <c r="X46" i="4"/>
  <c r="AF46" i="4"/>
  <c r="AN46" i="4"/>
  <c r="AV46" i="4"/>
  <c r="BD46" i="4"/>
  <c r="BL46" i="4"/>
  <c r="T47" i="4"/>
  <c r="AB47" i="4"/>
  <c r="AJ47" i="4"/>
  <c r="AR47" i="4"/>
  <c r="AZ47" i="4"/>
  <c r="BH47" i="4"/>
  <c r="P48" i="4"/>
  <c r="X48" i="4"/>
  <c r="AF48" i="4"/>
  <c r="AN48" i="4"/>
  <c r="AV48" i="4"/>
  <c r="BD48" i="4"/>
  <c r="BL48" i="4"/>
  <c r="T49" i="4"/>
  <c r="AB49" i="4"/>
  <c r="AJ49" i="4"/>
  <c r="AR49" i="4"/>
  <c r="AZ49" i="4"/>
  <c r="BH49" i="4"/>
  <c r="P50" i="4"/>
  <c r="X50" i="4"/>
  <c r="AF50" i="4"/>
  <c r="AN50" i="4"/>
  <c r="AV50" i="4"/>
  <c r="BD50" i="4"/>
  <c r="BL50" i="4"/>
  <c r="T51" i="4"/>
  <c r="AB51" i="4"/>
  <c r="AJ51" i="4"/>
  <c r="AR51" i="4"/>
  <c r="AZ51" i="4"/>
  <c r="BH51" i="4"/>
  <c r="P52" i="4"/>
  <c r="X52" i="4"/>
  <c r="AF52" i="4"/>
  <c r="AN52" i="4"/>
  <c r="AV52" i="4"/>
  <c r="BD52" i="4"/>
  <c r="BL52" i="4"/>
  <c r="T53" i="4"/>
  <c r="AB53" i="4"/>
  <c r="AJ53" i="4"/>
  <c r="AR53" i="4"/>
  <c r="AZ53" i="4"/>
  <c r="BH53" i="4"/>
  <c r="P54" i="4"/>
  <c r="X54" i="4"/>
  <c r="AF54" i="4"/>
  <c r="AN54" i="4"/>
  <c r="AV54" i="4"/>
  <c r="BD54" i="4"/>
  <c r="BL54" i="4"/>
  <c r="T55" i="4"/>
  <c r="AB55" i="4"/>
  <c r="AJ55" i="4"/>
  <c r="AR55" i="4"/>
  <c r="AZ55" i="4"/>
  <c r="BH55" i="4"/>
  <c r="P56" i="4"/>
  <c r="X56" i="4"/>
  <c r="AF56" i="4"/>
  <c r="AN56" i="4"/>
  <c r="AV56" i="4"/>
  <c r="BD56" i="4"/>
  <c r="BL56" i="4"/>
  <c r="BF45" i="4"/>
  <c r="BJ46" i="4"/>
  <c r="AH47" i="4"/>
  <c r="V48" i="4"/>
  <c r="AX49" i="4"/>
  <c r="AL50" i="4"/>
  <c r="AP51" i="4"/>
  <c r="BB52" i="4"/>
  <c r="V56" i="4"/>
  <c r="Q30" i="4"/>
  <c r="Y30" i="4"/>
  <c r="AG30" i="4"/>
  <c r="AO30" i="4"/>
  <c r="AW30" i="4"/>
  <c r="BE30" i="4"/>
  <c r="BM30" i="4"/>
  <c r="U31" i="4"/>
  <c r="AC31" i="4"/>
  <c r="AK31" i="4"/>
  <c r="AS31" i="4"/>
  <c r="BA31" i="4"/>
  <c r="BI31" i="4"/>
  <c r="Q32" i="4"/>
  <c r="Y32" i="4"/>
  <c r="AG32" i="4"/>
  <c r="AO32" i="4"/>
  <c r="AW32" i="4"/>
  <c r="BE32" i="4"/>
  <c r="BM32" i="4"/>
  <c r="U33" i="4"/>
  <c r="AC33" i="4"/>
  <c r="AK33" i="4"/>
  <c r="AS33" i="4"/>
  <c r="BA33" i="4"/>
  <c r="BI33" i="4"/>
  <c r="Q34" i="4"/>
  <c r="Y34" i="4"/>
  <c r="AG34" i="4"/>
  <c r="AO34" i="4"/>
  <c r="AW34" i="4"/>
  <c r="BE34" i="4"/>
  <c r="BM34" i="4"/>
  <c r="U35" i="4"/>
  <c r="AC35" i="4"/>
  <c r="AK35" i="4"/>
  <c r="AS35" i="4"/>
  <c r="BA35" i="4"/>
  <c r="BI35" i="4"/>
  <c r="Q36" i="4"/>
  <c r="Y36" i="4"/>
  <c r="AG36" i="4"/>
  <c r="AO36" i="4"/>
  <c r="AW36" i="4"/>
  <c r="BE36" i="4"/>
  <c r="BM36" i="4"/>
  <c r="U37" i="4"/>
  <c r="AC37" i="4"/>
  <c r="AK37" i="4"/>
  <c r="AS37" i="4"/>
  <c r="BA37" i="4"/>
  <c r="BI37" i="4"/>
  <c r="Q38" i="4"/>
  <c r="Y38" i="4"/>
  <c r="AG38" i="4"/>
  <c r="AO38" i="4"/>
  <c r="AW38" i="4"/>
  <c r="BE38" i="4"/>
  <c r="BM38" i="4"/>
  <c r="U39" i="4"/>
  <c r="AC39" i="4"/>
  <c r="AK39" i="4"/>
  <c r="AS39" i="4"/>
  <c r="BA39" i="4"/>
  <c r="BI39" i="4"/>
  <c r="Q40" i="4"/>
  <c r="Y40" i="4"/>
  <c r="AG40" i="4"/>
  <c r="AO40" i="4"/>
  <c r="AW40" i="4"/>
  <c r="BE40" i="4"/>
  <c r="BM40" i="4"/>
  <c r="U41" i="4"/>
  <c r="AC41" i="4"/>
  <c r="AK41" i="4"/>
  <c r="AS41" i="4"/>
  <c r="BA41" i="4"/>
  <c r="BI41" i="4"/>
  <c r="Q42" i="4"/>
  <c r="Y42" i="4"/>
  <c r="AG42" i="4"/>
  <c r="AO42" i="4"/>
  <c r="AW42" i="4"/>
  <c r="BE42" i="4"/>
  <c r="BM42" i="4"/>
  <c r="U43" i="4"/>
  <c r="AC43" i="4"/>
  <c r="AK43" i="4"/>
  <c r="AS43" i="4"/>
  <c r="BA43" i="4"/>
  <c r="BI43" i="4"/>
  <c r="Q44" i="4"/>
  <c r="Y44" i="4"/>
  <c r="AG44" i="4"/>
  <c r="AO44" i="4"/>
  <c r="AW44" i="4"/>
  <c r="BE44" i="4"/>
  <c r="BM44" i="4"/>
  <c r="U45" i="4"/>
  <c r="AC45" i="4"/>
  <c r="AK45" i="4"/>
  <c r="AS45" i="4"/>
  <c r="BA45" i="4"/>
  <c r="BI45" i="4"/>
  <c r="Q46" i="4"/>
  <c r="Y46" i="4"/>
  <c r="AG46" i="4"/>
  <c r="AO46" i="4"/>
  <c r="AW46" i="4"/>
  <c r="BE46" i="4"/>
  <c r="BM46" i="4"/>
  <c r="U47" i="4"/>
  <c r="AC47" i="4"/>
  <c r="AK47" i="4"/>
  <c r="AS47" i="4"/>
  <c r="BA47" i="4"/>
  <c r="BI47" i="4"/>
  <c r="Q48" i="4"/>
  <c r="Y48" i="4"/>
  <c r="AG48" i="4"/>
  <c r="AO48" i="4"/>
  <c r="AW48" i="4"/>
  <c r="BE48" i="4"/>
  <c r="BM48" i="4"/>
  <c r="U49" i="4"/>
  <c r="AC49" i="4"/>
  <c r="AK49" i="4"/>
  <c r="AS49" i="4"/>
  <c r="BA49" i="4"/>
  <c r="BI49" i="4"/>
  <c r="Q50" i="4"/>
  <c r="Y50" i="4"/>
  <c r="AG50" i="4"/>
  <c r="AO50" i="4"/>
  <c r="AW50" i="4"/>
  <c r="BE50" i="4"/>
  <c r="BM50" i="4"/>
  <c r="U51" i="4"/>
  <c r="AC51" i="4"/>
  <c r="AK51" i="4"/>
  <c r="AS51" i="4"/>
  <c r="BA51" i="4"/>
  <c r="BI51" i="4"/>
  <c r="Q52" i="4"/>
  <c r="Y52" i="4"/>
  <c r="AG52" i="4"/>
  <c r="AO52" i="4"/>
  <c r="AW52" i="4"/>
  <c r="BE52" i="4"/>
  <c r="BM52" i="4"/>
  <c r="U53" i="4"/>
  <c r="AC53" i="4"/>
  <c r="AK53" i="4"/>
  <c r="AS53" i="4"/>
  <c r="BA53" i="4"/>
  <c r="BI53" i="4"/>
  <c r="Q54" i="4"/>
  <c r="Y54" i="4"/>
  <c r="AG54" i="4"/>
  <c r="AO54" i="4"/>
  <c r="AW54" i="4"/>
  <c r="BE54" i="4"/>
  <c r="BM54" i="4"/>
  <c r="U55" i="4"/>
  <c r="AC55" i="4"/>
  <c r="AK55" i="4"/>
  <c r="AS55" i="4"/>
  <c r="BA55" i="4"/>
  <c r="BI55" i="4"/>
  <c r="Q56" i="4"/>
  <c r="Y56" i="4"/>
  <c r="AG56" i="4"/>
  <c r="AO56" i="4"/>
  <c r="AW56" i="4"/>
  <c r="BE56" i="4"/>
  <c r="BM56" i="4"/>
  <c r="BN45" i="4"/>
  <c r="BB46" i="4"/>
  <c r="BF47" i="4"/>
  <c r="AL48" i="4"/>
  <c r="AH49" i="4"/>
  <c r="BN51" i="4"/>
  <c r="BJ52" i="4"/>
  <c r="AT56" i="4"/>
  <c r="R30" i="4"/>
  <c r="Z30" i="4"/>
  <c r="AH30" i="4"/>
  <c r="AP30" i="4"/>
  <c r="AX30" i="4"/>
  <c r="BF30" i="4"/>
  <c r="BN30" i="4"/>
  <c r="V31" i="4"/>
  <c r="AD31" i="4"/>
  <c r="AL31" i="4"/>
  <c r="AT31" i="4"/>
  <c r="BB31" i="4"/>
  <c r="BJ31" i="4"/>
  <c r="R32" i="4"/>
  <c r="Z32" i="4"/>
  <c r="AH32" i="4"/>
  <c r="AP32" i="4"/>
  <c r="AX32" i="4"/>
  <c r="BF32" i="4"/>
  <c r="BN32" i="4"/>
  <c r="V33" i="4"/>
  <c r="AD33" i="4"/>
  <c r="AL33" i="4"/>
  <c r="AT33" i="4"/>
  <c r="BB33" i="4"/>
  <c r="BJ33" i="4"/>
  <c r="R34" i="4"/>
  <c r="Z34" i="4"/>
  <c r="AH34" i="4"/>
  <c r="AP34" i="4"/>
  <c r="AX34" i="4"/>
  <c r="BF34" i="4"/>
  <c r="BN34" i="4"/>
  <c r="V35" i="4"/>
  <c r="AD35" i="4"/>
  <c r="AL35" i="4"/>
  <c r="AT35" i="4"/>
  <c r="BB35" i="4"/>
  <c r="BJ35" i="4"/>
  <c r="R36" i="4"/>
  <c r="Z36" i="4"/>
  <c r="AH36" i="4"/>
  <c r="AP36" i="4"/>
  <c r="AX36" i="4"/>
  <c r="BF36" i="4"/>
  <c r="BN36" i="4"/>
  <c r="V37" i="4"/>
  <c r="AD37" i="4"/>
  <c r="AL37" i="4"/>
  <c r="AT37" i="4"/>
  <c r="BB37" i="4"/>
  <c r="BJ37" i="4"/>
  <c r="R38" i="4"/>
  <c r="Z38" i="4"/>
  <c r="AH38" i="4"/>
  <c r="AP38" i="4"/>
  <c r="AX38" i="4"/>
  <c r="BF38" i="4"/>
  <c r="BN38" i="4"/>
  <c r="V39" i="4"/>
  <c r="AD39" i="4"/>
  <c r="AL39" i="4"/>
  <c r="AT39" i="4"/>
  <c r="BB39" i="4"/>
  <c r="BJ39" i="4"/>
  <c r="R40" i="4"/>
  <c r="Z40" i="4"/>
  <c r="AH40" i="4"/>
  <c r="AP40" i="4"/>
  <c r="AX40" i="4"/>
  <c r="BF40" i="4"/>
  <c r="BN40" i="4"/>
  <c r="V41" i="4"/>
  <c r="AD41" i="4"/>
  <c r="AL41" i="4"/>
  <c r="AT41" i="4"/>
  <c r="BB41" i="4"/>
  <c r="BJ41" i="4"/>
  <c r="R42" i="4"/>
  <c r="Z42" i="4"/>
  <c r="AH42" i="4"/>
  <c r="AP42" i="4"/>
  <c r="AX42" i="4"/>
  <c r="BF42" i="4"/>
  <c r="BN42" i="4"/>
  <c r="V43" i="4"/>
  <c r="AD43" i="4"/>
  <c r="AL43" i="4"/>
  <c r="AT43" i="4"/>
  <c r="BB43" i="4"/>
  <c r="BJ43" i="4"/>
  <c r="R44" i="4"/>
  <c r="Z44" i="4"/>
  <c r="AH44" i="4"/>
  <c r="AP44" i="4"/>
  <c r="AX44" i="4"/>
  <c r="BF44" i="4"/>
  <c r="BN44" i="4"/>
  <c r="V45" i="4"/>
  <c r="AD45" i="4"/>
  <c r="AL45" i="4"/>
  <c r="AT45" i="4"/>
  <c r="BB45" i="4"/>
  <c r="BJ45" i="4"/>
  <c r="R46" i="4"/>
  <c r="Z46" i="4"/>
  <c r="AH46" i="4"/>
  <c r="AP46" i="4"/>
  <c r="AX46" i="4"/>
  <c r="BF46" i="4"/>
  <c r="BN46" i="4"/>
  <c r="V47" i="4"/>
  <c r="AD47" i="4"/>
  <c r="AL47" i="4"/>
  <c r="AT47" i="4"/>
  <c r="BB47" i="4"/>
  <c r="BJ47" i="4"/>
  <c r="R48" i="4"/>
  <c r="Z48" i="4"/>
  <c r="AH48" i="4"/>
  <c r="AP48" i="4"/>
  <c r="AX48" i="4"/>
  <c r="BF48" i="4"/>
  <c r="BN48" i="4"/>
  <c r="V49" i="4"/>
  <c r="AD49" i="4"/>
  <c r="AL49" i="4"/>
  <c r="AT49" i="4"/>
  <c r="BB49" i="4"/>
  <c r="BJ49" i="4"/>
  <c r="R50" i="4"/>
  <c r="Z50" i="4"/>
  <c r="AH50" i="4"/>
  <c r="AP50" i="4"/>
  <c r="AX50" i="4"/>
  <c r="BF50" i="4"/>
  <c r="BN50" i="4"/>
  <c r="V51" i="4"/>
  <c r="AD51" i="4"/>
  <c r="AL51" i="4"/>
  <c r="AT51" i="4"/>
  <c r="BB51" i="4"/>
  <c r="BJ51" i="4"/>
  <c r="R52" i="4"/>
  <c r="Z52" i="4"/>
  <c r="AH52" i="4"/>
  <c r="AP52" i="4"/>
  <c r="AX52" i="4"/>
  <c r="BF52" i="4"/>
  <c r="BN52" i="4"/>
  <c r="V53" i="4"/>
  <c r="AD53" i="4"/>
  <c r="AL53" i="4"/>
  <c r="AT53" i="4"/>
  <c r="BB53" i="4"/>
  <c r="BJ53" i="4"/>
  <c r="R54" i="4"/>
  <c r="Z54" i="4"/>
  <c r="AH54" i="4"/>
  <c r="AP54" i="4"/>
  <c r="AX54" i="4"/>
  <c r="BF54" i="4"/>
  <c r="BN54" i="4"/>
  <c r="V55" i="4"/>
  <c r="AD55" i="4"/>
  <c r="AL55" i="4"/>
  <c r="AT55" i="4"/>
  <c r="BB55" i="4"/>
  <c r="BJ55" i="4"/>
  <c r="R56" i="4"/>
  <c r="Z56" i="4"/>
  <c r="AH56" i="4"/>
  <c r="AP56" i="4"/>
  <c r="AX56" i="4"/>
  <c r="BF56" i="4"/>
  <c r="BN56" i="4"/>
  <c r="AX45" i="4"/>
  <c r="AT46" i="4"/>
  <c r="Z47" i="4"/>
  <c r="BB48" i="4"/>
  <c r="BF49" i="4"/>
  <c r="AT50" i="4"/>
  <c r="AX51" i="4"/>
  <c r="AL52" i="4"/>
  <c r="AD56" i="4"/>
  <c r="S30" i="4"/>
  <c r="AA30" i="4"/>
  <c r="AI30" i="4"/>
  <c r="AQ30" i="4"/>
  <c r="AY30" i="4"/>
  <c r="BG30" i="4"/>
  <c r="BO30" i="4"/>
  <c r="O31" i="4"/>
  <c r="W31" i="4"/>
  <c r="AE31" i="4"/>
  <c r="AM31" i="4"/>
  <c r="AU31" i="4"/>
  <c r="BC31" i="4"/>
  <c r="BK31" i="4"/>
  <c r="S32" i="4"/>
  <c r="AA32" i="4"/>
  <c r="AI32" i="4"/>
  <c r="AQ32" i="4"/>
  <c r="AY32" i="4"/>
  <c r="BG32" i="4"/>
  <c r="BO32" i="4"/>
  <c r="O33" i="4"/>
  <c r="W33" i="4"/>
  <c r="AE33" i="4"/>
  <c r="AM33" i="4"/>
  <c r="AU33" i="4"/>
  <c r="BC33" i="4"/>
  <c r="BK33" i="4"/>
  <c r="S34" i="4"/>
  <c r="AA34" i="4"/>
  <c r="AI34" i="4"/>
  <c r="AQ34" i="4"/>
  <c r="AY34" i="4"/>
  <c r="BG34" i="4"/>
  <c r="BO34" i="4"/>
  <c r="O35" i="4"/>
  <c r="W35" i="4"/>
  <c r="AE35" i="4"/>
  <c r="AM35" i="4"/>
  <c r="AU35" i="4"/>
  <c r="BC35" i="4"/>
  <c r="BK35" i="4"/>
  <c r="S36" i="4"/>
  <c r="AA36" i="4"/>
  <c r="AI36" i="4"/>
  <c r="AQ36" i="4"/>
  <c r="AY36" i="4"/>
  <c r="BG36" i="4"/>
  <c r="BO36" i="4"/>
  <c r="O37" i="4"/>
  <c r="W37" i="4"/>
  <c r="AE37" i="4"/>
  <c r="AM37" i="4"/>
  <c r="AU37" i="4"/>
  <c r="BC37" i="4"/>
  <c r="BK37" i="4"/>
  <c r="S38" i="4"/>
  <c r="AA38" i="4"/>
  <c r="AI38" i="4"/>
  <c r="AQ38" i="4"/>
  <c r="AY38" i="4"/>
  <c r="BG38" i="4"/>
  <c r="BO38" i="4"/>
  <c r="O39" i="4"/>
  <c r="W39" i="4"/>
  <c r="AE39" i="4"/>
  <c r="AM39" i="4"/>
  <c r="AU39" i="4"/>
  <c r="BC39" i="4"/>
  <c r="BK39" i="4"/>
  <c r="S40" i="4"/>
  <c r="AA40" i="4"/>
  <c r="AI40" i="4"/>
  <c r="AQ40" i="4"/>
  <c r="AY40" i="4"/>
  <c r="BG40" i="4"/>
  <c r="BO40" i="4"/>
  <c r="O41" i="4"/>
  <c r="W41" i="4"/>
  <c r="AE41" i="4"/>
  <c r="AM41" i="4"/>
  <c r="AU41" i="4"/>
  <c r="BC41" i="4"/>
  <c r="BK41" i="4"/>
  <c r="S42" i="4"/>
  <c r="AA42" i="4"/>
  <c r="AI42" i="4"/>
  <c r="AQ42" i="4"/>
  <c r="AY42" i="4"/>
  <c r="BG42" i="4"/>
  <c r="BO42" i="4"/>
  <c r="O43" i="4"/>
  <c r="W43" i="4"/>
  <c r="AE43" i="4"/>
  <c r="AM43" i="4"/>
  <c r="AU43" i="4"/>
  <c r="BC43" i="4"/>
  <c r="BK43" i="4"/>
  <c r="S44" i="4"/>
  <c r="AA44" i="4"/>
  <c r="AI44" i="4"/>
  <c r="AQ44" i="4"/>
  <c r="AY44" i="4"/>
  <c r="BG44" i="4"/>
  <c r="BO44" i="4"/>
  <c r="O45" i="4"/>
  <c r="W45" i="4"/>
  <c r="AE45" i="4"/>
  <c r="AM45" i="4"/>
  <c r="AU45" i="4"/>
  <c r="BC45" i="4"/>
  <c r="BK45" i="4"/>
  <c r="S46" i="4"/>
  <c r="AA46" i="4"/>
  <c r="AI46" i="4"/>
  <c r="AQ46" i="4"/>
  <c r="AY46" i="4"/>
  <c r="BG46" i="4"/>
  <c r="BO46" i="4"/>
  <c r="O47" i="4"/>
  <c r="W47" i="4"/>
  <c r="AE47" i="4"/>
  <c r="AM47" i="4"/>
  <c r="AU47" i="4"/>
  <c r="BC47" i="4"/>
  <c r="BK47" i="4"/>
  <c r="S48" i="4"/>
  <c r="AA48" i="4"/>
  <c r="AI48" i="4"/>
  <c r="AQ48" i="4"/>
  <c r="AY48" i="4"/>
  <c r="BG48" i="4"/>
  <c r="BO48" i="4"/>
  <c r="O49" i="4"/>
  <c r="W49" i="4"/>
  <c r="AE49" i="4"/>
  <c r="AM49" i="4"/>
  <c r="AU49" i="4"/>
  <c r="BC49" i="4"/>
  <c r="BK49" i="4"/>
  <c r="S50" i="4"/>
  <c r="AA50" i="4"/>
  <c r="AI50" i="4"/>
  <c r="AQ50" i="4"/>
  <c r="AY50" i="4"/>
  <c r="BG50" i="4"/>
  <c r="BO50" i="4"/>
  <c r="O51" i="4"/>
  <c r="W51" i="4"/>
  <c r="AE51" i="4"/>
  <c r="AM51" i="4"/>
  <c r="AU51" i="4"/>
  <c r="BC51" i="4"/>
  <c r="BK51" i="4"/>
  <c r="S52" i="4"/>
  <c r="AA52" i="4"/>
  <c r="AI52" i="4"/>
  <c r="AQ52" i="4"/>
  <c r="AY52" i="4"/>
  <c r="BG52" i="4"/>
  <c r="BO52" i="4"/>
  <c r="O53" i="4"/>
  <c r="W53" i="4"/>
  <c r="AE53" i="4"/>
  <c r="AM53" i="4"/>
  <c r="AU53" i="4"/>
  <c r="BC53" i="4"/>
  <c r="BK53" i="4"/>
  <c r="S54" i="4"/>
  <c r="AA54" i="4"/>
  <c r="AI54" i="4"/>
  <c r="AQ54" i="4"/>
  <c r="AY54" i="4"/>
  <c r="BG54" i="4"/>
  <c r="BO54" i="4"/>
  <c r="O55" i="4"/>
  <c r="W55" i="4"/>
  <c r="AE55" i="4"/>
  <c r="AM55" i="4"/>
  <c r="AU55" i="4"/>
  <c r="BC55" i="4"/>
  <c r="BK55" i="4"/>
  <c r="S56" i="4"/>
  <c r="AA56" i="4"/>
  <c r="AI56" i="4"/>
  <c r="AQ56" i="4"/>
  <c r="AY56" i="4"/>
  <c r="BG56" i="4"/>
  <c r="BO56" i="4"/>
  <c r="A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2" i="4"/>
  <c r="A30" i="4"/>
  <c r="F33" i="4" l="1"/>
  <c r="H32" i="4"/>
  <c r="H54" i="4"/>
  <c r="G30" i="4"/>
  <c r="N42" i="4"/>
  <c r="D54" i="4"/>
  <c r="K45" i="4"/>
  <c r="G31" i="4"/>
  <c r="I47" i="4"/>
  <c r="L36" i="4"/>
  <c r="E54" i="4"/>
  <c r="G38" i="4"/>
  <c r="N39" i="4"/>
  <c r="J43" i="4"/>
  <c r="K48" i="4"/>
  <c r="D37" i="4"/>
  <c r="J39" i="4"/>
  <c r="G56" i="4"/>
  <c r="K35" i="4"/>
  <c r="N50" i="4"/>
  <c r="J47" i="4"/>
  <c r="E39" i="4"/>
  <c r="E47" i="4"/>
  <c r="K37" i="4"/>
  <c r="D33" i="4"/>
  <c r="G50" i="4"/>
  <c r="D46" i="4"/>
  <c r="E31" i="4"/>
  <c r="L38" i="4"/>
  <c r="L30" i="4"/>
  <c r="F40" i="4"/>
  <c r="K41" i="4"/>
  <c r="I55" i="4"/>
  <c r="J51" i="4"/>
  <c r="N38" i="4"/>
  <c r="M53" i="4"/>
  <c r="I54" i="4"/>
  <c r="L53" i="4"/>
  <c r="K44" i="4"/>
  <c r="N35" i="4"/>
  <c r="N30" i="4"/>
  <c r="E49" i="4"/>
  <c r="M52" i="4"/>
  <c r="L49" i="4"/>
  <c r="M47" i="4"/>
  <c r="I30" i="4"/>
  <c r="D30" i="4"/>
  <c r="J36" i="4"/>
  <c r="J40" i="4"/>
  <c r="L43" i="4"/>
  <c r="N34" i="4"/>
  <c r="H55" i="4"/>
  <c r="H44" i="4"/>
  <c r="G37" i="4"/>
  <c r="H43" i="4"/>
  <c r="N47" i="4"/>
  <c r="M56" i="4"/>
  <c r="N54" i="4"/>
  <c r="J42" i="4"/>
  <c r="M38" i="4"/>
  <c r="L40" i="4"/>
  <c r="F47" i="4"/>
  <c r="L32" i="4"/>
  <c r="E37" i="4"/>
  <c r="F42" i="4"/>
  <c r="L42" i="4"/>
  <c r="G39" i="4"/>
  <c r="I41" i="4"/>
  <c r="D36" i="4"/>
  <c r="K55" i="4"/>
  <c r="G53" i="4"/>
  <c r="F49" i="4"/>
  <c r="I36" i="4"/>
  <c r="L31" i="4"/>
  <c r="D41" i="4"/>
  <c r="M46" i="4"/>
  <c r="G47" i="4"/>
  <c r="J41" i="4"/>
  <c r="E44" i="4"/>
  <c r="D31" i="4"/>
  <c r="M32" i="4"/>
  <c r="H41" i="4"/>
  <c r="J49" i="4"/>
  <c r="F48" i="4"/>
  <c r="K47" i="4"/>
  <c r="N51" i="4"/>
  <c r="M55" i="4"/>
  <c r="H42" i="4"/>
  <c r="M30" i="4"/>
  <c r="J34" i="4"/>
  <c r="J38" i="4"/>
  <c r="N43" i="4"/>
  <c r="M36" i="4"/>
  <c r="K50" i="4"/>
  <c r="L44" i="4"/>
  <c r="E51" i="4"/>
  <c r="M48" i="4"/>
  <c r="G35" i="4"/>
  <c r="I56" i="4"/>
  <c r="F35" i="4"/>
  <c r="I34" i="4"/>
  <c r="M44" i="4"/>
  <c r="I51" i="4"/>
  <c r="L56" i="4"/>
  <c r="I44" i="4"/>
  <c r="J56" i="4"/>
  <c r="F31" i="4"/>
  <c r="I40" i="4"/>
  <c r="H50" i="4"/>
  <c r="D42" i="4"/>
  <c r="I39" i="4"/>
  <c r="J32" i="4"/>
  <c r="H48" i="4"/>
  <c r="L55" i="4"/>
  <c r="E48" i="4"/>
  <c r="E30" i="4"/>
  <c r="I52" i="4"/>
  <c r="L35" i="4"/>
  <c r="J44" i="4"/>
  <c r="F32" i="4"/>
  <c r="N56" i="4"/>
  <c r="E36" i="4"/>
  <c r="J31" i="4"/>
  <c r="H39" i="4"/>
  <c r="L45" i="4"/>
  <c r="N52" i="4"/>
  <c r="D44" i="4"/>
  <c r="L34" i="4"/>
  <c r="H53" i="4"/>
  <c r="K33" i="4"/>
  <c r="G54" i="4"/>
  <c r="M51" i="4"/>
  <c r="M31" i="4"/>
  <c r="G40" i="4"/>
  <c r="E56" i="4"/>
  <c r="D32" i="4"/>
  <c r="I42" i="4"/>
  <c r="G45" i="4"/>
  <c r="L39" i="4"/>
  <c r="I35" i="4"/>
  <c r="K49" i="4"/>
  <c r="F41" i="4"/>
  <c r="H46" i="4"/>
  <c r="G32" i="4"/>
  <c r="D35" i="4"/>
  <c r="J54" i="4"/>
  <c r="K36" i="4"/>
  <c r="N37" i="4"/>
  <c r="N44" i="4"/>
  <c r="E42" i="4"/>
  <c r="K34" i="4"/>
  <c r="N55" i="4"/>
  <c r="D56" i="4"/>
  <c r="H56" i="4"/>
  <c r="D48" i="4"/>
  <c r="I38" i="4"/>
  <c r="N45" i="4"/>
  <c r="E32" i="4"/>
  <c r="E55" i="4"/>
  <c r="M42" i="4"/>
  <c r="D38" i="4"/>
  <c r="I37" i="4"/>
  <c r="L52" i="4"/>
  <c r="M50" i="4"/>
  <c r="J52" i="4"/>
  <c r="G55" i="4"/>
  <c r="H34" i="4"/>
  <c r="D53" i="4"/>
  <c r="H38" i="4"/>
  <c r="D39" i="4"/>
  <c r="E33" i="4"/>
  <c r="D51" i="4"/>
  <c r="M33" i="4"/>
  <c r="L48" i="4"/>
  <c r="H31" i="4"/>
  <c r="L41" i="4"/>
  <c r="K32" i="4"/>
  <c r="N53" i="4"/>
  <c r="L54" i="4"/>
  <c r="F56" i="4"/>
  <c r="I46" i="4"/>
  <c r="I43" i="4"/>
  <c r="F53" i="4"/>
  <c r="G36" i="4"/>
  <c r="H47" i="4"/>
  <c r="E50" i="4"/>
  <c r="E43" i="4"/>
  <c r="L46" i="4"/>
  <c r="H30" i="4"/>
  <c r="G43" i="4"/>
  <c r="J35" i="4"/>
  <c r="D47" i="4"/>
  <c r="N48" i="4"/>
  <c r="K56" i="4"/>
  <c r="E40" i="4"/>
  <c r="F54" i="4"/>
  <c r="F39" i="4"/>
  <c r="M35" i="4"/>
  <c r="I49" i="4"/>
  <c r="K38" i="4"/>
  <c r="M40" i="4"/>
  <c r="M37" i="4"/>
  <c r="J45" i="4"/>
  <c r="K40" i="4"/>
  <c r="I33" i="4"/>
  <c r="N33" i="4"/>
  <c r="H52" i="4"/>
  <c r="K30" i="4"/>
  <c r="L33" i="4"/>
  <c r="E46" i="4"/>
  <c r="F37" i="4"/>
  <c r="F38" i="4"/>
  <c r="D40" i="4"/>
  <c r="D45" i="4"/>
  <c r="D50" i="4"/>
  <c r="M45" i="4"/>
  <c r="N40" i="4"/>
  <c r="J48" i="4"/>
  <c r="E41" i="4"/>
  <c r="I32" i="4"/>
  <c r="G49" i="4"/>
  <c r="K31" i="4"/>
  <c r="J33" i="4"/>
  <c r="F46" i="4"/>
  <c r="E45" i="4"/>
  <c r="G41" i="4"/>
  <c r="H40" i="4"/>
  <c r="K42" i="4"/>
  <c r="M54" i="4"/>
  <c r="M39" i="4"/>
  <c r="F51" i="4"/>
  <c r="N49" i="4"/>
  <c r="D52" i="4"/>
  <c r="N31" i="4"/>
  <c r="G46" i="4"/>
  <c r="G34" i="4"/>
  <c r="J30" i="4"/>
  <c r="F30" i="4"/>
  <c r="F50" i="4"/>
  <c r="G42" i="4"/>
  <c r="E34" i="4"/>
  <c r="K52" i="4"/>
  <c r="F43" i="4"/>
  <c r="D34" i="4"/>
  <c r="N46" i="4"/>
  <c r="H45" i="4"/>
  <c r="I50" i="4"/>
  <c r="N36" i="4"/>
  <c r="I31" i="4"/>
  <c r="L37" i="4"/>
  <c r="E38" i="4"/>
  <c r="H33" i="4"/>
  <c r="J46" i="4"/>
  <c r="G52" i="4"/>
  <c r="E52" i="4"/>
  <c r="H49" i="4"/>
  <c r="K54" i="4"/>
  <c r="E53" i="4"/>
  <c r="K43" i="4"/>
  <c r="D49" i="4"/>
  <c r="J55" i="4"/>
  <c r="F55" i="4"/>
  <c r="G51" i="4"/>
  <c r="I45" i="4"/>
  <c r="N41" i="4"/>
  <c r="F44" i="4"/>
  <c r="J53" i="4"/>
  <c r="K53" i="4"/>
  <c r="M41" i="4"/>
  <c r="H36" i="4"/>
  <c r="F34" i="4"/>
  <c r="M49" i="4"/>
  <c r="H51" i="4"/>
  <c r="N32" i="4"/>
  <c r="F52" i="4"/>
  <c r="L47" i="4"/>
  <c r="H35" i="4"/>
  <c r="K51" i="4"/>
  <c r="G44" i="4"/>
  <c r="F36" i="4"/>
  <c r="I53" i="4"/>
  <c r="J37" i="4"/>
  <c r="D43" i="4"/>
  <c r="L51" i="4"/>
  <c r="M43" i="4"/>
  <c r="M34" i="4"/>
  <c r="G33" i="4"/>
  <c r="G48" i="4"/>
  <c r="I48" i="4"/>
  <c r="E35" i="4"/>
  <c r="H37" i="4"/>
  <c r="K46" i="4"/>
  <c r="K39" i="4"/>
  <c r="D55" i="4"/>
  <c r="F45" i="4"/>
  <c r="J50" i="4"/>
  <c r="L50" i="4"/>
</calcChain>
</file>

<file path=xl/sharedStrings.xml><?xml version="1.0" encoding="utf-8"?>
<sst xmlns="http://schemas.openxmlformats.org/spreadsheetml/2006/main" count="507" uniqueCount="216">
  <si>
    <t>date</t>
  </si>
  <si>
    <t>BE_POPTF</t>
  </si>
  <si>
    <t>BG_POPTF</t>
  </si>
  <si>
    <t>CZ_POPTF</t>
  </si>
  <si>
    <t>DK_POPTF</t>
  </si>
  <si>
    <t>DE_POPTF</t>
  </si>
  <si>
    <t>EE_POPTF</t>
  </si>
  <si>
    <t>IE_POPTF</t>
  </si>
  <si>
    <t>EL_POPTF</t>
  </si>
  <si>
    <t>ES_POPTF</t>
  </si>
  <si>
    <t>FR_POPTF</t>
  </si>
  <si>
    <t>HR_POPTF</t>
  </si>
  <si>
    <t>IT_POPTF</t>
  </si>
  <si>
    <t>CY_POPTF</t>
  </si>
  <si>
    <t>LV_POPTF</t>
  </si>
  <si>
    <t>LT_POPTF</t>
  </si>
  <si>
    <t>LU_POPTF</t>
  </si>
  <si>
    <t>HU_POPTF</t>
  </si>
  <si>
    <t>MT_POPTF</t>
  </si>
  <si>
    <t>NL_POPTF</t>
  </si>
  <si>
    <t>AT_POPTF</t>
  </si>
  <si>
    <t>PL_POPTF</t>
  </si>
  <si>
    <t>PT_POPTF</t>
  </si>
  <si>
    <t>RO_POPTF</t>
  </si>
  <si>
    <t>SI_POPTF</t>
  </si>
  <si>
    <t>SK_POPTF</t>
  </si>
  <si>
    <t>FI_POPTF</t>
  </si>
  <si>
    <t>SE_POPTF</t>
  </si>
  <si>
    <t>UK_POPTF</t>
  </si>
  <si>
    <t>AT_POPAF</t>
  </si>
  <si>
    <t>BE_POPAF</t>
  </si>
  <si>
    <t>BG_POPAF</t>
  </si>
  <si>
    <t>CY_POPAF</t>
  </si>
  <si>
    <t>CZ_POPAF</t>
  </si>
  <si>
    <t>DE_POPAF</t>
  </si>
  <si>
    <t>DK_POPAF</t>
  </si>
  <si>
    <t>EE_POPAF</t>
  </si>
  <si>
    <t>EL_POPAF</t>
  </si>
  <si>
    <t>ES_POPAF</t>
  </si>
  <si>
    <t>FI_POPAF</t>
  </si>
  <si>
    <t>FR_POPAF</t>
  </si>
  <si>
    <t>HR_POPAF</t>
  </si>
  <si>
    <t>HU_POPAF</t>
  </si>
  <si>
    <t>IE_POPAF</t>
  </si>
  <si>
    <t>IT_POPAF</t>
  </si>
  <si>
    <t>LT_POPAF</t>
  </si>
  <si>
    <t>LU_POPAF</t>
  </si>
  <si>
    <t>LV_POPAF</t>
  </si>
  <si>
    <t>MT_POPAF</t>
  </si>
  <si>
    <t>NL_POPAF</t>
  </si>
  <si>
    <t>PL_POPAF</t>
  </si>
  <si>
    <t>PT_POPAF</t>
  </si>
  <si>
    <t>RO_POPAF</t>
  </si>
  <si>
    <t>SE_POPAF</t>
  </si>
  <si>
    <t>SI_POPAF</t>
  </si>
  <si>
    <t>SK_POPAF</t>
  </si>
  <si>
    <t>UK_POPAF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</si>
  <si>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</si>
  <si>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</si>
  <si>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</si>
  <si>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</si>
  <si>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</si>
  <si>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</si>
  <si>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</si>
  <si>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</si>
  <si>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</si>
  <si>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</si>
  <si>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</si>
  <si>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</si>
  <si>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</si>
  <si>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</si>
  <si>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</si>
  <si>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</si>
  <si>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</si>
  <si>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</si>
  <si>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</si>
  <si>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</si>
  <si>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</si>
  <si>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</si>
  <si>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</si>
  <si>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</si>
  <si>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</si>
  <si>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</si>
  <si>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</si>
  <si>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</si>
  <si>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</si>
  <si>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</si>
  <si>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</si>
  <si>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</si>
  <si>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</si>
  <si>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</si>
  <si>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</si>
  <si>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</si>
  <si>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</si>
  <si>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</si>
  <si>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</si>
  <si>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</si>
  <si>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</si>
  <si>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</si>
  <si>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</si>
  <si>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</si>
  <si>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</si>
  <si>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</si>
  <si>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</si>
  <si>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</si>
  <si>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</si>
  <si>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</si>
  <si>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</si>
  <si>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</si>
  <si>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</si>
  <si>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</si>
  <si>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</si>
  <si>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</si>
  <si>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</si>
  <si>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</si>
  <si>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</si>
  <si>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</si>
  <si>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</si>
  <si>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</si>
  <si>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</si>
  <si>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</si>
  <si>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</si>
  <si>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</si>
  <si>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YEAR</t>
  </si>
  <si>
    <t>US_POPTF</t>
  </si>
  <si>
    <t>US_POPAF</t>
  </si>
  <si>
    <t>SF22</t>
  </si>
  <si>
    <t>Baseline projections</t>
  </si>
  <si>
    <t>Annual</t>
  </si>
  <si>
    <t>Sheet 1</t>
  </si>
  <si>
    <t>Type of projection</t>
  </si>
  <si>
    <t>Time frequency</t>
  </si>
  <si>
    <t>Contents</t>
  </si>
  <si>
    <t>Eurostat</t>
  </si>
  <si>
    <t>Institutional source(s)</t>
  </si>
  <si>
    <t>26/09/2024 11:00</t>
  </si>
  <si>
    <t xml:space="preserve">Last change of data structure: </t>
  </si>
  <si>
    <t xml:space="preserve">Last update of data: </t>
  </si>
  <si>
    <t>-</t>
  </si>
  <si>
    <t xml:space="preserve">Description: </t>
  </si>
  <si>
    <t>Open in Data Browser</t>
  </si>
  <si>
    <t>Open product page</t>
  </si>
  <si>
    <t>Short-term population projections (2023-2050) [proj_stp24__custom_13026859]</t>
  </si>
  <si>
    <t>Time</t>
  </si>
  <si>
    <t>Sweden</t>
  </si>
  <si>
    <t>Geopolitical entity (reporting)</t>
  </si>
  <si>
    <t>Finland</t>
  </si>
  <si>
    <t>Slovakia</t>
  </si>
  <si>
    <t>Slovenia</t>
  </si>
  <si>
    <t>Romania</t>
  </si>
  <si>
    <t>Portugal</t>
  </si>
  <si>
    <t>Poland</t>
  </si>
  <si>
    <t>Austria</t>
  </si>
  <si>
    <t>Netherlands</t>
  </si>
  <si>
    <t>Malta</t>
  </si>
  <si>
    <t>Hungary</t>
  </si>
  <si>
    <t>Luxembourg</t>
  </si>
  <si>
    <t>Lithuania</t>
  </si>
  <si>
    <t>Latvia</t>
  </si>
  <si>
    <t>Cyprus</t>
  </si>
  <si>
    <t>Italy</t>
  </si>
  <si>
    <t>Croatia</t>
  </si>
  <si>
    <t>France</t>
  </si>
  <si>
    <t>Spain</t>
  </si>
  <si>
    <t>Greece</t>
  </si>
  <si>
    <t>Ireland</t>
  </si>
  <si>
    <t>Estonia</t>
  </si>
  <si>
    <t>Germany</t>
  </si>
  <si>
    <t>Denmark</t>
  </si>
  <si>
    <t>Czechia</t>
  </si>
  <si>
    <t>Bulgaria</t>
  </si>
  <si>
    <t>Belgium</t>
  </si>
  <si>
    <t>Population aged 15-74 years</t>
  </si>
  <si>
    <t>Demographic indicator</t>
  </si>
  <si>
    <t>Population on 1 January - total</t>
  </si>
  <si>
    <t>Label</t>
  </si>
  <si>
    <t>Position</t>
  </si>
  <si>
    <t>Dimension</t>
  </si>
  <si>
    <t>Structure</t>
  </si>
  <si>
    <t>not available</t>
  </si>
  <si>
    <t>:</t>
  </si>
  <si>
    <t>Special value</t>
  </si>
  <si>
    <t/>
  </si>
  <si>
    <t>GEO (Labels)</t>
  </si>
  <si>
    <t>INDIC_DE (Labels)</t>
  </si>
  <si>
    <t>TIME</t>
  </si>
  <si>
    <t xml:space="preserve">Last updated: </t>
  </si>
  <si>
    <t xml:space="preserve">Dataset: </t>
  </si>
  <si>
    <t>Data extracted on 26/09/2024 11:37:48 from [ESTAT]</t>
  </si>
  <si>
    <t>BE</t>
  </si>
  <si>
    <t>CZ</t>
  </si>
  <si>
    <t>DE</t>
  </si>
  <si>
    <t>ES</t>
  </si>
  <si>
    <t>FR</t>
  </si>
  <si>
    <t>IT</t>
  </si>
  <si>
    <t>CY</t>
  </si>
  <si>
    <t>LU</t>
  </si>
  <si>
    <t>HU</t>
  </si>
  <si>
    <t>RO</t>
  </si>
  <si>
    <t>FI</t>
  </si>
  <si>
    <t>BG</t>
  </si>
  <si>
    <t>DK</t>
  </si>
  <si>
    <t>EE</t>
  </si>
  <si>
    <t>IE</t>
  </si>
  <si>
    <t>EL</t>
  </si>
  <si>
    <t>HR</t>
  </si>
  <si>
    <t>LV</t>
  </si>
  <si>
    <t>LT</t>
  </si>
  <si>
    <t>MT</t>
  </si>
  <si>
    <t>NL</t>
  </si>
  <si>
    <t>AT</t>
  </si>
  <si>
    <t>PL</t>
  </si>
  <si>
    <t>PT</t>
  </si>
  <si>
    <t>SI</t>
  </si>
  <si>
    <t>SK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</si>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</sst>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Arial"/>
      <charset val="238"/>
    </font>
    <font>
      <sz val="11"/>
      <name val="Arial"/>
      <charset val="238"/>
    </font>
    <font>
      <sz val="9"/>
      <name val="Arial"/>
    </font>
    <font>
      <sz val="11"/>
      <color indexed="8"/>
      <name val="Calibri"/>
      <family val="2"/>
      <scheme val="minor"/>
    </font>
    <font>
      <u/>
      <sz val="9"/>
      <color indexed="12"/>
      <name val="Arial"/>
    </font>
    <font>
      <b/>
      <sz val="11"/>
      <name val="Arial"/>
    </font>
    <font>
      <b/>
      <sz val="9"/>
      <name val="Arial"/>
    </font>
    <font>
      <b/>
      <sz val="9"/>
      <color indexed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1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3" fontId="2" fillId="4" borderId="0" xfId="0" applyNumberFormat="1" applyFont="1" applyFill="1" applyAlignment="1">
      <alignment horizontal="right" vertical="center" shrinkToFit="1"/>
    </xf>
    <xf numFmtId="0" fontId="3" fillId="0" borderId="0" xfId="2"/>
    <xf numFmtId="0" fontId="2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2" fillId="0" borderId="0" xfId="2" applyFont="1" applyAlignment="1">
      <alignment horizontal="left" vertical="top" wrapText="1"/>
    </xf>
    <xf numFmtId="0" fontId="4" fillId="5" borderId="0" xfId="2" applyFont="1" applyFill="1" applyAlignment="1">
      <alignment horizontal="left" vertical="center"/>
    </xf>
    <xf numFmtId="0" fontId="2" fillId="5" borderId="0" xfId="2" applyFont="1" applyFill="1" applyAlignment="1">
      <alignment horizontal="left" vertical="center"/>
    </xf>
    <xf numFmtId="0" fontId="6" fillId="5" borderId="0" xfId="2" applyFont="1" applyFill="1" applyAlignment="1">
      <alignment horizontal="left" vertical="center"/>
    </xf>
    <xf numFmtId="0" fontId="5" fillId="5" borderId="0" xfId="2" applyFont="1" applyFill="1" applyAlignment="1">
      <alignment horizontal="left" vertical="center"/>
    </xf>
    <xf numFmtId="3" fontId="2" fillId="0" borderId="0" xfId="2" applyNumberFormat="1" applyFont="1" applyAlignment="1">
      <alignment horizontal="right" vertical="center" shrinkToFit="1"/>
    </xf>
    <xf numFmtId="0" fontId="6" fillId="6" borderId="1" xfId="2" applyFont="1" applyFill="1" applyBorder="1" applyAlignment="1">
      <alignment horizontal="left" vertical="center"/>
    </xf>
    <xf numFmtId="3" fontId="2" fillId="5" borderId="0" xfId="2" applyNumberFormat="1" applyFont="1" applyFill="1" applyAlignment="1">
      <alignment horizontal="right" vertical="center" shrinkToFit="1"/>
    </xf>
    <xf numFmtId="0" fontId="3" fillId="7" borderId="0" xfId="2" applyFill="1"/>
    <xf numFmtId="0" fontId="6" fillId="8" borderId="1" xfId="2" applyFont="1" applyFill="1" applyBorder="1" applyAlignment="1">
      <alignment horizontal="left" vertical="center"/>
    </xf>
    <xf numFmtId="0" fontId="7" fillId="9" borderId="1" xfId="2" applyFont="1" applyFill="1" applyBorder="1" applyAlignment="1">
      <alignment horizontal="left" vertical="center"/>
    </xf>
    <xf numFmtId="0" fontId="7" fillId="9" borderId="1" xfId="2" applyFont="1" applyFill="1" applyBorder="1" applyAlignment="1">
      <alignment horizontal="right" vertical="center"/>
    </xf>
    <xf numFmtId="0" fontId="6" fillId="8" borderId="0" xfId="2" applyFont="1" applyFill="1" applyBorder="1" applyAlignment="1">
      <alignment horizontal="left" vertical="center"/>
    </xf>
    <xf numFmtId="0" fontId="6" fillId="6" borderId="0" xfId="2" applyFont="1" applyFill="1" applyBorder="1" applyAlignment="1">
      <alignment horizontal="left" vertical="center"/>
    </xf>
    <xf numFmtId="3" fontId="2" fillId="10" borderId="0" xfId="0" applyNumberFormat="1" applyFont="1" applyFill="1" applyAlignment="1">
      <alignment horizontal="right" vertical="center" shrinkToFit="1"/>
    </xf>
    <xf numFmtId="0" fontId="2" fillId="0" borderId="0" xfId="2" applyFont="1" applyAlignment="1">
      <alignment horizontal="left" vertical="top" wrapText="1"/>
    </xf>
    <xf numFmtId="0" fontId="3" fillId="0" borderId="0" xfId="2"/>
    <xf numFmtId="0" fontId="7" fillId="9" borderId="1" xfId="2" applyFont="1" applyFill="1" applyBorder="1" applyAlignment="1">
      <alignment horizontal="right" vertical="center"/>
    </xf>
  </cellXfs>
  <cellStyles count="3">
    <cellStyle name="Normal" xfId="0" builtinId="0"/>
    <cellStyle name="Normal 2" xfId="2" xr:uid="{F391C4D7-7768-404D-8923-67FBF5712674}"/>
    <cellStyle name="Percent" xfId="1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149290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DC5741B-2E41-4655-B352-E711C58D6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0289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utput_Gaps_team/2022%20Spring/data_prep_before_forecast/POP-FRCST/europ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t"/>
      <sheetName val="popa"/>
    </sheetNames>
    <sheetDataSet>
      <sheetData sheetId="0" refreshError="1">
        <row r="1">
          <cell r="C1" t="str">
            <v>2020</v>
          </cell>
          <cell r="D1" t="str">
            <v>2021</v>
          </cell>
          <cell r="E1" t="str">
            <v>2022</v>
          </cell>
          <cell r="F1" t="str">
            <v>2023</v>
          </cell>
          <cell r="G1" t="str">
            <v>2024</v>
          </cell>
          <cell r="H1" t="str">
            <v>2025</v>
          </cell>
          <cell r="I1" t="str">
            <v>2026</v>
          </cell>
          <cell r="J1" t="str">
            <v>2027</v>
          </cell>
          <cell r="K1" t="str">
            <v>2028</v>
          </cell>
          <cell r="L1" t="str">
            <v>2029</v>
          </cell>
          <cell r="M1" t="str">
            <v>2030</v>
          </cell>
          <cell r="N1" t="str">
            <v>2031</v>
          </cell>
          <cell r="O1" t="str">
            <v>2032</v>
          </cell>
          <cell r="P1" t="str">
            <v>2033</v>
          </cell>
          <cell r="Q1" t="str">
            <v>2034</v>
          </cell>
          <cell r="R1" t="str">
            <v>2035</v>
          </cell>
          <cell r="S1" t="str">
            <v>2036</v>
          </cell>
          <cell r="T1" t="str">
            <v>2037</v>
          </cell>
          <cell r="U1" t="str">
            <v>2038</v>
          </cell>
          <cell r="V1" t="str">
            <v>2039</v>
          </cell>
          <cell r="W1" t="str">
            <v>2040</v>
          </cell>
          <cell r="X1" t="str">
            <v>2041</v>
          </cell>
          <cell r="Y1" t="str">
            <v>2042</v>
          </cell>
          <cell r="Z1" t="str">
            <v>2043</v>
          </cell>
          <cell r="AA1" t="str">
            <v>2044</v>
          </cell>
          <cell r="AB1" t="str">
            <v>2045</v>
          </cell>
          <cell r="AC1" t="str">
            <v>2046</v>
          </cell>
          <cell r="AD1" t="str">
            <v>2047</v>
          </cell>
          <cell r="AE1" t="str">
            <v>2048</v>
          </cell>
          <cell r="AF1" t="str">
            <v>2049</v>
          </cell>
          <cell r="AG1" t="str">
            <v>2050</v>
          </cell>
        </row>
        <row r="2">
          <cell r="A2" t="str">
            <v>BE_POPTF</v>
          </cell>
        </row>
        <row r="3">
          <cell r="A3" t="str">
            <v>BG_POPTF</v>
          </cell>
        </row>
        <row r="4">
          <cell r="A4" t="str">
            <v>CZ_POPTF</v>
          </cell>
        </row>
        <row r="5">
          <cell r="A5" t="str">
            <v>DK_POPTF</v>
          </cell>
        </row>
        <row r="6">
          <cell r="A6" t="str">
            <v>DE_POPTF</v>
          </cell>
        </row>
        <row r="7">
          <cell r="A7" t="str">
            <v>EE_POPTF</v>
          </cell>
        </row>
        <row r="8">
          <cell r="A8" t="str">
            <v>IE_POPTF</v>
          </cell>
        </row>
        <row r="9">
          <cell r="A9" t="str">
            <v>EL_POPTF</v>
          </cell>
        </row>
        <row r="10">
          <cell r="A10" t="str">
            <v>ES_POPTF</v>
          </cell>
        </row>
        <row r="11">
          <cell r="A11" t="str">
            <v>FR_POPTF</v>
          </cell>
        </row>
        <row r="12">
          <cell r="A12" t="str">
            <v>HR_POPTF</v>
          </cell>
        </row>
        <row r="13">
          <cell r="A13" t="str">
            <v>IT_POPTF</v>
          </cell>
        </row>
        <row r="14">
          <cell r="A14" t="str">
            <v>CY_POPTF</v>
          </cell>
        </row>
        <row r="15">
          <cell r="A15" t="str">
            <v>LV_POPTF</v>
          </cell>
        </row>
        <row r="16">
          <cell r="A16" t="str">
            <v>LT_POPTF</v>
          </cell>
        </row>
        <row r="17">
          <cell r="A17" t="str">
            <v>LU_POPTF</v>
          </cell>
        </row>
        <row r="18">
          <cell r="A18" t="str">
            <v>HU_POPTF</v>
          </cell>
        </row>
        <row r="19">
          <cell r="A19" t="str">
            <v>MT_POPTF</v>
          </cell>
        </row>
        <row r="20">
          <cell r="A20" t="str">
            <v>NL_POPTF</v>
          </cell>
        </row>
        <row r="21">
          <cell r="A21" t="str">
            <v>AT_POPTF</v>
          </cell>
        </row>
        <row r="22">
          <cell r="A22" t="str">
            <v>PL_POPTF</v>
          </cell>
        </row>
        <row r="23">
          <cell r="A23" t="str">
            <v>PT_POPTF</v>
          </cell>
        </row>
        <row r="24">
          <cell r="A24" t="str">
            <v>RO_POPTF</v>
          </cell>
        </row>
        <row r="25">
          <cell r="A25" t="str">
            <v>SI_POPTF</v>
          </cell>
        </row>
        <row r="26">
          <cell r="A26" t="str">
            <v>SK_POPTF</v>
          </cell>
        </row>
        <row r="27">
          <cell r="A27" t="str">
            <v>FI_POPTF</v>
          </cell>
        </row>
        <row r="28">
          <cell r="A28" t="str">
            <v>SE_POPTF</v>
          </cell>
        </row>
      </sheetData>
      <sheetData sheetId="1" refreshError="1">
        <row r="2">
          <cell r="A2" t="str">
            <v>AT_POPAF</v>
          </cell>
        </row>
        <row r="3">
          <cell r="A3" t="str">
            <v>BE_POPAF</v>
          </cell>
        </row>
        <row r="4">
          <cell r="A4" t="str">
            <v>BG_POPAF</v>
          </cell>
        </row>
        <row r="5">
          <cell r="A5" t="str">
            <v>CY_POPAF</v>
          </cell>
        </row>
        <row r="6">
          <cell r="A6" t="str">
            <v>CZ_POPAF</v>
          </cell>
        </row>
        <row r="7">
          <cell r="A7" t="str">
            <v>DE_POPAF</v>
          </cell>
        </row>
        <row r="8">
          <cell r="A8" t="str">
            <v>DK_POPAF</v>
          </cell>
        </row>
        <row r="9">
          <cell r="A9" t="str">
            <v>EE_POPAF</v>
          </cell>
        </row>
        <row r="10">
          <cell r="A10" t="str">
            <v>EL_POPAF</v>
          </cell>
        </row>
        <row r="11">
          <cell r="A11" t="str">
            <v>ES_POPAF</v>
          </cell>
        </row>
        <row r="12">
          <cell r="A12" t="str">
            <v>FI_POPAF</v>
          </cell>
        </row>
        <row r="13">
          <cell r="A13" t="str">
            <v>FR_POPAF</v>
          </cell>
        </row>
        <row r="14">
          <cell r="A14" t="str">
            <v>HR_POPAF</v>
          </cell>
        </row>
        <row r="15">
          <cell r="A15" t="str">
            <v>HU_POPAF</v>
          </cell>
        </row>
        <row r="16">
          <cell r="A16" t="str">
            <v>IE_POPAF</v>
          </cell>
        </row>
        <row r="17">
          <cell r="A17" t="str">
            <v>IT_POPAF</v>
          </cell>
        </row>
        <row r="18">
          <cell r="A18" t="str">
            <v>LT_POPAF</v>
          </cell>
        </row>
        <row r="19">
          <cell r="A19" t="str">
            <v>LU_POPAF</v>
          </cell>
        </row>
        <row r="20">
          <cell r="A20" t="str">
            <v>LV_POPAF</v>
          </cell>
        </row>
        <row r="21">
          <cell r="A21" t="str">
            <v>MT_POPAF</v>
          </cell>
        </row>
        <row r="22">
          <cell r="A22" t="str">
            <v>NL_POPAF</v>
          </cell>
        </row>
        <row r="23">
          <cell r="A23" t="str">
            <v>PL_POPAF</v>
          </cell>
        </row>
        <row r="24">
          <cell r="A24" t="str">
            <v>PT_POPAF</v>
          </cell>
        </row>
        <row r="25">
          <cell r="A25" t="str">
            <v>RO_POPAF</v>
          </cell>
        </row>
        <row r="26">
          <cell r="A26" t="str">
            <v>SE_POPAF</v>
          </cell>
        </row>
        <row r="27">
          <cell r="A27" t="str">
            <v>SI_POPAF</v>
          </cell>
        </row>
        <row r="28">
          <cell r="A28" t="str">
            <v>SK_POPAF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oj_stp24__custom_13026859/default/table" TargetMode="External"/><Relationship Id="rId1" Type="http://schemas.openxmlformats.org/officeDocument/2006/relationships/hyperlink" Target="https://ec.europa.eu/eurostat/databrowser/product/page/proj_stp24__custom_13026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D59"/>
  <sheetViews>
    <sheetView tabSelected="1" zoomScale="115" zoomScaleNormal="115"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E39" sqref="E39"/>
    </sheetView>
  </sheetViews>
  <sheetFormatPr defaultRowHeight="14.25" x14ac:dyDescent="0.2"/>
  <cols>
    <col min="1" max="1" width="12.125" bestFit="1" customWidth="1"/>
    <col min="2" max="42" width="13.5" bestFit="1" customWidth="1"/>
    <col min="43" max="67" width="12.375" bestFit="1" customWidth="1"/>
  </cols>
  <sheetData>
    <row r="1" spans="1:82" x14ac:dyDescent="0.2">
      <c r="A1" t="s">
        <v>0</v>
      </c>
      <c r="B1" t="str">
        <f>[1]popt!C1</f>
        <v>2020</v>
      </c>
      <c r="C1" t="str">
        <f>[1]popt!D1</f>
        <v>2021</v>
      </c>
      <c r="D1" t="str">
        <f>[1]popt!E1</f>
        <v>2022</v>
      </c>
      <c r="E1" t="str">
        <f>[1]popt!F1</f>
        <v>2023</v>
      </c>
      <c r="F1" t="str">
        <f>[1]popt!G1</f>
        <v>2024</v>
      </c>
      <c r="G1" t="str">
        <f>[1]popt!H1</f>
        <v>2025</v>
      </c>
      <c r="H1" t="str">
        <f>[1]popt!I1</f>
        <v>2026</v>
      </c>
      <c r="I1" t="str">
        <f>[1]popt!J1</f>
        <v>2027</v>
      </c>
      <c r="J1" t="str">
        <f>[1]popt!K1</f>
        <v>2028</v>
      </c>
      <c r="K1" t="str">
        <f>[1]popt!L1</f>
        <v>2029</v>
      </c>
      <c r="L1" t="str">
        <f>[1]popt!M1</f>
        <v>2030</v>
      </c>
      <c r="M1" t="str">
        <f>[1]popt!N1</f>
        <v>2031</v>
      </c>
      <c r="N1" t="str">
        <f>[1]popt!O1</f>
        <v>2032</v>
      </c>
      <c r="O1" t="str">
        <f>[1]popt!P1</f>
        <v>2033</v>
      </c>
      <c r="P1" t="str">
        <f>[1]popt!Q1</f>
        <v>2034</v>
      </c>
      <c r="Q1" t="str">
        <f>[1]popt!R1</f>
        <v>2035</v>
      </c>
      <c r="R1" t="str">
        <f>[1]popt!S1</f>
        <v>2036</v>
      </c>
      <c r="S1" t="str">
        <f>[1]popt!T1</f>
        <v>2037</v>
      </c>
      <c r="T1" t="str">
        <f>[1]popt!U1</f>
        <v>2038</v>
      </c>
      <c r="U1" t="str">
        <f>[1]popt!V1</f>
        <v>2039</v>
      </c>
      <c r="V1" t="str">
        <f>[1]popt!W1</f>
        <v>2040</v>
      </c>
      <c r="W1" t="str">
        <f>[1]popt!X1</f>
        <v>2041</v>
      </c>
      <c r="X1" t="str">
        <f>[1]popt!Y1</f>
        <v>2042</v>
      </c>
      <c r="Y1" t="str">
        <f>[1]popt!Z1</f>
        <v>2043</v>
      </c>
      <c r="Z1" t="str">
        <f>[1]popt!AA1</f>
        <v>2044</v>
      </c>
      <c r="AA1" t="str">
        <f>[1]popt!AB1</f>
        <v>2045</v>
      </c>
      <c r="AB1" t="str">
        <f>[1]popt!AC1</f>
        <v>2046</v>
      </c>
      <c r="AC1" t="str">
        <f>[1]popt!AD1</f>
        <v>2047</v>
      </c>
      <c r="AD1" t="str">
        <f>[1]popt!AE1</f>
        <v>2048</v>
      </c>
      <c r="AE1" t="str">
        <f>[1]popt!AF1</f>
        <v>2049</v>
      </c>
      <c r="AF1" t="str">
        <f>[1]popt!AG1</f>
        <v>2050</v>
      </c>
    </row>
    <row r="2" spans="1:82" x14ac:dyDescent="0.2">
      <c r="A2" t="str">
        <f>[1]popt!A2</f>
        <v>BE_POPTF</v>
      </c>
      <c r="B2" s="7"/>
      <c r="C2" s="7"/>
      <c r="D2" s="7"/>
      <c r="E2" s="27">
        <f>VLOOKUP($A2,data_eurostat!$D$10:$AF$63,E$1-2021,0)</f>
        <v>11742796</v>
      </c>
      <c r="F2" s="27">
        <f>VLOOKUP($A2,data_eurostat!$D$10:$AF$63,F$1-2021,0)</f>
        <v>11832049</v>
      </c>
      <c r="G2" s="27">
        <f>VLOOKUP($A2,data_eurostat!$D$10:$AF$63,G$1-2021,0)</f>
        <v>11911715</v>
      </c>
      <c r="H2" s="27">
        <f>VLOOKUP($A2,data_eurostat!$D$10:$AF$63,H$1-2021,0)</f>
        <v>11964462</v>
      </c>
      <c r="I2" s="27">
        <f>VLOOKUP($A2,data_eurostat!$D$10:$AF$63,I$1-2021,0)</f>
        <v>12010844</v>
      </c>
      <c r="J2" s="27">
        <f>VLOOKUP($A2,data_eurostat!$D$10:$AF$63,J$1-2021,0)</f>
        <v>12050723</v>
      </c>
      <c r="K2" s="27">
        <f>VLOOKUP($A2,data_eurostat!$D$10:$AF$63,K$1-2021,0)</f>
        <v>12088569</v>
      </c>
      <c r="L2" s="27">
        <f>VLOOKUP($A2,data_eurostat!$D$10:$AF$63,L$1-2021,0)</f>
        <v>12125941</v>
      </c>
      <c r="M2" s="27">
        <f>VLOOKUP($A2,data_eurostat!$D$10:$AF$63,M$1-2021,0)</f>
        <v>12162415</v>
      </c>
      <c r="N2" s="27">
        <f>VLOOKUP($A2,data_eurostat!$D$10:$AF$63,N$1-2021,0)</f>
        <v>12197829</v>
      </c>
      <c r="O2" s="27">
        <f>VLOOKUP($A2,data_eurostat!$D$10:$AF$63,O$1-2021,0)</f>
        <v>12232397</v>
      </c>
      <c r="P2" s="27">
        <f>VLOOKUP($A2,data_eurostat!$D$10:$AF$63,P$1-2021,0)</f>
        <v>12266160</v>
      </c>
      <c r="Q2" s="27">
        <f>VLOOKUP($A2,data_eurostat!$D$10:$AF$63,Q$1-2021,0)</f>
        <v>12299244</v>
      </c>
      <c r="R2" s="27">
        <f>VLOOKUP($A2,data_eurostat!$D$10:$AF$63,R$1-2021,0)</f>
        <v>12334646</v>
      </c>
      <c r="S2" s="27">
        <f>VLOOKUP($A2,data_eurostat!$D$10:$AF$63,S$1-2021,0)</f>
        <v>12368452</v>
      </c>
      <c r="T2" s="27">
        <f>VLOOKUP($A2,data_eurostat!$D$10:$AF$63,T$1-2021,0)</f>
        <v>12401366</v>
      </c>
      <c r="U2" s="27">
        <f>VLOOKUP($A2,data_eurostat!$D$10:$AF$63,U$1-2021,0)</f>
        <v>12432983</v>
      </c>
      <c r="V2" s="27">
        <f>VLOOKUP($A2,data_eurostat!$D$10:$AF$63,V$1-2021,0)</f>
        <v>12462960</v>
      </c>
      <c r="W2" s="27">
        <f>VLOOKUP($A2,data_eurostat!$D$10:$AF$63,W$1-2021,0)</f>
        <v>12491479</v>
      </c>
      <c r="X2" s="27">
        <f>VLOOKUP($A2,data_eurostat!$D$10:$AF$63,X$1-2021,0)</f>
        <v>12518419</v>
      </c>
      <c r="Y2" s="27">
        <f>VLOOKUP($A2,data_eurostat!$D$10:$AF$63,Y$1-2021,0)</f>
        <v>12543772</v>
      </c>
      <c r="Z2" s="27">
        <f>VLOOKUP($A2,data_eurostat!$D$10:$AF$63,Z$1-2021,0)</f>
        <v>12567579</v>
      </c>
      <c r="AA2" s="27">
        <f>VLOOKUP($A2,data_eurostat!$D$10:$AF$63,AA$1-2021,0)</f>
        <v>12589807</v>
      </c>
      <c r="AB2" s="27">
        <f>VLOOKUP($A2,data_eurostat!$D$10:$AF$63,AB$1-2021,0)</f>
        <v>12610483</v>
      </c>
      <c r="AC2" s="27">
        <f>VLOOKUP($A2,data_eurostat!$D$10:$AF$63,AC$1-2021,0)</f>
        <v>12629135</v>
      </c>
      <c r="AD2" s="27">
        <f>VLOOKUP($A2,data_eurostat!$D$10:$AF$63,AD$1-2021,0)</f>
        <v>12645839</v>
      </c>
      <c r="AE2" s="27">
        <f>VLOOKUP($A2,data_eurostat!$D$10:$AF$63,AE$1-2021,0)</f>
        <v>12660483</v>
      </c>
      <c r="AF2" s="27">
        <f>VLOOKUP($A2,data_eurostat!$D$10:$AF$63,AF$1-2021,0)</f>
        <v>12673403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x14ac:dyDescent="0.2">
      <c r="A3" t="str">
        <f>[1]popt!A3</f>
        <v>BG_POPTF</v>
      </c>
      <c r="B3" s="7"/>
      <c r="C3" s="7"/>
      <c r="D3" s="7"/>
      <c r="E3" s="27">
        <f>VLOOKUP($A3,data_eurostat!$D$10:$AF$63,E$1-2021,0)</f>
        <v>6544931</v>
      </c>
      <c r="F3" s="27">
        <f>VLOOKUP($A3,data_eurostat!$D$10:$AF$63,F$1-2021,0)</f>
        <v>6499494</v>
      </c>
      <c r="G3" s="27">
        <f>VLOOKUP($A3,data_eurostat!$D$10:$AF$63,G$1-2021,0)</f>
        <v>6487952</v>
      </c>
      <c r="H3" s="27">
        <f>VLOOKUP($A3,data_eurostat!$D$10:$AF$63,H$1-2021,0)</f>
        <v>6453443</v>
      </c>
      <c r="I3" s="27">
        <f>VLOOKUP($A3,data_eurostat!$D$10:$AF$63,I$1-2021,0)</f>
        <v>6415179</v>
      </c>
      <c r="J3" s="27">
        <f>VLOOKUP($A3,data_eurostat!$D$10:$AF$63,J$1-2021,0)</f>
        <v>6372543</v>
      </c>
      <c r="K3" s="27">
        <f>VLOOKUP($A3,data_eurostat!$D$10:$AF$63,K$1-2021,0)</f>
        <v>6330684</v>
      </c>
      <c r="L3" s="27">
        <f>VLOOKUP($A3,data_eurostat!$D$10:$AF$63,L$1-2021,0)</f>
        <v>6288700</v>
      </c>
      <c r="M3" s="27">
        <f>VLOOKUP($A3,data_eurostat!$D$10:$AF$63,M$1-2021,0)</f>
        <v>6246867</v>
      </c>
      <c r="N3" s="27">
        <f>VLOOKUP($A3,data_eurostat!$D$10:$AF$63,N$1-2021,0)</f>
        <v>6205150</v>
      </c>
      <c r="O3" s="27">
        <f>VLOOKUP($A3,data_eurostat!$D$10:$AF$63,O$1-2021,0)</f>
        <v>6164096</v>
      </c>
      <c r="P3" s="27">
        <f>VLOOKUP($A3,data_eurostat!$D$10:$AF$63,P$1-2021,0)</f>
        <v>6124767</v>
      </c>
      <c r="Q3" s="27">
        <f>VLOOKUP($A3,data_eurostat!$D$10:$AF$63,Q$1-2021,0)</f>
        <v>6086233</v>
      </c>
      <c r="R3" s="27">
        <f>VLOOKUP($A3,data_eurostat!$D$10:$AF$63,R$1-2021,0)</f>
        <v>6049367</v>
      </c>
      <c r="S3" s="27">
        <f>VLOOKUP($A3,data_eurostat!$D$10:$AF$63,S$1-2021,0)</f>
        <v>6012866</v>
      </c>
      <c r="T3" s="27">
        <f>VLOOKUP($A3,data_eurostat!$D$10:$AF$63,T$1-2021,0)</f>
        <v>5976735</v>
      </c>
      <c r="U3" s="27">
        <f>VLOOKUP($A3,data_eurostat!$D$10:$AF$63,U$1-2021,0)</f>
        <v>5941818</v>
      </c>
      <c r="V3" s="27">
        <f>VLOOKUP($A3,data_eurostat!$D$10:$AF$63,V$1-2021,0)</f>
        <v>5908694</v>
      </c>
      <c r="W3" s="27">
        <f>VLOOKUP($A3,data_eurostat!$D$10:$AF$63,W$1-2021,0)</f>
        <v>5876000</v>
      </c>
      <c r="X3" s="27">
        <f>VLOOKUP($A3,data_eurostat!$D$10:$AF$63,X$1-2021,0)</f>
        <v>5843904</v>
      </c>
      <c r="Y3" s="27">
        <f>VLOOKUP($A3,data_eurostat!$D$10:$AF$63,Y$1-2021,0)</f>
        <v>5812286</v>
      </c>
      <c r="Z3" s="27">
        <f>VLOOKUP($A3,data_eurostat!$D$10:$AF$63,Z$1-2021,0)</f>
        <v>5780953</v>
      </c>
      <c r="AA3" s="27">
        <f>VLOOKUP($A3,data_eurostat!$D$10:$AF$63,AA$1-2021,0)</f>
        <v>5750206</v>
      </c>
      <c r="AB3" s="27">
        <f>VLOOKUP($A3,data_eurostat!$D$10:$AF$63,AB$1-2021,0)</f>
        <v>5719620</v>
      </c>
      <c r="AC3" s="27">
        <f>VLOOKUP($A3,data_eurostat!$D$10:$AF$63,AC$1-2021,0)</f>
        <v>5689433</v>
      </c>
      <c r="AD3" s="27">
        <f>VLOOKUP($A3,data_eurostat!$D$10:$AF$63,AD$1-2021,0)</f>
        <v>5659650</v>
      </c>
      <c r="AE3" s="27">
        <f>VLOOKUP($A3,data_eurostat!$D$10:$AF$63,AE$1-2021,0)</f>
        <v>5630361</v>
      </c>
      <c r="AF3" s="27">
        <f>VLOOKUP($A3,data_eurostat!$D$10:$AF$63,AF$1-2021,0)</f>
        <v>5601495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x14ac:dyDescent="0.2">
      <c r="A4" t="str">
        <f>[1]popt!A4</f>
        <v>CZ_POPTF</v>
      </c>
      <c r="B4" s="7"/>
      <c r="C4" s="7"/>
      <c r="D4" s="7"/>
      <c r="E4" s="27">
        <f>VLOOKUP($A4,data_eurostat!$D$10:$AF$63,E$1-2021,0)</f>
        <v>10827529</v>
      </c>
      <c r="F4" s="27">
        <f>VLOOKUP($A4,data_eurostat!$D$10:$AF$63,F$1-2021,0)</f>
        <v>10900555</v>
      </c>
      <c r="G4" s="27">
        <f>VLOOKUP($A4,data_eurostat!$D$10:$AF$63,G$1-2021,0)</f>
        <v>10890826</v>
      </c>
      <c r="H4" s="27">
        <f>VLOOKUP($A4,data_eurostat!$D$10:$AF$63,H$1-2021,0)</f>
        <v>10864885</v>
      </c>
      <c r="I4" s="27">
        <f>VLOOKUP($A4,data_eurostat!$D$10:$AF$63,I$1-2021,0)</f>
        <v>10839981</v>
      </c>
      <c r="J4" s="27">
        <f>VLOOKUP($A4,data_eurostat!$D$10:$AF$63,J$1-2021,0)</f>
        <v>10815675</v>
      </c>
      <c r="K4" s="27">
        <f>VLOOKUP($A4,data_eurostat!$D$10:$AF$63,K$1-2021,0)</f>
        <v>10791798</v>
      </c>
      <c r="L4" s="27">
        <f>VLOOKUP($A4,data_eurostat!$D$10:$AF$63,L$1-2021,0)</f>
        <v>10766896</v>
      </c>
      <c r="M4" s="27">
        <f>VLOOKUP($A4,data_eurostat!$D$10:$AF$63,M$1-2021,0)</f>
        <v>10740478</v>
      </c>
      <c r="N4" s="27">
        <f>VLOOKUP($A4,data_eurostat!$D$10:$AF$63,N$1-2021,0)</f>
        <v>10712776</v>
      </c>
      <c r="O4" s="27">
        <f>VLOOKUP($A4,data_eurostat!$D$10:$AF$63,O$1-2021,0)</f>
        <v>10684596</v>
      </c>
      <c r="P4" s="27">
        <f>VLOOKUP($A4,data_eurostat!$D$10:$AF$63,P$1-2021,0)</f>
        <v>10656459</v>
      </c>
      <c r="Q4" s="27">
        <f>VLOOKUP($A4,data_eurostat!$D$10:$AF$63,Q$1-2021,0)</f>
        <v>10629488</v>
      </c>
      <c r="R4" s="27">
        <f>VLOOKUP($A4,data_eurostat!$D$10:$AF$63,R$1-2021,0)</f>
        <v>10615050</v>
      </c>
      <c r="S4" s="27">
        <f>VLOOKUP($A4,data_eurostat!$D$10:$AF$63,S$1-2021,0)</f>
        <v>10600978</v>
      </c>
      <c r="T4" s="27">
        <f>VLOOKUP($A4,data_eurostat!$D$10:$AF$63,T$1-2021,0)</f>
        <v>10589359</v>
      </c>
      <c r="U4" s="27">
        <f>VLOOKUP($A4,data_eurostat!$D$10:$AF$63,U$1-2021,0)</f>
        <v>10580631</v>
      </c>
      <c r="V4" s="27">
        <f>VLOOKUP($A4,data_eurostat!$D$10:$AF$63,V$1-2021,0)</f>
        <v>10573325</v>
      </c>
      <c r="W4" s="27">
        <f>VLOOKUP($A4,data_eurostat!$D$10:$AF$63,W$1-2021,0)</f>
        <v>10566613</v>
      </c>
      <c r="X4" s="27">
        <f>VLOOKUP($A4,data_eurostat!$D$10:$AF$63,X$1-2021,0)</f>
        <v>10560279</v>
      </c>
      <c r="Y4" s="27">
        <f>VLOOKUP($A4,data_eurostat!$D$10:$AF$63,Y$1-2021,0)</f>
        <v>10554157</v>
      </c>
      <c r="Z4" s="27">
        <f>VLOOKUP($A4,data_eurostat!$D$10:$AF$63,Z$1-2021,0)</f>
        <v>10548399</v>
      </c>
      <c r="AA4" s="27">
        <f>VLOOKUP($A4,data_eurostat!$D$10:$AF$63,AA$1-2021,0)</f>
        <v>10542647</v>
      </c>
      <c r="AB4" s="27">
        <f>VLOOKUP($A4,data_eurostat!$D$10:$AF$63,AB$1-2021,0)</f>
        <v>10535836</v>
      </c>
      <c r="AC4" s="27">
        <f>VLOOKUP($A4,data_eurostat!$D$10:$AF$63,AC$1-2021,0)</f>
        <v>10528441</v>
      </c>
      <c r="AD4" s="27">
        <f>VLOOKUP($A4,data_eurostat!$D$10:$AF$63,AD$1-2021,0)</f>
        <v>10521043</v>
      </c>
      <c r="AE4" s="27">
        <f>VLOOKUP($A4,data_eurostat!$D$10:$AF$63,AE$1-2021,0)</f>
        <v>10513209</v>
      </c>
      <c r="AF4" s="27">
        <f>VLOOKUP($A4,data_eurostat!$D$10:$AF$63,AF$1-2021,0)</f>
        <v>10504795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x14ac:dyDescent="0.2">
      <c r="A5" t="str">
        <f>[1]popt!A5</f>
        <v>DK_POPTF</v>
      </c>
      <c r="B5" s="7"/>
      <c r="C5" s="7"/>
      <c r="D5" s="7"/>
      <c r="E5" s="27">
        <f>VLOOKUP($A5,data_eurostat!$D$10:$AF$63,E$1-2021,0)</f>
        <v>5932654</v>
      </c>
      <c r="F5" s="27">
        <f>VLOOKUP($A5,data_eurostat!$D$10:$AF$63,F$1-2021,0)</f>
        <v>5961249</v>
      </c>
      <c r="G5" s="27">
        <f>VLOOKUP($A5,data_eurostat!$D$10:$AF$63,G$1-2021,0)</f>
        <v>5988583</v>
      </c>
      <c r="H5" s="27">
        <f>VLOOKUP($A5,data_eurostat!$D$10:$AF$63,H$1-2021,0)</f>
        <v>6012733</v>
      </c>
      <c r="I5" s="27">
        <f>VLOOKUP($A5,data_eurostat!$D$10:$AF$63,I$1-2021,0)</f>
        <v>6033979</v>
      </c>
      <c r="J5" s="27">
        <f>VLOOKUP($A5,data_eurostat!$D$10:$AF$63,J$1-2021,0)</f>
        <v>6052294</v>
      </c>
      <c r="K5" s="27">
        <f>VLOOKUP($A5,data_eurostat!$D$10:$AF$63,K$1-2021,0)</f>
        <v>6070553</v>
      </c>
      <c r="L5" s="27">
        <f>VLOOKUP($A5,data_eurostat!$D$10:$AF$63,L$1-2021,0)</f>
        <v>6088094</v>
      </c>
      <c r="M5" s="27">
        <f>VLOOKUP($A5,data_eurostat!$D$10:$AF$63,M$1-2021,0)</f>
        <v>6104802</v>
      </c>
      <c r="N5" s="27">
        <f>VLOOKUP($A5,data_eurostat!$D$10:$AF$63,N$1-2021,0)</f>
        <v>6120475</v>
      </c>
      <c r="O5" s="27">
        <f>VLOOKUP($A5,data_eurostat!$D$10:$AF$63,O$1-2021,0)</f>
        <v>6134684</v>
      </c>
      <c r="P5" s="27">
        <f>VLOOKUP($A5,data_eurostat!$D$10:$AF$63,P$1-2021,0)</f>
        <v>6147481</v>
      </c>
      <c r="Q5" s="27">
        <f>VLOOKUP($A5,data_eurostat!$D$10:$AF$63,Q$1-2021,0)</f>
        <v>6159303</v>
      </c>
      <c r="R5" s="27">
        <f>VLOOKUP($A5,data_eurostat!$D$10:$AF$63,R$1-2021,0)</f>
        <v>6171528</v>
      </c>
      <c r="S5" s="27">
        <f>VLOOKUP($A5,data_eurostat!$D$10:$AF$63,S$1-2021,0)</f>
        <v>6182981</v>
      </c>
      <c r="T5" s="27">
        <f>VLOOKUP($A5,data_eurostat!$D$10:$AF$63,T$1-2021,0)</f>
        <v>6194297</v>
      </c>
      <c r="U5" s="27">
        <f>VLOOKUP($A5,data_eurostat!$D$10:$AF$63,U$1-2021,0)</f>
        <v>6204715</v>
      </c>
      <c r="V5" s="27">
        <f>VLOOKUP($A5,data_eurostat!$D$10:$AF$63,V$1-2021,0)</f>
        <v>6214256</v>
      </c>
      <c r="W5" s="27">
        <f>VLOOKUP($A5,data_eurostat!$D$10:$AF$63,W$1-2021,0)</f>
        <v>6223216</v>
      </c>
      <c r="X5" s="27">
        <f>VLOOKUP($A5,data_eurostat!$D$10:$AF$63,X$1-2021,0)</f>
        <v>6231227</v>
      </c>
      <c r="Y5" s="27">
        <f>VLOOKUP($A5,data_eurostat!$D$10:$AF$63,Y$1-2021,0)</f>
        <v>6238699</v>
      </c>
      <c r="Z5" s="27">
        <f>VLOOKUP($A5,data_eurostat!$D$10:$AF$63,Z$1-2021,0)</f>
        <v>6245711</v>
      </c>
      <c r="AA5" s="27">
        <f>VLOOKUP($A5,data_eurostat!$D$10:$AF$63,AA$1-2021,0)</f>
        <v>6252325</v>
      </c>
      <c r="AB5" s="27">
        <f>VLOOKUP($A5,data_eurostat!$D$10:$AF$63,AB$1-2021,0)</f>
        <v>6258570</v>
      </c>
      <c r="AC5" s="27">
        <f>VLOOKUP($A5,data_eurostat!$D$10:$AF$63,AC$1-2021,0)</f>
        <v>6264440</v>
      </c>
      <c r="AD5" s="27">
        <f>VLOOKUP($A5,data_eurostat!$D$10:$AF$63,AD$1-2021,0)</f>
        <v>6269897</v>
      </c>
      <c r="AE5" s="27">
        <f>VLOOKUP($A5,data_eurostat!$D$10:$AF$63,AE$1-2021,0)</f>
        <v>6274896</v>
      </c>
      <c r="AF5" s="27">
        <f>VLOOKUP($A5,data_eurostat!$D$10:$AF$63,AF$1-2021,0)</f>
        <v>6279381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x14ac:dyDescent="0.2">
      <c r="A6" t="str">
        <f>[1]popt!A6</f>
        <v>DE_POPTF</v>
      </c>
      <c r="B6" s="7"/>
      <c r="C6" s="7"/>
      <c r="D6" s="7"/>
      <c r="E6" s="27">
        <f>VLOOKUP($A6,data_eurostat!$D$10:$AF$63,E$1-2021,0)</f>
        <v>83118501</v>
      </c>
      <c r="F6" s="27">
        <f>VLOOKUP($A6,data_eurostat!$D$10:$AF$63,F$1-2021,0)</f>
        <v>83445000</v>
      </c>
      <c r="G6" s="27">
        <f>VLOOKUP($A6,data_eurostat!$D$10:$AF$63,G$1-2021,0)</f>
        <v>83813997</v>
      </c>
      <c r="H6" s="27">
        <f>VLOOKUP($A6,data_eurostat!$D$10:$AF$63,H$1-2021,0)</f>
        <v>83939569</v>
      </c>
      <c r="I6" s="27">
        <f>VLOOKUP($A6,data_eurostat!$D$10:$AF$63,I$1-2021,0)</f>
        <v>83995717</v>
      </c>
      <c r="J6" s="27">
        <f>VLOOKUP($A6,data_eurostat!$D$10:$AF$63,J$1-2021,0)</f>
        <v>83975579</v>
      </c>
      <c r="K6" s="27">
        <f>VLOOKUP($A6,data_eurostat!$D$10:$AF$63,K$1-2021,0)</f>
        <v>83955036</v>
      </c>
      <c r="L6" s="27">
        <f>VLOOKUP($A6,data_eurostat!$D$10:$AF$63,L$1-2021,0)</f>
        <v>83933644</v>
      </c>
      <c r="M6" s="27">
        <f>VLOOKUP($A6,data_eurostat!$D$10:$AF$63,M$1-2021,0)</f>
        <v>83911009</v>
      </c>
      <c r="N6" s="27">
        <f>VLOOKUP($A6,data_eurostat!$D$10:$AF$63,N$1-2021,0)</f>
        <v>83888060</v>
      </c>
      <c r="O6" s="27">
        <f>VLOOKUP($A6,data_eurostat!$D$10:$AF$63,O$1-2021,0)</f>
        <v>83865229</v>
      </c>
      <c r="P6" s="27">
        <f>VLOOKUP($A6,data_eurostat!$D$10:$AF$63,P$1-2021,0)</f>
        <v>83843352</v>
      </c>
      <c r="Q6" s="27">
        <f>VLOOKUP($A6,data_eurostat!$D$10:$AF$63,Q$1-2021,0)</f>
        <v>83820608</v>
      </c>
      <c r="R6" s="27">
        <f>VLOOKUP($A6,data_eurostat!$D$10:$AF$63,R$1-2021,0)</f>
        <v>83828094</v>
      </c>
      <c r="S6" s="27">
        <f>VLOOKUP($A6,data_eurostat!$D$10:$AF$63,S$1-2021,0)</f>
        <v>83829294</v>
      </c>
      <c r="T6" s="27">
        <f>VLOOKUP($A6,data_eurostat!$D$10:$AF$63,T$1-2021,0)</f>
        <v>83826516</v>
      </c>
      <c r="U6" s="27">
        <f>VLOOKUP($A6,data_eurostat!$D$10:$AF$63,U$1-2021,0)</f>
        <v>83819910</v>
      </c>
      <c r="V6" s="27">
        <f>VLOOKUP($A6,data_eurostat!$D$10:$AF$63,V$1-2021,0)</f>
        <v>83809560</v>
      </c>
      <c r="W6" s="27">
        <f>VLOOKUP($A6,data_eurostat!$D$10:$AF$63,W$1-2021,0)</f>
        <v>83794545</v>
      </c>
      <c r="X6" s="27">
        <f>VLOOKUP($A6,data_eurostat!$D$10:$AF$63,X$1-2021,0)</f>
        <v>83774275</v>
      </c>
      <c r="Y6" s="27">
        <f>VLOOKUP($A6,data_eurostat!$D$10:$AF$63,Y$1-2021,0)</f>
        <v>83749124</v>
      </c>
      <c r="Z6" s="27">
        <f>VLOOKUP($A6,data_eurostat!$D$10:$AF$63,Z$1-2021,0)</f>
        <v>83718286</v>
      </c>
      <c r="AA6" s="27">
        <f>VLOOKUP($A6,data_eurostat!$D$10:$AF$63,AA$1-2021,0)</f>
        <v>83682560</v>
      </c>
      <c r="AB6" s="27">
        <f>VLOOKUP($A6,data_eurostat!$D$10:$AF$63,AB$1-2021,0)</f>
        <v>83645110</v>
      </c>
      <c r="AC6" s="27">
        <f>VLOOKUP($A6,data_eurostat!$D$10:$AF$63,AC$1-2021,0)</f>
        <v>83600475</v>
      </c>
      <c r="AD6" s="27">
        <f>VLOOKUP($A6,data_eurostat!$D$10:$AF$63,AD$1-2021,0)</f>
        <v>83549624</v>
      </c>
      <c r="AE6" s="27">
        <f>VLOOKUP($A6,data_eurostat!$D$10:$AF$63,AE$1-2021,0)</f>
        <v>83490310</v>
      </c>
      <c r="AF6" s="27">
        <f>VLOOKUP($A6,data_eurostat!$D$10:$AF$63,AF$1-2021,0)</f>
        <v>83424094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2">
      <c r="A7" t="str">
        <f>[1]popt!A7</f>
        <v>EE_POPTF</v>
      </c>
      <c r="B7" s="7"/>
      <c r="C7" s="7"/>
      <c r="D7" s="7"/>
      <c r="E7" s="27">
        <f>VLOOKUP($A7,data_eurostat!$D$10:$AF$63,E$1-2021,0)</f>
        <v>1365884</v>
      </c>
      <c r="F7" s="27">
        <f>VLOOKUP($A7,data_eurostat!$D$10:$AF$63,F$1-2021,0)</f>
        <v>1374687</v>
      </c>
      <c r="G7" s="27">
        <f>VLOOKUP($A7,data_eurostat!$D$10:$AF$63,G$1-2021,0)</f>
        <v>1371536</v>
      </c>
      <c r="H7" s="27">
        <f>VLOOKUP($A7,data_eurostat!$D$10:$AF$63,H$1-2021,0)</f>
        <v>1369302</v>
      </c>
      <c r="I7" s="27">
        <f>VLOOKUP($A7,data_eurostat!$D$10:$AF$63,I$1-2021,0)</f>
        <v>1366422</v>
      </c>
      <c r="J7" s="27">
        <f>VLOOKUP($A7,data_eurostat!$D$10:$AF$63,J$1-2021,0)</f>
        <v>1362876</v>
      </c>
      <c r="K7" s="27">
        <f>VLOOKUP($A7,data_eurostat!$D$10:$AF$63,K$1-2021,0)</f>
        <v>1359329</v>
      </c>
      <c r="L7" s="27">
        <f>VLOOKUP($A7,data_eurostat!$D$10:$AF$63,L$1-2021,0)</f>
        <v>1355793</v>
      </c>
      <c r="M7" s="27">
        <f>VLOOKUP($A7,data_eurostat!$D$10:$AF$63,M$1-2021,0)</f>
        <v>1352186</v>
      </c>
      <c r="N7" s="27">
        <f>VLOOKUP($A7,data_eurostat!$D$10:$AF$63,N$1-2021,0)</f>
        <v>1348610</v>
      </c>
      <c r="O7" s="27">
        <f>VLOOKUP($A7,data_eurostat!$D$10:$AF$63,O$1-2021,0)</f>
        <v>1345128</v>
      </c>
      <c r="P7" s="27">
        <f>VLOOKUP($A7,data_eurostat!$D$10:$AF$63,P$1-2021,0)</f>
        <v>1341758</v>
      </c>
      <c r="Q7" s="27">
        <f>VLOOKUP($A7,data_eurostat!$D$10:$AF$63,Q$1-2021,0)</f>
        <v>1338583</v>
      </c>
      <c r="R7" s="27">
        <f>VLOOKUP($A7,data_eurostat!$D$10:$AF$63,R$1-2021,0)</f>
        <v>1336655</v>
      </c>
      <c r="S7" s="27">
        <f>VLOOKUP($A7,data_eurostat!$D$10:$AF$63,S$1-2021,0)</f>
        <v>1334821</v>
      </c>
      <c r="T7" s="27">
        <f>VLOOKUP($A7,data_eurostat!$D$10:$AF$63,T$1-2021,0)</f>
        <v>1333204</v>
      </c>
      <c r="U7" s="27">
        <f>VLOOKUP($A7,data_eurostat!$D$10:$AF$63,U$1-2021,0)</f>
        <v>1331654</v>
      </c>
      <c r="V7" s="27">
        <f>VLOOKUP($A7,data_eurostat!$D$10:$AF$63,V$1-2021,0)</f>
        <v>1330111</v>
      </c>
      <c r="W7" s="27">
        <f>VLOOKUP($A7,data_eurostat!$D$10:$AF$63,W$1-2021,0)</f>
        <v>1328585</v>
      </c>
      <c r="X7" s="27">
        <f>VLOOKUP($A7,data_eurostat!$D$10:$AF$63,X$1-2021,0)</f>
        <v>1327079</v>
      </c>
      <c r="Y7" s="27">
        <f>VLOOKUP($A7,data_eurostat!$D$10:$AF$63,Y$1-2021,0)</f>
        <v>1325562</v>
      </c>
      <c r="Z7" s="27">
        <f>VLOOKUP($A7,data_eurostat!$D$10:$AF$63,Z$1-2021,0)</f>
        <v>1323973</v>
      </c>
      <c r="AA7" s="27">
        <f>VLOOKUP($A7,data_eurostat!$D$10:$AF$63,AA$1-2021,0)</f>
        <v>1322347</v>
      </c>
      <c r="AB7" s="27">
        <f>VLOOKUP($A7,data_eurostat!$D$10:$AF$63,AB$1-2021,0)</f>
        <v>1320693</v>
      </c>
      <c r="AC7" s="27">
        <f>VLOOKUP($A7,data_eurostat!$D$10:$AF$63,AC$1-2021,0)</f>
        <v>1318988</v>
      </c>
      <c r="AD7" s="27">
        <f>VLOOKUP($A7,data_eurostat!$D$10:$AF$63,AD$1-2021,0)</f>
        <v>1317232</v>
      </c>
      <c r="AE7" s="27">
        <f>VLOOKUP($A7,data_eurostat!$D$10:$AF$63,AE$1-2021,0)</f>
        <v>1315480</v>
      </c>
      <c r="AF7" s="27">
        <f>VLOOKUP($A7,data_eurostat!$D$10:$AF$63,AF$1-2021,0)</f>
        <v>1313669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2">
      <c r="A8" t="str">
        <f>[1]popt!A8</f>
        <v>IE_POPTF</v>
      </c>
      <c r="B8" s="7"/>
      <c r="C8" s="7"/>
      <c r="D8" s="7"/>
      <c r="E8" s="27">
        <f>VLOOKUP($A8,data_eurostat!$D$10:$AF$63,E$1-2021,0)</f>
        <v>5271395</v>
      </c>
      <c r="F8" s="27">
        <f>VLOOKUP($A8,data_eurostat!$D$10:$AF$63,F$1-2021,0)</f>
        <v>5343805</v>
      </c>
      <c r="G8" s="27">
        <f>VLOOKUP($A8,data_eurostat!$D$10:$AF$63,G$1-2021,0)</f>
        <v>5407528</v>
      </c>
      <c r="H8" s="27">
        <f>VLOOKUP($A8,data_eurostat!$D$10:$AF$63,H$1-2021,0)</f>
        <v>5447903</v>
      </c>
      <c r="I8" s="27">
        <f>VLOOKUP($A8,data_eurostat!$D$10:$AF$63,I$1-2021,0)</f>
        <v>5485591</v>
      </c>
      <c r="J8" s="27">
        <f>VLOOKUP($A8,data_eurostat!$D$10:$AF$63,J$1-2021,0)</f>
        <v>5520536</v>
      </c>
      <c r="K8" s="27">
        <f>VLOOKUP($A8,data_eurostat!$D$10:$AF$63,K$1-2021,0)</f>
        <v>5553828</v>
      </c>
      <c r="L8" s="27">
        <f>VLOOKUP($A8,data_eurostat!$D$10:$AF$63,L$1-2021,0)</f>
        <v>5586364</v>
      </c>
      <c r="M8" s="27">
        <f>VLOOKUP($A8,data_eurostat!$D$10:$AF$63,M$1-2021,0)</f>
        <v>5618078</v>
      </c>
      <c r="N8" s="27">
        <f>VLOOKUP($A8,data_eurostat!$D$10:$AF$63,N$1-2021,0)</f>
        <v>5648931</v>
      </c>
      <c r="O8" s="27">
        <f>VLOOKUP($A8,data_eurostat!$D$10:$AF$63,O$1-2021,0)</f>
        <v>5678933</v>
      </c>
      <c r="P8" s="27">
        <f>VLOOKUP($A8,data_eurostat!$D$10:$AF$63,P$1-2021,0)</f>
        <v>5708143</v>
      </c>
      <c r="Q8" s="27">
        <f>VLOOKUP($A8,data_eurostat!$D$10:$AF$63,Q$1-2021,0)</f>
        <v>5736656</v>
      </c>
      <c r="R8" s="27">
        <f>VLOOKUP($A8,data_eurostat!$D$10:$AF$63,R$1-2021,0)</f>
        <v>5768256</v>
      </c>
      <c r="S8" s="27">
        <f>VLOOKUP($A8,data_eurostat!$D$10:$AF$63,S$1-2021,0)</f>
        <v>5799022</v>
      </c>
      <c r="T8" s="27">
        <f>VLOOKUP($A8,data_eurostat!$D$10:$AF$63,T$1-2021,0)</f>
        <v>5829464</v>
      </c>
      <c r="U8" s="27">
        <f>VLOOKUP($A8,data_eurostat!$D$10:$AF$63,U$1-2021,0)</f>
        <v>5859532</v>
      </c>
      <c r="V8" s="27">
        <f>VLOOKUP($A8,data_eurostat!$D$10:$AF$63,V$1-2021,0)</f>
        <v>5889170</v>
      </c>
      <c r="W8" s="27">
        <f>VLOOKUP($A8,data_eurostat!$D$10:$AF$63,W$1-2021,0)</f>
        <v>5918430</v>
      </c>
      <c r="X8" s="27">
        <f>VLOOKUP($A8,data_eurostat!$D$10:$AF$63,X$1-2021,0)</f>
        <v>5947287</v>
      </c>
      <c r="Y8" s="27">
        <f>VLOOKUP($A8,data_eurostat!$D$10:$AF$63,Y$1-2021,0)</f>
        <v>5975773</v>
      </c>
      <c r="Z8" s="27">
        <f>VLOOKUP($A8,data_eurostat!$D$10:$AF$63,Z$1-2021,0)</f>
        <v>6003846</v>
      </c>
      <c r="AA8" s="27">
        <f>VLOOKUP($A8,data_eurostat!$D$10:$AF$63,AA$1-2021,0)</f>
        <v>6031625</v>
      </c>
      <c r="AB8" s="27">
        <f>VLOOKUP($A8,data_eurostat!$D$10:$AF$63,AB$1-2021,0)</f>
        <v>6058611</v>
      </c>
      <c r="AC8" s="27">
        <f>VLOOKUP($A8,data_eurostat!$D$10:$AF$63,AC$1-2021,0)</f>
        <v>6084395</v>
      </c>
      <c r="AD8" s="27">
        <f>VLOOKUP($A8,data_eurostat!$D$10:$AF$63,AD$1-2021,0)</f>
        <v>6109175</v>
      </c>
      <c r="AE8" s="27">
        <f>VLOOKUP($A8,data_eurostat!$D$10:$AF$63,AE$1-2021,0)</f>
        <v>6132332</v>
      </c>
      <c r="AF8" s="27">
        <f>VLOOKUP($A8,data_eurostat!$D$10:$AF$63,AF$1-2021,0)</f>
        <v>6153874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2">
      <c r="A9" t="str">
        <f>[1]popt!A9</f>
        <v>EL_POPTF</v>
      </c>
      <c r="B9" s="7"/>
      <c r="C9" s="7"/>
      <c r="D9" s="7"/>
      <c r="E9" s="27">
        <f>VLOOKUP($A9,data_eurostat!$D$10:$AF$63,E$1-2021,0)</f>
        <v>10413982</v>
      </c>
      <c r="F9" s="27">
        <f>VLOOKUP($A9,data_eurostat!$D$10:$AF$63,F$1-2021,0)</f>
        <v>10397193</v>
      </c>
      <c r="G9" s="27">
        <f>VLOOKUP($A9,data_eurostat!$D$10:$AF$63,G$1-2021,0)</f>
        <v>10344746</v>
      </c>
      <c r="H9" s="27">
        <f>VLOOKUP($A9,data_eurostat!$D$10:$AF$63,H$1-2021,0)</f>
        <v>10281050</v>
      </c>
      <c r="I9" s="27">
        <f>VLOOKUP($A9,data_eurostat!$D$10:$AF$63,I$1-2021,0)</f>
        <v>10215575</v>
      </c>
      <c r="J9" s="27">
        <f>VLOOKUP($A9,data_eurostat!$D$10:$AF$63,J$1-2021,0)</f>
        <v>10148648</v>
      </c>
      <c r="K9" s="27">
        <f>VLOOKUP($A9,data_eurostat!$D$10:$AF$63,K$1-2021,0)</f>
        <v>10086609</v>
      </c>
      <c r="L9" s="27">
        <f>VLOOKUP($A9,data_eurostat!$D$10:$AF$63,L$1-2021,0)</f>
        <v>10025864</v>
      </c>
      <c r="M9" s="27">
        <f>VLOOKUP($A9,data_eurostat!$D$10:$AF$63,M$1-2021,0)</f>
        <v>9966308</v>
      </c>
      <c r="N9" s="27">
        <f>VLOOKUP($A9,data_eurostat!$D$10:$AF$63,N$1-2021,0)</f>
        <v>9908181</v>
      </c>
      <c r="O9" s="27">
        <f>VLOOKUP($A9,data_eurostat!$D$10:$AF$63,O$1-2021,0)</f>
        <v>9851751</v>
      </c>
      <c r="P9" s="27">
        <f>VLOOKUP($A9,data_eurostat!$D$10:$AF$63,P$1-2021,0)</f>
        <v>9796693</v>
      </c>
      <c r="Q9" s="27">
        <f>VLOOKUP($A9,data_eurostat!$D$10:$AF$63,Q$1-2021,0)</f>
        <v>9742220</v>
      </c>
      <c r="R9" s="27">
        <f>VLOOKUP($A9,data_eurostat!$D$10:$AF$63,R$1-2021,0)</f>
        <v>9689452</v>
      </c>
      <c r="S9" s="27">
        <f>VLOOKUP($A9,data_eurostat!$D$10:$AF$63,S$1-2021,0)</f>
        <v>9637419</v>
      </c>
      <c r="T9" s="27">
        <f>VLOOKUP($A9,data_eurostat!$D$10:$AF$63,T$1-2021,0)</f>
        <v>9586405</v>
      </c>
      <c r="U9" s="27">
        <f>VLOOKUP($A9,data_eurostat!$D$10:$AF$63,U$1-2021,0)</f>
        <v>9536472</v>
      </c>
      <c r="V9" s="27">
        <f>VLOOKUP($A9,data_eurostat!$D$10:$AF$63,V$1-2021,0)</f>
        <v>9487573</v>
      </c>
      <c r="W9" s="27">
        <f>VLOOKUP($A9,data_eurostat!$D$10:$AF$63,W$1-2021,0)</f>
        <v>9438898</v>
      </c>
      <c r="X9" s="27">
        <f>VLOOKUP($A9,data_eurostat!$D$10:$AF$63,X$1-2021,0)</f>
        <v>9390380</v>
      </c>
      <c r="Y9" s="27">
        <f>VLOOKUP($A9,data_eurostat!$D$10:$AF$63,Y$1-2021,0)</f>
        <v>9341648</v>
      </c>
      <c r="Z9" s="27">
        <f>VLOOKUP($A9,data_eurostat!$D$10:$AF$63,Z$1-2021,0)</f>
        <v>9292854</v>
      </c>
      <c r="AA9" s="27">
        <f>VLOOKUP($A9,data_eurostat!$D$10:$AF$63,AA$1-2021,0)</f>
        <v>9243922</v>
      </c>
      <c r="AB9" s="27">
        <f>VLOOKUP($A9,data_eurostat!$D$10:$AF$63,AB$1-2021,0)</f>
        <v>9194690</v>
      </c>
      <c r="AC9" s="27">
        <f>VLOOKUP($A9,data_eurostat!$D$10:$AF$63,AC$1-2021,0)</f>
        <v>9144416</v>
      </c>
      <c r="AD9" s="27">
        <f>VLOOKUP($A9,data_eurostat!$D$10:$AF$63,AD$1-2021,0)</f>
        <v>9093492</v>
      </c>
      <c r="AE9" s="27">
        <f>VLOOKUP($A9,data_eurostat!$D$10:$AF$63,AE$1-2021,0)</f>
        <v>9041807</v>
      </c>
      <c r="AF9" s="27">
        <f>VLOOKUP($A9,data_eurostat!$D$10:$AF$63,AF$1-2021,0)</f>
        <v>8988949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x14ac:dyDescent="0.2">
      <c r="A10" t="str">
        <f>[1]popt!A10</f>
        <v>ES_POPTF</v>
      </c>
      <c r="B10" s="7"/>
      <c r="C10" s="7"/>
      <c r="D10" s="7"/>
      <c r="E10" s="27">
        <f>VLOOKUP($A10,data_eurostat!$D$10:$AF$63,E$1-2021,0)</f>
        <v>48085361</v>
      </c>
      <c r="F10" s="27">
        <f>VLOOKUP($A10,data_eurostat!$D$10:$AF$63,F$1-2021,0)</f>
        <v>48610458</v>
      </c>
      <c r="G10" s="27">
        <f>VLOOKUP($A10,data_eurostat!$D$10:$AF$63,G$1-2021,0)</f>
        <v>49055897</v>
      </c>
      <c r="H10" s="27">
        <f>VLOOKUP($A10,data_eurostat!$D$10:$AF$63,H$1-2021,0)</f>
        <v>49388542</v>
      </c>
      <c r="I10" s="27">
        <f>VLOOKUP($A10,data_eurostat!$D$10:$AF$63,I$1-2021,0)</f>
        <v>49653994</v>
      </c>
      <c r="J10" s="27">
        <f>VLOOKUP($A10,data_eurostat!$D$10:$AF$63,J$1-2021,0)</f>
        <v>49852117</v>
      </c>
      <c r="K10" s="27">
        <f>VLOOKUP($A10,data_eurostat!$D$10:$AF$63,K$1-2021,0)</f>
        <v>50040564</v>
      </c>
      <c r="L10" s="27">
        <f>VLOOKUP($A10,data_eurostat!$D$10:$AF$63,L$1-2021,0)</f>
        <v>50228237</v>
      </c>
      <c r="M10" s="27">
        <f>VLOOKUP($A10,data_eurostat!$D$10:$AF$63,M$1-2021,0)</f>
        <v>50412019</v>
      </c>
      <c r="N10" s="27">
        <f>VLOOKUP($A10,data_eurostat!$D$10:$AF$63,N$1-2021,0)</f>
        <v>50593636</v>
      </c>
      <c r="O10" s="27">
        <f>VLOOKUP($A10,data_eurostat!$D$10:$AF$63,O$1-2021,0)</f>
        <v>50774999</v>
      </c>
      <c r="P10" s="27">
        <f>VLOOKUP($A10,data_eurostat!$D$10:$AF$63,P$1-2021,0)</f>
        <v>50953943</v>
      </c>
      <c r="Q10" s="27">
        <f>VLOOKUP($A10,data_eurostat!$D$10:$AF$63,Q$1-2021,0)</f>
        <v>51130469</v>
      </c>
      <c r="R10" s="27">
        <f>VLOOKUP($A10,data_eurostat!$D$10:$AF$63,R$1-2021,0)</f>
        <v>51309940</v>
      </c>
      <c r="S10" s="27">
        <f>VLOOKUP($A10,data_eurostat!$D$10:$AF$63,S$1-2021,0)</f>
        <v>51483885</v>
      </c>
      <c r="T10" s="27">
        <f>VLOOKUP($A10,data_eurostat!$D$10:$AF$63,T$1-2021,0)</f>
        <v>51653490</v>
      </c>
      <c r="U10" s="27">
        <f>VLOOKUP($A10,data_eurostat!$D$10:$AF$63,U$1-2021,0)</f>
        <v>51816464</v>
      </c>
      <c r="V10" s="27">
        <f>VLOOKUP($A10,data_eurostat!$D$10:$AF$63,V$1-2021,0)</f>
        <v>51972612</v>
      </c>
      <c r="W10" s="27">
        <f>VLOOKUP($A10,data_eurostat!$D$10:$AF$63,W$1-2021,0)</f>
        <v>52120635</v>
      </c>
      <c r="X10" s="27">
        <f>VLOOKUP($A10,data_eurostat!$D$10:$AF$63,X$1-2021,0)</f>
        <v>52260028</v>
      </c>
      <c r="Y10" s="27">
        <f>VLOOKUP($A10,data_eurostat!$D$10:$AF$63,Y$1-2021,0)</f>
        <v>52388247</v>
      </c>
      <c r="Z10" s="27">
        <f>VLOOKUP($A10,data_eurostat!$D$10:$AF$63,Z$1-2021,0)</f>
        <v>52505058</v>
      </c>
      <c r="AA10" s="27">
        <f>VLOOKUP($A10,data_eurostat!$D$10:$AF$63,AA$1-2021,0)</f>
        <v>52608040</v>
      </c>
      <c r="AB10" s="27">
        <f>VLOOKUP($A10,data_eurostat!$D$10:$AF$63,AB$1-2021,0)</f>
        <v>52697959</v>
      </c>
      <c r="AC10" s="27">
        <f>VLOOKUP($A10,data_eurostat!$D$10:$AF$63,AC$1-2021,0)</f>
        <v>52773385</v>
      </c>
      <c r="AD10" s="27">
        <f>VLOOKUP($A10,data_eurostat!$D$10:$AF$63,AD$1-2021,0)</f>
        <v>52834367</v>
      </c>
      <c r="AE10" s="27">
        <f>VLOOKUP($A10,data_eurostat!$D$10:$AF$63,AE$1-2021,0)</f>
        <v>52880039</v>
      </c>
      <c r="AF10" s="27">
        <f>VLOOKUP($A10,data_eurostat!$D$10:$AF$63,AF$1-2021,0)</f>
        <v>52911773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2">
      <c r="A11" t="str">
        <f>[1]popt!A11</f>
        <v>FR_POPTF</v>
      </c>
      <c r="B11" s="7"/>
      <c r="C11" s="7"/>
      <c r="D11" s="7"/>
      <c r="E11" s="27">
        <f>VLOOKUP($A11,data_eurostat!$D$10:$AF$63,E$1-2021,0)</f>
        <v>68172977</v>
      </c>
      <c r="F11" s="27">
        <f>VLOOKUP($A11,data_eurostat!$D$10:$AF$63,F$1-2021,0)</f>
        <v>68401997</v>
      </c>
      <c r="G11" s="27">
        <f>VLOOKUP($A11,data_eurostat!$D$10:$AF$63,G$1-2021,0)</f>
        <v>68608043</v>
      </c>
      <c r="H11" s="27">
        <f>VLOOKUP($A11,data_eurostat!$D$10:$AF$63,H$1-2021,0)</f>
        <v>68816000</v>
      </c>
      <c r="I11" s="27">
        <f>VLOOKUP($A11,data_eurostat!$D$10:$AF$63,I$1-2021,0)</f>
        <v>69018296</v>
      </c>
      <c r="J11" s="27">
        <f>VLOOKUP($A11,data_eurostat!$D$10:$AF$63,J$1-2021,0)</f>
        <v>69215616</v>
      </c>
      <c r="K11" s="27">
        <f>VLOOKUP($A11,data_eurostat!$D$10:$AF$63,K$1-2021,0)</f>
        <v>69404727</v>
      </c>
      <c r="L11" s="27">
        <f>VLOOKUP($A11,data_eurostat!$D$10:$AF$63,L$1-2021,0)</f>
        <v>69589304</v>
      </c>
      <c r="M11" s="27">
        <f>VLOOKUP($A11,data_eurostat!$D$10:$AF$63,M$1-2021,0)</f>
        <v>69769565</v>
      </c>
      <c r="N11" s="27">
        <f>VLOOKUP($A11,data_eurostat!$D$10:$AF$63,N$1-2021,0)</f>
        <v>69946723</v>
      </c>
      <c r="O11" s="27">
        <f>VLOOKUP($A11,data_eurostat!$D$10:$AF$63,O$1-2021,0)</f>
        <v>70118941</v>
      </c>
      <c r="P11" s="27">
        <f>VLOOKUP($A11,data_eurostat!$D$10:$AF$63,P$1-2021,0)</f>
        <v>70287762</v>
      </c>
      <c r="Q11" s="27">
        <f>VLOOKUP($A11,data_eurostat!$D$10:$AF$63,Q$1-2021,0)</f>
        <v>70453460</v>
      </c>
      <c r="R11" s="27">
        <f>VLOOKUP($A11,data_eurostat!$D$10:$AF$63,R$1-2021,0)</f>
        <v>70619418</v>
      </c>
      <c r="S11" s="27">
        <f>VLOOKUP($A11,data_eurostat!$D$10:$AF$63,S$1-2021,0)</f>
        <v>70780962</v>
      </c>
      <c r="T11" s="27">
        <f>VLOOKUP($A11,data_eurostat!$D$10:$AF$63,T$1-2021,0)</f>
        <v>70938606</v>
      </c>
      <c r="U11" s="27">
        <f>VLOOKUP($A11,data_eurostat!$D$10:$AF$63,U$1-2021,0)</f>
        <v>71087510</v>
      </c>
      <c r="V11" s="27">
        <f>VLOOKUP($A11,data_eurostat!$D$10:$AF$63,V$1-2021,0)</f>
        <v>71220943</v>
      </c>
      <c r="W11" s="27">
        <f>VLOOKUP($A11,data_eurostat!$D$10:$AF$63,W$1-2021,0)</f>
        <v>71342365</v>
      </c>
      <c r="X11" s="27">
        <f>VLOOKUP($A11,data_eurostat!$D$10:$AF$63,X$1-2021,0)</f>
        <v>71453859</v>
      </c>
      <c r="Y11" s="27">
        <f>VLOOKUP($A11,data_eurostat!$D$10:$AF$63,Y$1-2021,0)</f>
        <v>71557080</v>
      </c>
      <c r="Z11" s="27">
        <f>VLOOKUP($A11,data_eurostat!$D$10:$AF$63,Z$1-2021,0)</f>
        <v>71651006</v>
      </c>
      <c r="AA11" s="27">
        <f>VLOOKUP($A11,data_eurostat!$D$10:$AF$63,AA$1-2021,0)</f>
        <v>71736495</v>
      </c>
      <c r="AB11" s="27">
        <f>VLOOKUP($A11,data_eurostat!$D$10:$AF$63,AB$1-2021,0)</f>
        <v>71817188</v>
      </c>
      <c r="AC11" s="27">
        <f>VLOOKUP($A11,data_eurostat!$D$10:$AF$63,AC$1-2021,0)</f>
        <v>71887291</v>
      </c>
      <c r="AD11" s="27">
        <f>VLOOKUP($A11,data_eurostat!$D$10:$AF$63,AD$1-2021,0)</f>
        <v>71948049</v>
      </c>
      <c r="AE11" s="27">
        <f>VLOOKUP($A11,data_eurostat!$D$10:$AF$63,AE$1-2021,0)</f>
        <v>71997112</v>
      </c>
      <c r="AF11" s="27">
        <f>VLOOKUP($A11,data_eurostat!$D$10:$AF$63,AF$1-2021,0)</f>
        <v>72039010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2">
      <c r="A12" t="str">
        <f>[1]popt!A12</f>
        <v>HR_POPTF</v>
      </c>
      <c r="B12" s="7"/>
      <c r="C12" s="7"/>
      <c r="D12" s="7"/>
      <c r="E12" s="27">
        <f>VLOOKUP($A12,data_eurostat!$D$10:$AF$63,E$1-2021,0)</f>
        <v>3850894</v>
      </c>
      <c r="F12" s="27">
        <f>VLOOKUP($A12,data_eurostat!$D$10:$AF$63,F$1-2021,0)</f>
        <v>3861967</v>
      </c>
      <c r="G12" s="27">
        <f>VLOOKUP($A12,data_eurostat!$D$10:$AF$63,G$1-2021,0)</f>
        <v>3846017</v>
      </c>
      <c r="H12" s="27">
        <f>VLOOKUP($A12,data_eurostat!$D$10:$AF$63,H$1-2021,0)</f>
        <v>3823802</v>
      </c>
      <c r="I12" s="27">
        <f>VLOOKUP($A12,data_eurostat!$D$10:$AF$63,I$1-2021,0)</f>
        <v>3800359</v>
      </c>
      <c r="J12" s="27">
        <f>VLOOKUP($A12,data_eurostat!$D$10:$AF$63,J$1-2021,0)</f>
        <v>3775435</v>
      </c>
      <c r="K12" s="27">
        <f>VLOOKUP($A12,data_eurostat!$D$10:$AF$63,K$1-2021,0)</f>
        <v>3750966</v>
      </c>
      <c r="L12" s="27">
        <f>VLOOKUP($A12,data_eurostat!$D$10:$AF$63,L$1-2021,0)</f>
        <v>3726678</v>
      </c>
      <c r="M12" s="27">
        <f>VLOOKUP($A12,data_eurostat!$D$10:$AF$63,M$1-2021,0)</f>
        <v>3702937</v>
      </c>
      <c r="N12" s="27">
        <f>VLOOKUP($A12,data_eurostat!$D$10:$AF$63,N$1-2021,0)</f>
        <v>3679294</v>
      </c>
      <c r="O12" s="27">
        <f>VLOOKUP($A12,data_eurostat!$D$10:$AF$63,O$1-2021,0)</f>
        <v>3655606</v>
      </c>
      <c r="P12" s="27">
        <f>VLOOKUP($A12,data_eurostat!$D$10:$AF$63,P$1-2021,0)</f>
        <v>3631769</v>
      </c>
      <c r="Q12" s="27">
        <f>VLOOKUP($A12,data_eurostat!$D$10:$AF$63,Q$1-2021,0)</f>
        <v>3607966</v>
      </c>
      <c r="R12" s="27">
        <f>VLOOKUP($A12,data_eurostat!$D$10:$AF$63,R$1-2021,0)</f>
        <v>3584718</v>
      </c>
      <c r="S12" s="27">
        <f>VLOOKUP($A12,data_eurostat!$D$10:$AF$63,S$1-2021,0)</f>
        <v>3561541</v>
      </c>
      <c r="T12" s="27">
        <f>VLOOKUP($A12,data_eurostat!$D$10:$AF$63,T$1-2021,0)</f>
        <v>3538584</v>
      </c>
      <c r="U12" s="27">
        <f>VLOOKUP($A12,data_eurostat!$D$10:$AF$63,U$1-2021,0)</f>
        <v>3515782</v>
      </c>
      <c r="V12" s="27">
        <f>VLOOKUP($A12,data_eurostat!$D$10:$AF$63,V$1-2021,0)</f>
        <v>3492961</v>
      </c>
      <c r="W12" s="27">
        <f>VLOOKUP($A12,data_eurostat!$D$10:$AF$63,W$1-2021,0)</f>
        <v>3470213</v>
      </c>
      <c r="X12" s="27">
        <f>VLOOKUP($A12,data_eurostat!$D$10:$AF$63,X$1-2021,0)</f>
        <v>3447581</v>
      </c>
      <c r="Y12" s="27">
        <f>VLOOKUP($A12,data_eurostat!$D$10:$AF$63,Y$1-2021,0)</f>
        <v>3425086</v>
      </c>
      <c r="Z12" s="27">
        <f>VLOOKUP($A12,data_eurostat!$D$10:$AF$63,Z$1-2021,0)</f>
        <v>3402765</v>
      </c>
      <c r="AA12" s="27">
        <f>VLOOKUP($A12,data_eurostat!$D$10:$AF$63,AA$1-2021,0)</f>
        <v>3380726</v>
      </c>
      <c r="AB12" s="27">
        <f>VLOOKUP($A12,data_eurostat!$D$10:$AF$63,AB$1-2021,0)</f>
        <v>3358900</v>
      </c>
      <c r="AC12" s="27">
        <f>VLOOKUP($A12,data_eurostat!$D$10:$AF$63,AC$1-2021,0)</f>
        <v>3337282</v>
      </c>
      <c r="AD12" s="27">
        <f>VLOOKUP($A12,data_eurostat!$D$10:$AF$63,AD$1-2021,0)</f>
        <v>3316022</v>
      </c>
      <c r="AE12" s="27">
        <f>VLOOKUP($A12,data_eurostat!$D$10:$AF$63,AE$1-2021,0)</f>
        <v>3295110</v>
      </c>
      <c r="AF12" s="27">
        <f>VLOOKUP($A12,data_eurostat!$D$10:$AF$63,AF$1-2021,0)</f>
        <v>3274676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2">
      <c r="A13" t="str">
        <f>[1]popt!A13</f>
        <v>IT_POPTF</v>
      </c>
      <c r="B13" s="7"/>
      <c r="C13" s="7"/>
      <c r="D13" s="7"/>
      <c r="E13" s="27">
        <f>VLOOKUP($A13,data_eurostat!$D$10:$AF$63,E$1-2021,0)</f>
        <v>58997201</v>
      </c>
      <c r="F13" s="27">
        <f>VLOOKUP($A13,data_eurostat!$D$10:$AF$63,F$1-2021,0)</f>
        <v>58989749</v>
      </c>
      <c r="G13" s="27">
        <f>VLOOKUP($A13,data_eurostat!$D$10:$AF$63,G$1-2021,0)</f>
        <v>58965448</v>
      </c>
      <c r="H13" s="27">
        <f>VLOOKUP($A13,data_eurostat!$D$10:$AF$63,H$1-2021,0)</f>
        <v>58909795</v>
      </c>
      <c r="I13" s="27">
        <f>VLOOKUP($A13,data_eurostat!$D$10:$AF$63,I$1-2021,0)</f>
        <v>58836452</v>
      </c>
      <c r="J13" s="27">
        <f>VLOOKUP($A13,data_eurostat!$D$10:$AF$63,J$1-2021,0)</f>
        <v>58744103</v>
      </c>
      <c r="K13" s="27">
        <f>VLOOKUP($A13,data_eurostat!$D$10:$AF$63,K$1-2021,0)</f>
        <v>58653817</v>
      </c>
      <c r="L13" s="27">
        <f>VLOOKUP($A13,data_eurostat!$D$10:$AF$63,L$1-2021,0)</f>
        <v>58565206</v>
      </c>
      <c r="M13" s="27">
        <f>VLOOKUP($A13,data_eurostat!$D$10:$AF$63,M$1-2021,0)</f>
        <v>58472197</v>
      </c>
      <c r="N13" s="27">
        <f>VLOOKUP($A13,data_eurostat!$D$10:$AF$63,N$1-2021,0)</f>
        <v>58376284</v>
      </c>
      <c r="O13" s="27">
        <f>VLOOKUP($A13,data_eurostat!$D$10:$AF$63,O$1-2021,0)</f>
        <v>58276855</v>
      </c>
      <c r="P13" s="27">
        <f>VLOOKUP($A13,data_eurostat!$D$10:$AF$63,P$1-2021,0)</f>
        <v>58175037</v>
      </c>
      <c r="Q13" s="27">
        <f>VLOOKUP($A13,data_eurostat!$D$10:$AF$63,Q$1-2021,0)</f>
        <v>58071942</v>
      </c>
      <c r="R13" s="27">
        <f>VLOOKUP($A13,data_eurostat!$D$10:$AF$63,R$1-2021,0)</f>
        <v>57966718</v>
      </c>
      <c r="S13" s="27">
        <f>VLOOKUP($A13,data_eurostat!$D$10:$AF$63,S$1-2021,0)</f>
        <v>57858710</v>
      </c>
      <c r="T13" s="27">
        <f>VLOOKUP($A13,data_eurostat!$D$10:$AF$63,T$1-2021,0)</f>
        <v>57746255</v>
      </c>
      <c r="U13" s="27">
        <f>VLOOKUP($A13,data_eurostat!$D$10:$AF$63,U$1-2021,0)</f>
        <v>57629405</v>
      </c>
      <c r="V13" s="27">
        <f>VLOOKUP($A13,data_eurostat!$D$10:$AF$63,V$1-2021,0)</f>
        <v>57505672</v>
      </c>
      <c r="W13" s="27">
        <f>VLOOKUP($A13,data_eurostat!$D$10:$AF$63,W$1-2021,0)</f>
        <v>57372512</v>
      </c>
      <c r="X13" s="27">
        <f>VLOOKUP($A13,data_eurostat!$D$10:$AF$63,X$1-2021,0)</f>
        <v>57228868</v>
      </c>
      <c r="Y13" s="27">
        <f>VLOOKUP($A13,data_eurostat!$D$10:$AF$63,Y$1-2021,0)</f>
        <v>57074498</v>
      </c>
      <c r="Z13" s="27">
        <f>VLOOKUP($A13,data_eurostat!$D$10:$AF$63,Z$1-2021,0)</f>
        <v>56909646</v>
      </c>
      <c r="AA13" s="27">
        <f>VLOOKUP($A13,data_eurostat!$D$10:$AF$63,AA$1-2021,0)</f>
        <v>56732390</v>
      </c>
      <c r="AB13" s="27">
        <f>VLOOKUP($A13,data_eurostat!$D$10:$AF$63,AB$1-2021,0)</f>
        <v>56543799</v>
      </c>
      <c r="AC13" s="27">
        <f>VLOOKUP($A13,data_eurostat!$D$10:$AF$63,AC$1-2021,0)</f>
        <v>56343804</v>
      </c>
      <c r="AD13" s="27">
        <f>VLOOKUP($A13,data_eurostat!$D$10:$AF$63,AD$1-2021,0)</f>
        <v>56133546</v>
      </c>
      <c r="AE13" s="27">
        <f>VLOOKUP($A13,data_eurostat!$D$10:$AF$63,AE$1-2021,0)</f>
        <v>55910851</v>
      </c>
      <c r="AF13" s="27">
        <f>VLOOKUP($A13,data_eurostat!$D$10:$AF$63,AF$1-2021,0)</f>
        <v>55676723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2">
      <c r="A14" t="str">
        <f>[1]popt!A14</f>
        <v>CY_POPTF</v>
      </c>
      <c r="B14" s="7"/>
      <c r="C14" s="7"/>
      <c r="D14" s="7"/>
      <c r="E14" s="27">
        <f>VLOOKUP($A14,data_eurostat!$D$10:$AF$63,E$1-2021,0)</f>
        <v>920701</v>
      </c>
      <c r="F14" s="27">
        <f>VLOOKUP($A14,data_eurostat!$D$10:$AF$63,F$1-2021,0)</f>
        <v>933505</v>
      </c>
      <c r="G14" s="27">
        <f>VLOOKUP($A14,data_eurostat!$D$10:$AF$63,G$1-2021,0)</f>
        <v>942249</v>
      </c>
      <c r="H14" s="27">
        <f>VLOOKUP($A14,data_eurostat!$D$10:$AF$63,H$1-2021,0)</f>
        <v>945592</v>
      </c>
      <c r="I14" s="27">
        <f>VLOOKUP($A14,data_eurostat!$D$10:$AF$63,I$1-2021,0)</f>
        <v>948628</v>
      </c>
      <c r="J14" s="27">
        <f>VLOOKUP($A14,data_eurostat!$D$10:$AF$63,J$1-2021,0)</f>
        <v>951223</v>
      </c>
      <c r="K14" s="27">
        <f>VLOOKUP($A14,data_eurostat!$D$10:$AF$63,K$1-2021,0)</f>
        <v>953625</v>
      </c>
      <c r="L14" s="27">
        <f>VLOOKUP($A14,data_eurostat!$D$10:$AF$63,L$1-2021,0)</f>
        <v>955921</v>
      </c>
      <c r="M14" s="27">
        <f>VLOOKUP($A14,data_eurostat!$D$10:$AF$63,M$1-2021,0)</f>
        <v>958110</v>
      </c>
      <c r="N14" s="27">
        <f>VLOOKUP($A14,data_eurostat!$D$10:$AF$63,N$1-2021,0)</f>
        <v>960190</v>
      </c>
      <c r="O14" s="27">
        <f>VLOOKUP($A14,data_eurostat!$D$10:$AF$63,O$1-2021,0)</f>
        <v>962194</v>
      </c>
      <c r="P14" s="27">
        <f>VLOOKUP($A14,data_eurostat!$D$10:$AF$63,P$1-2021,0)</f>
        <v>964099</v>
      </c>
      <c r="Q14" s="27">
        <f>VLOOKUP($A14,data_eurostat!$D$10:$AF$63,Q$1-2021,0)</f>
        <v>965873</v>
      </c>
      <c r="R14" s="27">
        <f>VLOOKUP($A14,data_eurostat!$D$10:$AF$63,R$1-2021,0)</f>
        <v>968311</v>
      </c>
      <c r="S14" s="27">
        <f>VLOOKUP($A14,data_eurostat!$D$10:$AF$63,S$1-2021,0)</f>
        <v>970608</v>
      </c>
      <c r="T14" s="27">
        <f>VLOOKUP($A14,data_eurostat!$D$10:$AF$63,T$1-2021,0)</f>
        <v>972769</v>
      </c>
      <c r="U14" s="27">
        <f>VLOOKUP($A14,data_eurostat!$D$10:$AF$63,U$1-2021,0)</f>
        <v>974814</v>
      </c>
      <c r="V14" s="27">
        <f>VLOOKUP($A14,data_eurostat!$D$10:$AF$63,V$1-2021,0)</f>
        <v>976757</v>
      </c>
      <c r="W14" s="27">
        <f>VLOOKUP($A14,data_eurostat!$D$10:$AF$63,W$1-2021,0)</f>
        <v>978607</v>
      </c>
      <c r="X14" s="27">
        <f>VLOOKUP($A14,data_eurostat!$D$10:$AF$63,X$1-2021,0)</f>
        <v>980417</v>
      </c>
      <c r="Y14" s="27">
        <f>VLOOKUP($A14,data_eurostat!$D$10:$AF$63,Y$1-2021,0)</f>
        <v>982102</v>
      </c>
      <c r="Z14" s="27">
        <f>VLOOKUP($A14,data_eurostat!$D$10:$AF$63,Z$1-2021,0)</f>
        <v>983741</v>
      </c>
      <c r="AA14" s="27">
        <f>VLOOKUP($A14,data_eurostat!$D$10:$AF$63,AA$1-2021,0)</f>
        <v>985319</v>
      </c>
      <c r="AB14" s="27">
        <f>VLOOKUP($A14,data_eurostat!$D$10:$AF$63,AB$1-2021,0)</f>
        <v>986866</v>
      </c>
      <c r="AC14" s="27">
        <f>VLOOKUP($A14,data_eurostat!$D$10:$AF$63,AC$1-2021,0)</f>
        <v>988340</v>
      </c>
      <c r="AD14" s="27">
        <f>VLOOKUP($A14,data_eurostat!$D$10:$AF$63,AD$1-2021,0)</f>
        <v>989719</v>
      </c>
      <c r="AE14" s="27">
        <f>VLOOKUP($A14,data_eurostat!$D$10:$AF$63,AE$1-2021,0)</f>
        <v>991083</v>
      </c>
      <c r="AF14" s="27">
        <f>VLOOKUP($A14,data_eurostat!$D$10:$AF$63,AF$1-2021,0)</f>
        <v>992400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2">
      <c r="A15" t="str">
        <f>[1]popt!A15</f>
        <v>LV_POPTF</v>
      </c>
      <c r="B15" s="7"/>
      <c r="C15" s="7"/>
      <c r="D15" s="7"/>
      <c r="E15" s="27">
        <f>VLOOKUP($A15,data_eurostat!$D$10:$AF$63,E$1-2021,0)</f>
        <v>1883008</v>
      </c>
      <c r="F15" s="27">
        <f>VLOOKUP($A15,data_eurostat!$D$10:$AF$63,F$1-2021,0)</f>
        <v>1871882</v>
      </c>
      <c r="G15" s="27">
        <f>VLOOKUP($A15,data_eurostat!$D$10:$AF$63,G$1-2021,0)</f>
        <v>1857281</v>
      </c>
      <c r="H15" s="27">
        <f>VLOOKUP($A15,data_eurostat!$D$10:$AF$63,H$1-2021,0)</f>
        <v>1834907</v>
      </c>
      <c r="I15" s="27">
        <f>VLOOKUP($A15,data_eurostat!$D$10:$AF$63,I$1-2021,0)</f>
        <v>1812413</v>
      </c>
      <c r="J15" s="27">
        <f>VLOOKUP($A15,data_eurostat!$D$10:$AF$63,J$1-2021,0)</f>
        <v>1789574</v>
      </c>
      <c r="K15" s="27">
        <f>VLOOKUP($A15,data_eurostat!$D$10:$AF$63,K$1-2021,0)</f>
        <v>1767861</v>
      </c>
      <c r="L15" s="27">
        <f>VLOOKUP($A15,data_eurostat!$D$10:$AF$63,L$1-2021,0)</f>
        <v>1746450</v>
      </c>
      <c r="M15" s="27">
        <f>VLOOKUP($A15,data_eurostat!$D$10:$AF$63,M$1-2021,0)</f>
        <v>1725399</v>
      </c>
      <c r="N15" s="27">
        <f>VLOOKUP($A15,data_eurostat!$D$10:$AF$63,N$1-2021,0)</f>
        <v>1704930</v>
      </c>
      <c r="O15" s="27">
        <f>VLOOKUP($A15,data_eurostat!$D$10:$AF$63,O$1-2021,0)</f>
        <v>1685116</v>
      </c>
      <c r="P15" s="27">
        <f>VLOOKUP($A15,data_eurostat!$D$10:$AF$63,P$1-2021,0)</f>
        <v>1666023</v>
      </c>
      <c r="Q15" s="27">
        <f>VLOOKUP($A15,data_eurostat!$D$10:$AF$63,Q$1-2021,0)</f>
        <v>1647548</v>
      </c>
      <c r="R15" s="27">
        <f>VLOOKUP($A15,data_eurostat!$D$10:$AF$63,R$1-2021,0)</f>
        <v>1631250</v>
      </c>
      <c r="S15" s="27">
        <f>VLOOKUP($A15,data_eurostat!$D$10:$AF$63,S$1-2021,0)</f>
        <v>1615424</v>
      </c>
      <c r="T15" s="27">
        <f>VLOOKUP($A15,data_eurostat!$D$10:$AF$63,T$1-2021,0)</f>
        <v>1600105</v>
      </c>
      <c r="U15" s="27">
        <f>VLOOKUP($A15,data_eurostat!$D$10:$AF$63,U$1-2021,0)</f>
        <v>1585201</v>
      </c>
      <c r="V15" s="27">
        <f>VLOOKUP($A15,data_eurostat!$D$10:$AF$63,V$1-2021,0)</f>
        <v>1570647</v>
      </c>
      <c r="W15" s="27">
        <f>VLOOKUP($A15,data_eurostat!$D$10:$AF$63,W$1-2021,0)</f>
        <v>1556439</v>
      </c>
      <c r="X15" s="27">
        <f>VLOOKUP($A15,data_eurostat!$D$10:$AF$63,X$1-2021,0)</f>
        <v>1542512</v>
      </c>
      <c r="Y15" s="27">
        <f>VLOOKUP($A15,data_eurostat!$D$10:$AF$63,Y$1-2021,0)</f>
        <v>1528810</v>
      </c>
      <c r="Z15" s="27">
        <f>VLOOKUP($A15,data_eurostat!$D$10:$AF$63,Z$1-2021,0)</f>
        <v>1515330</v>
      </c>
      <c r="AA15" s="27">
        <f>VLOOKUP($A15,data_eurostat!$D$10:$AF$63,AA$1-2021,0)</f>
        <v>1502118</v>
      </c>
      <c r="AB15" s="27">
        <f>VLOOKUP($A15,data_eurostat!$D$10:$AF$63,AB$1-2021,0)</f>
        <v>1489158</v>
      </c>
      <c r="AC15" s="27">
        <f>VLOOKUP($A15,data_eurostat!$D$10:$AF$63,AC$1-2021,0)</f>
        <v>1476432</v>
      </c>
      <c r="AD15" s="27">
        <f>VLOOKUP($A15,data_eurostat!$D$10:$AF$63,AD$1-2021,0)</f>
        <v>1463942</v>
      </c>
      <c r="AE15" s="27">
        <f>VLOOKUP($A15,data_eurostat!$D$10:$AF$63,AE$1-2021,0)</f>
        <v>1451773</v>
      </c>
      <c r="AF15" s="27">
        <f>VLOOKUP($A15,data_eurostat!$D$10:$AF$63,AF$1-2021,0)</f>
        <v>1439714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2">
      <c r="A16" t="str">
        <f>[1]popt!A16</f>
        <v>LT_POPTF</v>
      </c>
      <c r="B16" s="7"/>
      <c r="C16" s="7"/>
      <c r="D16" s="7"/>
      <c r="E16" s="27">
        <f>VLOOKUP($A16,data_eurostat!$D$10:$AF$63,E$1-2021,0)</f>
        <v>2857279</v>
      </c>
      <c r="F16" s="27">
        <f>VLOOKUP($A16,data_eurostat!$D$10:$AF$63,F$1-2021,0)</f>
        <v>2885891</v>
      </c>
      <c r="G16" s="27">
        <f>VLOOKUP($A16,data_eurostat!$D$10:$AF$63,G$1-2021,0)</f>
        <v>2895126</v>
      </c>
      <c r="H16" s="27">
        <f>VLOOKUP($A16,data_eurostat!$D$10:$AF$63,H$1-2021,0)</f>
        <v>2887194</v>
      </c>
      <c r="I16" s="27">
        <f>VLOOKUP($A16,data_eurostat!$D$10:$AF$63,I$1-2021,0)</f>
        <v>2875800</v>
      </c>
      <c r="J16" s="27">
        <f>VLOOKUP($A16,data_eurostat!$D$10:$AF$63,J$1-2021,0)</f>
        <v>2860430</v>
      </c>
      <c r="K16" s="27">
        <f>VLOOKUP($A16,data_eurostat!$D$10:$AF$63,K$1-2021,0)</f>
        <v>2845709</v>
      </c>
      <c r="L16" s="27">
        <f>VLOOKUP($A16,data_eurostat!$D$10:$AF$63,L$1-2021,0)</f>
        <v>2831352</v>
      </c>
      <c r="M16" s="27">
        <f>VLOOKUP($A16,data_eurostat!$D$10:$AF$63,M$1-2021,0)</f>
        <v>2817223</v>
      </c>
      <c r="N16" s="27">
        <f>VLOOKUP($A16,data_eurostat!$D$10:$AF$63,N$1-2021,0)</f>
        <v>2803409</v>
      </c>
      <c r="O16" s="27">
        <f>VLOOKUP($A16,data_eurostat!$D$10:$AF$63,O$1-2021,0)</f>
        <v>2790060</v>
      </c>
      <c r="P16" s="27">
        <f>VLOOKUP($A16,data_eurostat!$D$10:$AF$63,P$1-2021,0)</f>
        <v>2777210</v>
      </c>
      <c r="Q16" s="27">
        <f>VLOOKUP($A16,data_eurostat!$D$10:$AF$63,Q$1-2021,0)</f>
        <v>2764843</v>
      </c>
      <c r="R16" s="27">
        <f>VLOOKUP($A16,data_eurostat!$D$10:$AF$63,R$1-2021,0)</f>
        <v>2755265</v>
      </c>
      <c r="S16" s="27">
        <f>VLOOKUP($A16,data_eurostat!$D$10:$AF$63,S$1-2021,0)</f>
        <v>2745843</v>
      </c>
      <c r="T16" s="27">
        <f>VLOOKUP($A16,data_eurostat!$D$10:$AF$63,T$1-2021,0)</f>
        <v>2736554</v>
      </c>
      <c r="U16" s="27">
        <f>VLOOKUP($A16,data_eurostat!$D$10:$AF$63,U$1-2021,0)</f>
        <v>2727305</v>
      </c>
      <c r="V16" s="27">
        <f>VLOOKUP($A16,data_eurostat!$D$10:$AF$63,V$1-2021,0)</f>
        <v>2718041</v>
      </c>
      <c r="W16" s="27">
        <f>VLOOKUP($A16,data_eurostat!$D$10:$AF$63,W$1-2021,0)</f>
        <v>2708899</v>
      </c>
      <c r="X16" s="27">
        <f>VLOOKUP($A16,data_eurostat!$D$10:$AF$63,X$1-2021,0)</f>
        <v>2699909</v>
      </c>
      <c r="Y16" s="27">
        <f>VLOOKUP($A16,data_eurostat!$D$10:$AF$63,Y$1-2021,0)</f>
        <v>2690984</v>
      </c>
      <c r="Z16" s="27">
        <f>VLOOKUP($A16,data_eurostat!$D$10:$AF$63,Z$1-2021,0)</f>
        <v>2682103</v>
      </c>
      <c r="AA16" s="27">
        <f>VLOOKUP($A16,data_eurostat!$D$10:$AF$63,AA$1-2021,0)</f>
        <v>2673246</v>
      </c>
      <c r="AB16" s="27">
        <f>VLOOKUP($A16,data_eurostat!$D$10:$AF$63,AB$1-2021,0)</f>
        <v>2664382</v>
      </c>
      <c r="AC16" s="27">
        <f>VLOOKUP($A16,data_eurostat!$D$10:$AF$63,AC$1-2021,0)</f>
        <v>2655514</v>
      </c>
      <c r="AD16" s="27">
        <f>VLOOKUP($A16,data_eurostat!$D$10:$AF$63,AD$1-2021,0)</f>
        <v>2646619</v>
      </c>
      <c r="AE16" s="27">
        <f>VLOOKUP($A16,data_eurostat!$D$10:$AF$63,AE$1-2021,0)</f>
        <v>2637878</v>
      </c>
      <c r="AF16" s="27">
        <f>VLOOKUP($A16,data_eurostat!$D$10:$AF$63,AF$1-2021,0)</f>
        <v>2629079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2">
      <c r="A17" t="str">
        <f>[1]popt!A17</f>
        <v>LU_POPTF</v>
      </c>
      <c r="B17" s="7"/>
      <c r="C17" s="7"/>
      <c r="D17" s="7"/>
      <c r="E17" s="27">
        <f>VLOOKUP($A17,data_eurostat!$D$10:$AF$63,E$1-2021,0)</f>
        <v>660809</v>
      </c>
      <c r="F17" s="27">
        <f>VLOOKUP($A17,data_eurostat!$D$10:$AF$63,F$1-2021,0)</f>
        <v>672050</v>
      </c>
      <c r="G17" s="27">
        <f>VLOOKUP($A17,data_eurostat!$D$10:$AF$63,G$1-2021,0)</f>
        <v>683691</v>
      </c>
      <c r="H17" s="27">
        <f>VLOOKUP($A17,data_eurostat!$D$10:$AF$63,H$1-2021,0)</f>
        <v>695692</v>
      </c>
      <c r="I17" s="27">
        <f>VLOOKUP($A17,data_eurostat!$D$10:$AF$63,I$1-2021,0)</f>
        <v>707486</v>
      </c>
      <c r="J17" s="27">
        <f>VLOOKUP($A17,data_eurostat!$D$10:$AF$63,J$1-2021,0)</f>
        <v>719056</v>
      </c>
      <c r="K17" s="27">
        <f>VLOOKUP($A17,data_eurostat!$D$10:$AF$63,K$1-2021,0)</f>
        <v>729428</v>
      </c>
      <c r="L17" s="27">
        <f>VLOOKUP($A17,data_eurostat!$D$10:$AF$63,L$1-2021,0)</f>
        <v>739360</v>
      </c>
      <c r="M17" s="27">
        <f>VLOOKUP($A17,data_eurostat!$D$10:$AF$63,M$1-2021,0)</f>
        <v>748885</v>
      </c>
      <c r="N17" s="27">
        <f>VLOOKUP($A17,data_eurostat!$D$10:$AF$63,N$1-2021,0)</f>
        <v>758011</v>
      </c>
      <c r="O17" s="27">
        <f>VLOOKUP($A17,data_eurostat!$D$10:$AF$63,O$1-2021,0)</f>
        <v>766751</v>
      </c>
      <c r="P17" s="27">
        <f>VLOOKUP($A17,data_eurostat!$D$10:$AF$63,P$1-2021,0)</f>
        <v>775120</v>
      </c>
      <c r="Q17" s="27">
        <f>VLOOKUP($A17,data_eurostat!$D$10:$AF$63,Q$1-2021,0)</f>
        <v>783135</v>
      </c>
      <c r="R17" s="27">
        <f>VLOOKUP($A17,data_eurostat!$D$10:$AF$63,R$1-2021,0)</f>
        <v>790921</v>
      </c>
      <c r="S17" s="27">
        <f>VLOOKUP($A17,data_eurostat!$D$10:$AF$63,S$1-2021,0)</f>
        <v>798382</v>
      </c>
      <c r="T17" s="27">
        <f>VLOOKUP($A17,data_eurostat!$D$10:$AF$63,T$1-2021,0)</f>
        <v>805537</v>
      </c>
      <c r="U17" s="27">
        <f>VLOOKUP($A17,data_eurostat!$D$10:$AF$63,U$1-2021,0)</f>
        <v>812396</v>
      </c>
      <c r="V17" s="27">
        <f>VLOOKUP($A17,data_eurostat!$D$10:$AF$63,V$1-2021,0)</f>
        <v>818964</v>
      </c>
      <c r="W17" s="27">
        <f>VLOOKUP($A17,data_eurostat!$D$10:$AF$63,W$1-2021,0)</f>
        <v>825243</v>
      </c>
      <c r="X17" s="27">
        <f>VLOOKUP($A17,data_eurostat!$D$10:$AF$63,X$1-2021,0)</f>
        <v>831235</v>
      </c>
      <c r="Y17" s="27">
        <f>VLOOKUP($A17,data_eurostat!$D$10:$AF$63,Y$1-2021,0)</f>
        <v>836942</v>
      </c>
      <c r="Z17" s="27">
        <f>VLOOKUP($A17,data_eurostat!$D$10:$AF$63,Z$1-2021,0)</f>
        <v>842364</v>
      </c>
      <c r="AA17" s="27">
        <f>VLOOKUP($A17,data_eurostat!$D$10:$AF$63,AA$1-2021,0)</f>
        <v>847502</v>
      </c>
      <c r="AB17" s="27">
        <f>VLOOKUP($A17,data_eurostat!$D$10:$AF$63,AB$1-2021,0)</f>
        <v>852353</v>
      </c>
      <c r="AC17" s="27">
        <f>VLOOKUP($A17,data_eurostat!$D$10:$AF$63,AC$1-2021,0)</f>
        <v>856914</v>
      </c>
      <c r="AD17" s="27">
        <f>VLOOKUP($A17,data_eurostat!$D$10:$AF$63,AD$1-2021,0)</f>
        <v>861181</v>
      </c>
      <c r="AE17" s="27">
        <f>VLOOKUP($A17,data_eurostat!$D$10:$AF$63,AE$1-2021,0)</f>
        <v>865154</v>
      </c>
      <c r="AF17" s="27">
        <f>VLOOKUP($A17,data_eurostat!$D$10:$AF$63,AF$1-2021,0)</f>
        <v>868833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2">
      <c r="A18" t="str">
        <f>[1]popt!A18</f>
        <v>HU_POPTF</v>
      </c>
      <c r="B18" s="7"/>
      <c r="C18" s="7"/>
      <c r="D18" s="7"/>
      <c r="E18" s="27">
        <f>VLOOKUP($A18,data_eurostat!$D$10:$AF$63,E$1-2021,0)</f>
        <v>9599744</v>
      </c>
      <c r="F18" s="27">
        <f>VLOOKUP($A18,data_eurostat!$D$10:$AF$63,F$1-2021,0)</f>
        <v>9584627</v>
      </c>
      <c r="G18" s="27">
        <f>VLOOKUP($A18,data_eurostat!$D$10:$AF$63,G$1-2021,0)</f>
        <v>9567634</v>
      </c>
      <c r="H18" s="27">
        <f>VLOOKUP($A18,data_eurostat!$D$10:$AF$63,H$1-2021,0)</f>
        <v>9542449</v>
      </c>
      <c r="I18" s="27">
        <f>VLOOKUP($A18,data_eurostat!$D$10:$AF$63,I$1-2021,0)</f>
        <v>9516945</v>
      </c>
      <c r="J18" s="27">
        <f>VLOOKUP($A18,data_eurostat!$D$10:$AF$63,J$1-2021,0)</f>
        <v>9490239</v>
      </c>
      <c r="K18" s="27">
        <f>VLOOKUP($A18,data_eurostat!$D$10:$AF$63,K$1-2021,0)</f>
        <v>9465049</v>
      </c>
      <c r="L18" s="27">
        <f>VLOOKUP($A18,data_eurostat!$D$10:$AF$63,L$1-2021,0)</f>
        <v>9439310</v>
      </c>
      <c r="M18" s="27">
        <f>VLOOKUP($A18,data_eurostat!$D$10:$AF$63,M$1-2021,0)</f>
        <v>9413412</v>
      </c>
      <c r="N18" s="27">
        <f>VLOOKUP($A18,data_eurostat!$D$10:$AF$63,N$1-2021,0)</f>
        <v>9387553</v>
      </c>
      <c r="O18" s="27">
        <f>VLOOKUP($A18,data_eurostat!$D$10:$AF$63,O$1-2021,0)</f>
        <v>9362691</v>
      </c>
      <c r="P18" s="27">
        <f>VLOOKUP($A18,data_eurostat!$D$10:$AF$63,P$1-2021,0)</f>
        <v>9338441</v>
      </c>
      <c r="Q18" s="27">
        <f>VLOOKUP($A18,data_eurostat!$D$10:$AF$63,Q$1-2021,0)</f>
        <v>9314265</v>
      </c>
      <c r="R18" s="27">
        <f>VLOOKUP($A18,data_eurostat!$D$10:$AF$63,R$1-2021,0)</f>
        <v>9290912</v>
      </c>
      <c r="S18" s="27">
        <f>VLOOKUP($A18,data_eurostat!$D$10:$AF$63,S$1-2021,0)</f>
        <v>9267385</v>
      </c>
      <c r="T18" s="27">
        <f>VLOOKUP($A18,data_eurostat!$D$10:$AF$63,T$1-2021,0)</f>
        <v>9244584</v>
      </c>
      <c r="U18" s="27">
        <f>VLOOKUP($A18,data_eurostat!$D$10:$AF$63,U$1-2021,0)</f>
        <v>9222266</v>
      </c>
      <c r="V18" s="27">
        <f>VLOOKUP($A18,data_eurostat!$D$10:$AF$63,V$1-2021,0)</f>
        <v>9202609</v>
      </c>
      <c r="W18" s="27">
        <f>VLOOKUP($A18,data_eurostat!$D$10:$AF$63,W$1-2021,0)</f>
        <v>9183962</v>
      </c>
      <c r="X18" s="27">
        <f>VLOOKUP($A18,data_eurostat!$D$10:$AF$63,X$1-2021,0)</f>
        <v>9164966</v>
      </c>
      <c r="Y18" s="27">
        <f>VLOOKUP($A18,data_eurostat!$D$10:$AF$63,Y$1-2021,0)</f>
        <v>9145858</v>
      </c>
      <c r="Z18" s="27">
        <f>VLOOKUP($A18,data_eurostat!$D$10:$AF$63,Z$1-2021,0)</f>
        <v>9126606</v>
      </c>
      <c r="AA18" s="27">
        <f>VLOOKUP($A18,data_eurostat!$D$10:$AF$63,AA$1-2021,0)</f>
        <v>9107377</v>
      </c>
      <c r="AB18" s="27">
        <f>VLOOKUP($A18,data_eurostat!$D$10:$AF$63,AB$1-2021,0)</f>
        <v>9087989</v>
      </c>
      <c r="AC18" s="27">
        <f>VLOOKUP($A18,data_eurostat!$D$10:$AF$63,AC$1-2021,0)</f>
        <v>9068867</v>
      </c>
      <c r="AD18" s="27">
        <f>VLOOKUP($A18,data_eurostat!$D$10:$AF$63,AD$1-2021,0)</f>
        <v>9049781</v>
      </c>
      <c r="AE18" s="27">
        <f>VLOOKUP($A18,data_eurostat!$D$10:$AF$63,AE$1-2021,0)</f>
        <v>9030876</v>
      </c>
      <c r="AF18" s="27">
        <f>VLOOKUP($A18,data_eurostat!$D$10:$AF$63,AF$1-2021,0)</f>
        <v>9012469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2">
      <c r="A19" t="str">
        <f>[1]popt!A19</f>
        <v>MT_POPTF</v>
      </c>
      <c r="B19" s="7"/>
      <c r="C19" s="7"/>
      <c r="D19" s="7"/>
      <c r="E19" s="27">
        <f>VLOOKUP($A19,data_eurostat!$D$10:$AF$63,E$1-2021,0)</f>
        <v>542051</v>
      </c>
      <c r="F19" s="27">
        <f>VLOOKUP($A19,data_eurostat!$D$10:$AF$63,F$1-2021,0)</f>
        <v>563443</v>
      </c>
      <c r="G19" s="27">
        <f>VLOOKUP($A19,data_eurostat!$D$10:$AF$63,G$1-2021,0)</f>
        <v>581377</v>
      </c>
      <c r="H19" s="27">
        <f>VLOOKUP($A19,data_eurostat!$D$10:$AF$63,H$1-2021,0)</f>
        <v>597010</v>
      </c>
      <c r="I19" s="27">
        <f>VLOOKUP($A19,data_eurostat!$D$10:$AF$63,I$1-2021,0)</f>
        <v>610788</v>
      </c>
      <c r="J19" s="27">
        <f>VLOOKUP($A19,data_eurostat!$D$10:$AF$63,J$1-2021,0)</f>
        <v>622672</v>
      </c>
      <c r="K19" s="27">
        <f>VLOOKUP($A19,data_eurostat!$D$10:$AF$63,K$1-2021,0)</f>
        <v>632972</v>
      </c>
      <c r="L19" s="27">
        <f>VLOOKUP($A19,data_eurostat!$D$10:$AF$63,L$1-2021,0)</f>
        <v>642865</v>
      </c>
      <c r="M19" s="27">
        <f>VLOOKUP($A19,data_eurostat!$D$10:$AF$63,M$1-2021,0)</f>
        <v>652387</v>
      </c>
      <c r="N19" s="27">
        <f>VLOOKUP($A19,data_eurostat!$D$10:$AF$63,N$1-2021,0)</f>
        <v>661545</v>
      </c>
      <c r="O19" s="27">
        <f>VLOOKUP($A19,data_eurostat!$D$10:$AF$63,O$1-2021,0)</f>
        <v>670347</v>
      </c>
      <c r="P19" s="27">
        <f>VLOOKUP($A19,data_eurostat!$D$10:$AF$63,P$1-2021,0)</f>
        <v>678805</v>
      </c>
      <c r="Q19" s="27">
        <f>VLOOKUP($A19,data_eurostat!$D$10:$AF$63,Q$1-2021,0)</f>
        <v>686931</v>
      </c>
      <c r="R19" s="27">
        <f>VLOOKUP($A19,data_eurostat!$D$10:$AF$63,R$1-2021,0)</f>
        <v>694816</v>
      </c>
      <c r="S19" s="27">
        <f>VLOOKUP($A19,data_eurostat!$D$10:$AF$63,S$1-2021,0)</f>
        <v>702395</v>
      </c>
      <c r="T19" s="27">
        <f>VLOOKUP($A19,data_eurostat!$D$10:$AF$63,T$1-2021,0)</f>
        <v>709686</v>
      </c>
      <c r="U19" s="27">
        <f>VLOOKUP($A19,data_eurostat!$D$10:$AF$63,U$1-2021,0)</f>
        <v>716704</v>
      </c>
      <c r="V19" s="27">
        <f>VLOOKUP($A19,data_eurostat!$D$10:$AF$63,V$1-2021,0)</f>
        <v>723465</v>
      </c>
      <c r="W19" s="27">
        <f>VLOOKUP($A19,data_eurostat!$D$10:$AF$63,W$1-2021,0)</f>
        <v>729981</v>
      </c>
      <c r="X19" s="27">
        <f>VLOOKUP($A19,data_eurostat!$D$10:$AF$63,X$1-2021,0)</f>
        <v>736265</v>
      </c>
      <c r="Y19" s="27">
        <f>VLOOKUP($A19,data_eurostat!$D$10:$AF$63,Y$1-2021,0)</f>
        <v>742332</v>
      </c>
      <c r="Z19" s="27">
        <f>VLOOKUP($A19,data_eurostat!$D$10:$AF$63,Z$1-2021,0)</f>
        <v>748191</v>
      </c>
      <c r="AA19" s="27">
        <f>VLOOKUP($A19,data_eurostat!$D$10:$AF$63,AA$1-2021,0)</f>
        <v>753854</v>
      </c>
      <c r="AB19" s="27">
        <f>VLOOKUP($A19,data_eurostat!$D$10:$AF$63,AB$1-2021,0)</f>
        <v>759330</v>
      </c>
      <c r="AC19" s="27">
        <f>VLOOKUP($A19,data_eurostat!$D$10:$AF$63,AC$1-2021,0)</f>
        <v>764621</v>
      </c>
      <c r="AD19" s="27">
        <f>VLOOKUP($A19,data_eurostat!$D$10:$AF$63,AD$1-2021,0)</f>
        <v>769735</v>
      </c>
      <c r="AE19" s="27">
        <f>VLOOKUP($A19,data_eurostat!$D$10:$AF$63,AE$1-2021,0)</f>
        <v>774673</v>
      </c>
      <c r="AF19" s="27">
        <f>VLOOKUP($A19,data_eurostat!$D$10:$AF$63,AF$1-2021,0)</f>
        <v>779445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2">
      <c r="A20" t="str">
        <f>[1]popt!A20</f>
        <v>NL_POPTF</v>
      </c>
      <c r="B20" s="7"/>
      <c r="C20" s="7"/>
      <c r="D20" s="7"/>
      <c r="E20" s="27">
        <f>VLOOKUP($A20,data_eurostat!$D$10:$AF$63,E$1-2021,0)</f>
        <v>17811291</v>
      </c>
      <c r="F20" s="27">
        <f>VLOOKUP($A20,data_eurostat!$D$10:$AF$63,F$1-2021,0)</f>
        <v>17942942</v>
      </c>
      <c r="G20" s="27">
        <f>VLOOKUP($A20,data_eurostat!$D$10:$AF$63,G$1-2021,0)</f>
        <v>18072870</v>
      </c>
      <c r="H20" s="27">
        <f>VLOOKUP($A20,data_eurostat!$D$10:$AF$63,H$1-2021,0)</f>
        <v>18181028</v>
      </c>
      <c r="I20" s="27">
        <f>VLOOKUP($A20,data_eurostat!$D$10:$AF$63,I$1-2021,0)</f>
        <v>18281795</v>
      </c>
      <c r="J20" s="27">
        <f>VLOOKUP($A20,data_eurostat!$D$10:$AF$63,J$1-2021,0)</f>
        <v>18374778</v>
      </c>
      <c r="K20" s="27">
        <f>VLOOKUP($A20,data_eurostat!$D$10:$AF$63,K$1-2021,0)</f>
        <v>18465015</v>
      </c>
      <c r="L20" s="27">
        <f>VLOOKUP($A20,data_eurostat!$D$10:$AF$63,L$1-2021,0)</f>
        <v>18553868</v>
      </c>
      <c r="M20" s="27">
        <f>VLOOKUP($A20,data_eurostat!$D$10:$AF$63,M$1-2021,0)</f>
        <v>18641032</v>
      </c>
      <c r="N20" s="27">
        <f>VLOOKUP($A20,data_eurostat!$D$10:$AF$63,N$1-2021,0)</f>
        <v>18725687</v>
      </c>
      <c r="O20" s="27">
        <f>VLOOKUP($A20,data_eurostat!$D$10:$AF$63,O$1-2021,0)</f>
        <v>18808071</v>
      </c>
      <c r="P20" s="27">
        <f>VLOOKUP($A20,data_eurostat!$D$10:$AF$63,P$1-2021,0)</f>
        <v>18888075</v>
      </c>
      <c r="Q20" s="27">
        <f>VLOOKUP($A20,data_eurostat!$D$10:$AF$63,Q$1-2021,0)</f>
        <v>18966035</v>
      </c>
      <c r="R20" s="27">
        <f>VLOOKUP($A20,data_eurostat!$D$10:$AF$63,R$1-2021,0)</f>
        <v>19043903</v>
      </c>
      <c r="S20" s="27">
        <f>VLOOKUP($A20,data_eurostat!$D$10:$AF$63,S$1-2021,0)</f>
        <v>19116990</v>
      </c>
      <c r="T20" s="27">
        <f>VLOOKUP($A20,data_eurostat!$D$10:$AF$63,T$1-2021,0)</f>
        <v>19186384</v>
      </c>
      <c r="U20" s="27">
        <f>VLOOKUP($A20,data_eurostat!$D$10:$AF$63,U$1-2021,0)</f>
        <v>19252184</v>
      </c>
      <c r="V20" s="27">
        <f>VLOOKUP($A20,data_eurostat!$D$10:$AF$63,V$1-2021,0)</f>
        <v>19314539</v>
      </c>
      <c r="W20" s="27">
        <f>VLOOKUP($A20,data_eurostat!$D$10:$AF$63,W$1-2021,0)</f>
        <v>19373616</v>
      </c>
      <c r="X20" s="27">
        <f>VLOOKUP($A20,data_eurostat!$D$10:$AF$63,X$1-2021,0)</f>
        <v>19429585</v>
      </c>
      <c r="Y20" s="27">
        <f>VLOOKUP($A20,data_eurostat!$D$10:$AF$63,Y$1-2021,0)</f>
        <v>19482601</v>
      </c>
      <c r="Z20" s="27">
        <f>VLOOKUP($A20,data_eurostat!$D$10:$AF$63,Z$1-2021,0)</f>
        <v>19532796</v>
      </c>
      <c r="AA20" s="27">
        <f>VLOOKUP($A20,data_eurostat!$D$10:$AF$63,AA$1-2021,0)</f>
        <v>19580295</v>
      </c>
      <c r="AB20" s="27">
        <f>VLOOKUP($A20,data_eurostat!$D$10:$AF$63,AB$1-2021,0)</f>
        <v>19625208</v>
      </c>
      <c r="AC20" s="27">
        <f>VLOOKUP($A20,data_eurostat!$D$10:$AF$63,AC$1-2021,0)</f>
        <v>19667592</v>
      </c>
      <c r="AD20" s="27">
        <f>VLOOKUP($A20,data_eurostat!$D$10:$AF$63,AD$1-2021,0)</f>
        <v>19707562</v>
      </c>
      <c r="AE20" s="27">
        <f>VLOOKUP($A20,data_eurostat!$D$10:$AF$63,AE$1-2021,0)</f>
        <v>19745185</v>
      </c>
      <c r="AF20" s="27">
        <f>VLOOKUP($A20,data_eurostat!$D$10:$AF$63,AF$1-2021,0)</f>
        <v>19780529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2">
      <c r="A21" t="str">
        <f>[1]popt!A21</f>
        <v>AT_POPTF</v>
      </c>
      <c r="B21" s="7"/>
      <c r="C21" s="7"/>
      <c r="D21" s="7"/>
      <c r="E21" s="27">
        <f>VLOOKUP($A21,data_eurostat!$D$10:$AF$63,E$1-2021,0)</f>
        <v>9104772</v>
      </c>
      <c r="F21" s="27">
        <f>VLOOKUP($A21,data_eurostat!$D$10:$AF$63,F$1-2021,0)</f>
        <v>9158750</v>
      </c>
      <c r="G21" s="27">
        <f>VLOOKUP($A21,data_eurostat!$D$10:$AF$63,G$1-2021,0)</f>
        <v>9203936</v>
      </c>
      <c r="H21" s="27">
        <f>VLOOKUP($A21,data_eurostat!$D$10:$AF$63,H$1-2021,0)</f>
        <v>9248001</v>
      </c>
      <c r="I21" s="27">
        <f>VLOOKUP($A21,data_eurostat!$D$10:$AF$63,I$1-2021,0)</f>
        <v>9289171</v>
      </c>
      <c r="J21" s="27">
        <f>VLOOKUP($A21,data_eurostat!$D$10:$AF$63,J$1-2021,0)</f>
        <v>9327107</v>
      </c>
      <c r="K21" s="27">
        <f>VLOOKUP($A21,data_eurostat!$D$10:$AF$63,K$1-2021,0)</f>
        <v>9363375</v>
      </c>
      <c r="L21" s="27">
        <f>VLOOKUP($A21,data_eurostat!$D$10:$AF$63,L$1-2021,0)</f>
        <v>9397825</v>
      </c>
      <c r="M21" s="27">
        <f>VLOOKUP($A21,data_eurostat!$D$10:$AF$63,M$1-2021,0)</f>
        <v>9430468</v>
      </c>
      <c r="N21" s="27">
        <f>VLOOKUP($A21,data_eurostat!$D$10:$AF$63,N$1-2021,0)</f>
        <v>9461161</v>
      </c>
      <c r="O21" s="27">
        <f>VLOOKUP($A21,data_eurostat!$D$10:$AF$63,O$1-2021,0)</f>
        <v>9490383</v>
      </c>
      <c r="P21" s="27">
        <f>VLOOKUP($A21,data_eurostat!$D$10:$AF$63,P$1-2021,0)</f>
        <v>9518448</v>
      </c>
      <c r="Q21" s="27">
        <f>VLOOKUP($A21,data_eurostat!$D$10:$AF$63,Q$1-2021,0)</f>
        <v>9545087</v>
      </c>
      <c r="R21" s="27">
        <f>VLOOKUP($A21,data_eurostat!$D$10:$AF$63,R$1-2021,0)</f>
        <v>9572477</v>
      </c>
      <c r="S21" s="27">
        <f>VLOOKUP($A21,data_eurostat!$D$10:$AF$63,S$1-2021,0)</f>
        <v>9598449</v>
      </c>
      <c r="T21" s="27">
        <f>VLOOKUP($A21,data_eurostat!$D$10:$AF$63,T$1-2021,0)</f>
        <v>9623446</v>
      </c>
      <c r="U21" s="27">
        <f>VLOOKUP($A21,data_eurostat!$D$10:$AF$63,U$1-2021,0)</f>
        <v>9647219</v>
      </c>
      <c r="V21" s="27">
        <f>VLOOKUP($A21,data_eurostat!$D$10:$AF$63,V$1-2021,0)</f>
        <v>9669645</v>
      </c>
      <c r="W21" s="27">
        <f>VLOOKUP($A21,data_eurostat!$D$10:$AF$63,W$1-2021,0)</f>
        <v>9690826</v>
      </c>
      <c r="X21" s="27">
        <f>VLOOKUP($A21,data_eurostat!$D$10:$AF$63,X$1-2021,0)</f>
        <v>9710759</v>
      </c>
      <c r="Y21" s="27">
        <f>VLOOKUP($A21,data_eurostat!$D$10:$AF$63,Y$1-2021,0)</f>
        <v>9729373</v>
      </c>
      <c r="Z21" s="27">
        <f>VLOOKUP($A21,data_eurostat!$D$10:$AF$63,Z$1-2021,0)</f>
        <v>9746569</v>
      </c>
      <c r="AA21" s="27">
        <f>VLOOKUP($A21,data_eurostat!$D$10:$AF$63,AA$1-2021,0)</f>
        <v>9762373</v>
      </c>
      <c r="AB21" s="27">
        <f>VLOOKUP($A21,data_eurostat!$D$10:$AF$63,AB$1-2021,0)</f>
        <v>9777131</v>
      </c>
      <c r="AC21" s="27">
        <f>VLOOKUP($A21,data_eurostat!$D$10:$AF$63,AC$1-2021,0)</f>
        <v>9790603</v>
      </c>
      <c r="AD21" s="27">
        <f>VLOOKUP($A21,data_eurostat!$D$10:$AF$63,AD$1-2021,0)</f>
        <v>9802422</v>
      </c>
      <c r="AE21" s="27">
        <f>VLOOKUP($A21,data_eurostat!$D$10:$AF$63,AE$1-2021,0)</f>
        <v>9812199</v>
      </c>
      <c r="AF21" s="27">
        <f>VLOOKUP($A21,data_eurostat!$D$10:$AF$63,AF$1-2021,0)</f>
        <v>9820256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2">
      <c r="A22" t="str">
        <f>[1]popt!A22</f>
        <v>PL_POPTF</v>
      </c>
      <c r="B22" s="7"/>
      <c r="C22" s="7"/>
      <c r="D22" s="7"/>
      <c r="E22" s="27">
        <f>VLOOKUP($A22,data_eurostat!$D$10:$AF$63,E$1-2021,0)</f>
        <v>37522808</v>
      </c>
      <c r="F22" s="27">
        <f>VLOOKUP($A22,data_eurostat!$D$10:$AF$63,F$1-2021,0)</f>
        <v>37565715</v>
      </c>
      <c r="G22" s="27">
        <f>VLOOKUP($A22,data_eurostat!$D$10:$AF$63,G$1-2021,0)</f>
        <v>37536187</v>
      </c>
      <c r="H22" s="27">
        <f>VLOOKUP($A22,data_eurostat!$D$10:$AF$63,H$1-2021,0)</f>
        <v>37382225</v>
      </c>
      <c r="I22" s="27">
        <f>VLOOKUP($A22,data_eurostat!$D$10:$AF$63,I$1-2021,0)</f>
        <v>37218396</v>
      </c>
      <c r="J22" s="27">
        <f>VLOOKUP($A22,data_eurostat!$D$10:$AF$63,J$1-2021,0)</f>
        <v>37042898</v>
      </c>
      <c r="K22" s="27">
        <f>VLOOKUP($A22,data_eurostat!$D$10:$AF$63,K$1-2021,0)</f>
        <v>36872581</v>
      </c>
      <c r="L22" s="27">
        <f>VLOOKUP($A22,data_eurostat!$D$10:$AF$63,L$1-2021,0)</f>
        <v>36700756</v>
      </c>
      <c r="M22" s="27">
        <f>VLOOKUP($A22,data_eurostat!$D$10:$AF$63,M$1-2021,0)</f>
        <v>36528472</v>
      </c>
      <c r="N22" s="27">
        <f>VLOOKUP($A22,data_eurostat!$D$10:$AF$63,N$1-2021,0)</f>
        <v>36355308</v>
      </c>
      <c r="O22" s="27">
        <f>VLOOKUP($A22,data_eurostat!$D$10:$AF$63,O$1-2021,0)</f>
        <v>36180886</v>
      </c>
      <c r="P22" s="27">
        <f>VLOOKUP($A22,data_eurostat!$D$10:$AF$63,P$1-2021,0)</f>
        <v>36009568</v>
      </c>
      <c r="Q22" s="27">
        <f>VLOOKUP($A22,data_eurostat!$D$10:$AF$63,Q$1-2021,0)</f>
        <v>35841723</v>
      </c>
      <c r="R22" s="27">
        <f>VLOOKUP($A22,data_eurostat!$D$10:$AF$63,R$1-2021,0)</f>
        <v>35708670</v>
      </c>
      <c r="S22" s="27">
        <f>VLOOKUP($A22,data_eurostat!$D$10:$AF$63,S$1-2021,0)</f>
        <v>35577548</v>
      </c>
      <c r="T22" s="27">
        <f>VLOOKUP($A22,data_eurostat!$D$10:$AF$63,T$1-2021,0)</f>
        <v>35450266</v>
      </c>
      <c r="U22" s="27">
        <f>VLOOKUP($A22,data_eurostat!$D$10:$AF$63,U$1-2021,0)</f>
        <v>35326632</v>
      </c>
      <c r="V22" s="27">
        <f>VLOOKUP($A22,data_eurostat!$D$10:$AF$63,V$1-2021,0)</f>
        <v>35202632</v>
      </c>
      <c r="W22" s="27">
        <f>VLOOKUP($A22,data_eurostat!$D$10:$AF$63,W$1-2021,0)</f>
        <v>35080384</v>
      </c>
      <c r="X22" s="27">
        <f>VLOOKUP($A22,data_eurostat!$D$10:$AF$63,X$1-2021,0)</f>
        <v>34959592</v>
      </c>
      <c r="Y22" s="27">
        <f>VLOOKUP($A22,data_eurostat!$D$10:$AF$63,Y$1-2021,0)</f>
        <v>34838256</v>
      </c>
      <c r="Z22" s="27">
        <f>VLOOKUP($A22,data_eurostat!$D$10:$AF$63,Z$1-2021,0)</f>
        <v>34716994</v>
      </c>
      <c r="AA22" s="27">
        <f>VLOOKUP($A22,data_eurostat!$D$10:$AF$63,AA$1-2021,0)</f>
        <v>34597082</v>
      </c>
      <c r="AB22" s="27">
        <f>VLOOKUP($A22,data_eurostat!$D$10:$AF$63,AB$1-2021,0)</f>
        <v>34477462</v>
      </c>
      <c r="AC22" s="27">
        <f>VLOOKUP($A22,data_eurostat!$D$10:$AF$63,AC$1-2021,0)</f>
        <v>34356816</v>
      </c>
      <c r="AD22" s="27">
        <f>VLOOKUP($A22,data_eurostat!$D$10:$AF$63,AD$1-2021,0)</f>
        <v>34238548</v>
      </c>
      <c r="AE22" s="27">
        <f>VLOOKUP($A22,data_eurostat!$D$10:$AF$63,AE$1-2021,0)</f>
        <v>34122140</v>
      </c>
      <c r="AF22" s="27">
        <f>VLOOKUP($A22,data_eurostat!$D$10:$AF$63,AF$1-2021,0)</f>
        <v>34003933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2">
      <c r="A23" t="str">
        <f>[1]popt!A23</f>
        <v>PT_POPTF</v>
      </c>
      <c r="B23" s="7"/>
      <c r="C23" s="7"/>
      <c r="D23" s="7"/>
      <c r="E23" s="27">
        <f>VLOOKUP($A23,data_eurostat!$D$10:$AF$63,E$1-2021,0)</f>
        <v>10516621</v>
      </c>
      <c r="F23" s="27">
        <f>VLOOKUP($A23,data_eurostat!$D$10:$AF$63,F$1-2021,0)</f>
        <v>10639726</v>
      </c>
      <c r="G23" s="27">
        <f>VLOOKUP($A23,data_eurostat!$D$10:$AF$63,G$1-2021,0)</f>
        <v>10683546</v>
      </c>
      <c r="H23" s="27">
        <f>VLOOKUP($A23,data_eurostat!$D$10:$AF$63,H$1-2021,0)</f>
        <v>10706659</v>
      </c>
      <c r="I23" s="27">
        <f>VLOOKUP($A23,data_eurostat!$D$10:$AF$63,I$1-2021,0)</f>
        <v>10720635</v>
      </c>
      <c r="J23" s="27">
        <f>VLOOKUP($A23,data_eurostat!$D$10:$AF$63,J$1-2021,0)</f>
        <v>10725793</v>
      </c>
      <c r="K23" s="27">
        <f>VLOOKUP($A23,data_eurostat!$D$10:$AF$63,K$1-2021,0)</f>
        <v>10730705</v>
      </c>
      <c r="L23" s="27">
        <f>VLOOKUP($A23,data_eurostat!$D$10:$AF$63,L$1-2021,0)</f>
        <v>10734716</v>
      </c>
      <c r="M23" s="27">
        <f>VLOOKUP($A23,data_eurostat!$D$10:$AF$63,M$1-2021,0)</f>
        <v>10736956</v>
      </c>
      <c r="N23" s="27">
        <f>VLOOKUP($A23,data_eurostat!$D$10:$AF$63,N$1-2021,0)</f>
        <v>10737520</v>
      </c>
      <c r="O23" s="27">
        <f>VLOOKUP($A23,data_eurostat!$D$10:$AF$63,O$1-2021,0)</f>
        <v>10736529</v>
      </c>
      <c r="P23" s="27">
        <f>VLOOKUP($A23,data_eurostat!$D$10:$AF$63,P$1-2021,0)</f>
        <v>10733864</v>
      </c>
      <c r="Q23" s="27">
        <f>VLOOKUP($A23,data_eurostat!$D$10:$AF$63,Q$1-2021,0)</f>
        <v>10729604</v>
      </c>
      <c r="R23" s="27">
        <f>VLOOKUP($A23,data_eurostat!$D$10:$AF$63,R$1-2021,0)</f>
        <v>10726065</v>
      </c>
      <c r="S23" s="27">
        <f>VLOOKUP($A23,data_eurostat!$D$10:$AF$63,S$1-2021,0)</f>
        <v>10721471</v>
      </c>
      <c r="T23" s="27">
        <f>VLOOKUP($A23,data_eurostat!$D$10:$AF$63,T$1-2021,0)</f>
        <v>10714573</v>
      </c>
      <c r="U23" s="27">
        <f>VLOOKUP($A23,data_eurostat!$D$10:$AF$63,U$1-2021,0)</f>
        <v>10705227</v>
      </c>
      <c r="V23" s="27">
        <f>VLOOKUP($A23,data_eurostat!$D$10:$AF$63,V$1-2021,0)</f>
        <v>10694178</v>
      </c>
      <c r="W23" s="27">
        <f>VLOOKUP($A23,data_eurostat!$D$10:$AF$63,W$1-2021,0)</f>
        <v>10681263</v>
      </c>
      <c r="X23" s="27">
        <f>VLOOKUP($A23,data_eurostat!$D$10:$AF$63,X$1-2021,0)</f>
        <v>10666223</v>
      </c>
      <c r="Y23" s="27">
        <f>VLOOKUP($A23,data_eurostat!$D$10:$AF$63,Y$1-2021,0)</f>
        <v>10648774</v>
      </c>
      <c r="Z23" s="27">
        <f>VLOOKUP($A23,data_eurostat!$D$10:$AF$63,Z$1-2021,0)</f>
        <v>10628156</v>
      </c>
      <c r="AA23" s="27">
        <f>VLOOKUP($A23,data_eurostat!$D$10:$AF$63,AA$1-2021,0)</f>
        <v>10605226</v>
      </c>
      <c r="AB23" s="27">
        <f>VLOOKUP($A23,data_eurostat!$D$10:$AF$63,AB$1-2021,0)</f>
        <v>10580552</v>
      </c>
      <c r="AC23" s="27">
        <f>VLOOKUP($A23,data_eurostat!$D$10:$AF$63,AC$1-2021,0)</f>
        <v>10553663</v>
      </c>
      <c r="AD23" s="27">
        <f>VLOOKUP($A23,data_eurostat!$D$10:$AF$63,AD$1-2021,0)</f>
        <v>10525124</v>
      </c>
      <c r="AE23" s="27">
        <f>VLOOKUP($A23,data_eurostat!$D$10:$AF$63,AE$1-2021,0)</f>
        <v>10494622</v>
      </c>
      <c r="AF23" s="27">
        <f>VLOOKUP($A23,data_eurostat!$D$10:$AF$63,AF$1-2021,0)</f>
        <v>10462625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2">
      <c r="A24" t="str">
        <f>[1]popt!A24</f>
        <v>RO_POPTF</v>
      </c>
      <c r="B24" s="7"/>
      <c r="C24" s="7"/>
      <c r="D24" s="7"/>
      <c r="E24" s="27">
        <f>VLOOKUP($A24,data_eurostat!$D$10:$AF$63,E$1-2021,0)</f>
        <v>19054548</v>
      </c>
      <c r="F24" s="27">
        <f>VLOOKUP($A24,data_eurostat!$D$10:$AF$63,F$1-2021,0)</f>
        <v>19064409</v>
      </c>
      <c r="G24" s="27">
        <f>VLOOKUP($A24,data_eurostat!$D$10:$AF$63,G$1-2021,0)</f>
        <v>19049567</v>
      </c>
      <c r="H24" s="27">
        <f>VLOOKUP($A24,data_eurostat!$D$10:$AF$63,H$1-2021,0)</f>
        <v>18973917</v>
      </c>
      <c r="I24" s="27">
        <f>VLOOKUP($A24,data_eurostat!$D$10:$AF$63,I$1-2021,0)</f>
        <v>18885805</v>
      </c>
      <c r="J24" s="27">
        <f>VLOOKUP($A24,data_eurostat!$D$10:$AF$63,J$1-2021,0)</f>
        <v>18783896</v>
      </c>
      <c r="K24" s="27">
        <f>VLOOKUP($A24,data_eurostat!$D$10:$AF$63,K$1-2021,0)</f>
        <v>18683790</v>
      </c>
      <c r="L24" s="27">
        <f>VLOOKUP($A24,data_eurostat!$D$10:$AF$63,L$1-2021,0)</f>
        <v>18584198</v>
      </c>
      <c r="M24" s="27">
        <f>VLOOKUP($A24,data_eurostat!$D$10:$AF$63,M$1-2021,0)</f>
        <v>18485292</v>
      </c>
      <c r="N24" s="27">
        <f>VLOOKUP($A24,data_eurostat!$D$10:$AF$63,N$1-2021,0)</f>
        <v>18386799</v>
      </c>
      <c r="O24" s="27">
        <f>VLOOKUP($A24,data_eurostat!$D$10:$AF$63,O$1-2021,0)</f>
        <v>18303929</v>
      </c>
      <c r="P24" s="27">
        <f>VLOOKUP($A24,data_eurostat!$D$10:$AF$63,P$1-2021,0)</f>
        <v>18224814</v>
      </c>
      <c r="Q24" s="27">
        <f>VLOOKUP($A24,data_eurostat!$D$10:$AF$63,Q$1-2021,0)</f>
        <v>18143414</v>
      </c>
      <c r="R24" s="27">
        <f>VLOOKUP($A24,data_eurostat!$D$10:$AF$63,R$1-2021,0)</f>
        <v>18065952</v>
      </c>
      <c r="S24" s="27">
        <f>VLOOKUP($A24,data_eurostat!$D$10:$AF$63,S$1-2021,0)</f>
        <v>17988706</v>
      </c>
      <c r="T24" s="27">
        <f>VLOOKUP($A24,data_eurostat!$D$10:$AF$63,T$1-2021,0)</f>
        <v>17911534</v>
      </c>
      <c r="U24" s="27">
        <f>VLOOKUP($A24,data_eurostat!$D$10:$AF$63,U$1-2021,0)</f>
        <v>17836094</v>
      </c>
      <c r="V24" s="27">
        <f>VLOOKUP($A24,data_eurostat!$D$10:$AF$63,V$1-2021,0)</f>
        <v>17762186</v>
      </c>
      <c r="W24" s="27">
        <f>VLOOKUP($A24,data_eurostat!$D$10:$AF$63,W$1-2021,0)</f>
        <v>17688181</v>
      </c>
      <c r="X24" s="27">
        <f>VLOOKUP($A24,data_eurostat!$D$10:$AF$63,X$1-2021,0)</f>
        <v>17614664</v>
      </c>
      <c r="Y24" s="27">
        <f>VLOOKUP($A24,data_eurostat!$D$10:$AF$63,Y$1-2021,0)</f>
        <v>17542119</v>
      </c>
      <c r="Z24" s="27">
        <f>VLOOKUP($A24,data_eurostat!$D$10:$AF$63,Z$1-2021,0)</f>
        <v>17469419</v>
      </c>
      <c r="AA24" s="27">
        <f>VLOOKUP($A24,data_eurostat!$D$10:$AF$63,AA$1-2021,0)</f>
        <v>17396901</v>
      </c>
      <c r="AB24" s="27">
        <f>VLOOKUP($A24,data_eurostat!$D$10:$AF$63,AB$1-2021,0)</f>
        <v>17324435</v>
      </c>
      <c r="AC24" s="27">
        <f>VLOOKUP($A24,data_eurostat!$D$10:$AF$63,AC$1-2021,0)</f>
        <v>17251405</v>
      </c>
      <c r="AD24" s="27">
        <f>VLOOKUP($A24,data_eurostat!$D$10:$AF$63,AD$1-2021,0)</f>
        <v>17176947</v>
      </c>
      <c r="AE24" s="27">
        <f>VLOOKUP($A24,data_eurostat!$D$10:$AF$63,AE$1-2021,0)</f>
        <v>17101503</v>
      </c>
      <c r="AF24" s="27">
        <f>VLOOKUP($A24,data_eurostat!$D$10:$AF$63,AF$1-2021,0)</f>
        <v>17028756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2">
      <c r="A25" t="str">
        <f>[1]popt!A25</f>
        <v>SI_POPTF</v>
      </c>
      <c r="B25" s="7"/>
      <c r="C25" s="7"/>
      <c r="D25" s="7"/>
      <c r="E25" s="27">
        <f>VLOOKUP($A25,data_eurostat!$D$10:$AF$63,E$1-2021,0)</f>
        <v>2116972</v>
      </c>
      <c r="F25" s="27">
        <f>VLOOKUP($A25,data_eurostat!$D$10:$AF$63,F$1-2021,0)</f>
        <v>2123949</v>
      </c>
      <c r="G25" s="27">
        <f>VLOOKUP($A25,data_eurostat!$D$10:$AF$63,G$1-2021,0)</f>
        <v>2128649</v>
      </c>
      <c r="H25" s="27">
        <f>VLOOKUP($A25,data_eurostat!$D$10:$AF$63,H$1-2021,0)</f>
        <v>2130426</v>
      </c>
      <c r="I25" s="27">
        <f>VLOOKUP($A25,data_eurostat!$D$10:$AF$63,I$1-2021,0)</f>
        <v>2131471</v>
      </c>
      <c r="J25" s="27">
        <f>VLOOKUP($A25,data_eurostat!$D$10:$AF$63,J$1-2021,0)</f>
        <v>2131780</v>
      </c>
      <c r="K25" s="27">
        <f>VLOOKUP($A25,data_eurostat!$D$10:$AF$63,K$1-2021,0)</f>
        <v>2132114</v>
      </c>
      <c r="L25" s="27">
        <f>VLOOKUP($A25,data_eurostat!$D$10:$AF$63,L$1-2021,0)</f>
        <v>2132202</v>
      </c>
      <c r="M25" s="27">
        <f>VLOOKUP($A25,data_eurostat!$D$10:$AF$63,M$1-2021,0)</f>
        <v>2132234</v>
      </c>
      <c r="N25" s="27">
        <f>VLOOKUP($A25,data_eurostat!$D$10:$AF$63,N$1-2021,0)</f>
        <v>2132118</v>
      </c>
      <c r="O25" s="27">
        <f>VLOOKUP($A25,data_eurostat!$D$10:$AF$63,O$1-2021,0)</f>
        <v>2131774</v>
      </c>
      <c r="P25" s="27">
        <f>VLOOKUP($A25,data_eurostat!$D$10:$AF$63,P$1-2021,0)</f>
        <v>2131291</v>
      </c>
      <c r="Q25" s="27">
        <f>VLOOKUP($A25,data_eurostat!$D$10:$AF$63,Q$1-2021,0)</f>
        <v>2130683</v>
      </c>
      <c r="R25" s="27">
        <f>VLOOKUP($A25,data_eurostat!$D$10:$AF$63,R$1-2021,0)</f>
        <v>2130291</v>
      </c>
      <c r="S25" s="27">
        <f>VLOOKUP($A25,data_eurostat!$D$10:$AF$63,S$1-2021,0)</f>
        <v>2129862</v>
      </c>
      <c r="T25" s="27">
        <f>VLOOKUP($A25,data_eurostat!$D$10:$AF$63,T$1-2021,0)</f>
        <v>2129524</v>
      </c>
      <c r="U25" s="27">
        <f>VLOOKUP($A25,data_eurostat!$D$10:$AF$63,U$1-2021,0)</f>
        <v>2129109</v>
      </c>
      <c r="V25" s="27">
        <f>VLOOKUP($A25,data_eurostat!$D$10:$AF$63,V$1-2021,0)</f>
        <v>2128523</v>
      </c>
      <c r="W25" s="27">
        <f>VLOOKUP($A25,data_eurostat!$D$10:$AF$63,W$1-2021,0)</f>
        <v>2127851</v>
      </c>
      <c r="X25" s="27">
        <f>VLOOKUP($A25,data_eurostat!$D$10:$AF$63,X$1-2021,0)</f>
        <v>2127082</v>
      </c>
      <c r="Y25" s="27">
        <f>VLOOKUP($A25,data_eurostat!$D$10:$AF$63,Y$1-2021,0)</f>
        <v>2126025</v>
      </c>
      <c r="Z25" s="27">
        <f>VLOOKUP($A25,data_eurostat!$D$10:$AF$63,Z$1-2021,0)</f>
        <v>2124763</v>
      </c>
      <c r="AA25" s="27">
        <f>VLOOKUP($A25,data_eurostat!$D$10:$AF$63,AA$1-2021,0)</f>
        <v>2123289</v>
      </c>
      <c r="AB25" s="27">
        <f>VLOOKUP($A25,data_eurostat!$D$10:$AF$63,AB$1-2021,0)</f>
        <v>2121553</v>
      </c>
      <c r="AC25" s="27">
        <f>VLOOKUP($A25,data_eurostat!$D$10:$AF$63,AC$1-2021,0)</f>
        <v>2119491</v>
      </c>
      <c r="AD25" s="27">
        <f>VLOOKUP($A25,data_eurostat!$D$10:$AF$63,AD$1-2021,0)</f>
        <v>2117103</v>
      </c>
      <c r="AE25" s="27">
        <f>VLOOKUP($A25,data_eurostat!$D$10:$AF$63,AE$1-2021,0)</f>
        <v>2114388</v>
      </c>
      <c r="AF25" s="27">
        <f>VLOOKUP($A25,data_eurostat!$D$10:$AF$63,AF$1-2021,0)</f>
        <v>2111417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2">
      <c r="A26" t="str">
        <f>[1]popt!A26</f>
        <v>SK_POPTF</v>
      </c>
      <c r="B26" s="7"/>
      <c r="C26" s="7"/>
      <c r="D26" s="7"/>
      <c r="E26" s="27">
        <f>VLOOKUP($A26,data_eurostat!$D$10:$AF$63,E$1-2021,0)</f>
        <v>5505236</v>
      </c>
      <c r="F26" s="27">
        <f>VLOOKUP($A26,data_eurostat!$D$10:$AF$63,F$1-2021,0)</f>
        <v>5519801</v>
      </c>
      <c r="G26" s="27">
        <f>VLOOKUP($A26,data_eurostat!$D$10:$AF$63,G$1-2021,0)</f>
        <v>5535423</v>
      </c>
      <c r="H26" s="27">
        <f>VLOOKUP($A26,data_eurostat!$D$10:$AF$63,H$1-2021,0)</f>
        <v>5521829</v>
      </c>
      <c r="I26" s="27">
        <f>VLOOKUP($A26,data_eurostat!$D$10:$AF$63,I$1-2021,0)</f>
        <v>5507965</v>
      </c>
      <c r="J26" s="27">
        <f>VLOOKUP($A26,data_eurostat!$D$10:$AF$63,J$1-2021,0)</f>
        <v>5493390</v>
      </c>
      <c r="K26" s="27">
        <f>VLOOKUP($A26,data_eurostat!$D$10:$AF$63,K$1-2021,0)</f>
        <v>5478712</v>
      </c>
      <c r="L26" s="27">
        <f>VLOOKUP($A26,data_eurostat!$D$10:$AF$63,L$1-2021,0)</f>
        <v>5463558</v>
      </c>
      <c r="M26" s="27">
        <f>VLOOKUP($A26,data_eurostat!$D$10:$AF$63,M$1-2021,0)</f>
        <v>5447611</v>
      </c>
      <c r="N26" s="27">
        <f>VLOOKUP($A26,data_eurostat!$D$10:$AF$63,N$1-2021,0)</f>
        <v>5430926</v>
      </c>
      <c r="O26" s="27">
        <f>VLOOKUP($A26,data_eurostat!$D$10:$AF$63,O$1-2021,0)</f>
        <v>5413624</v>
      </c>
      <c r="P26" s="27">
        <f>VLOOKUP($A26,data_eurostat!$D$10:$AF$63,P$1-2021,0)</f>
        <v>5396082</v>
      </c>
      <c r="Q26" s="27">
        <f>VLOOKUP($A26,data_eurostat!$D$10:$AF$63,Q$1-2021,0)</f>
        <v>5378738</v>
      </c>
      <c r="R26" s="27">
        <f>VLOOKUP($A26,data_eurostat!$D$10:$AF$63,R$1-2021,0)</f>
        <v>5365579</v>
      </c>
      <c r="S26" s="27">
        <f>VLOOKUP($A26,data_eurostat!$D$10:$AF$63,S$1-2021,0)</f>
        <v>5352246</v>
      </c>
      <c r="T26" s="27">
        <f>VLOOKUP($A26,data_eurostat!$D$10:$AF$63,T$1-2021,0)</f>
        <v>5339430</v>
      </c>
      <c r="U26" s="27">
        <f>VLOOKUP($A26,data_eurostat!$D$10:$AF$63,U$1-2021,0)</f>
        <v>5327297</v>
      </c>
      <c r="V26" s="27">
        <f>VLOOKUP($A26,data_eurostat!$D$10:$AF$63,V$1-2021,0)</f>
        <v>5315101</v>
      </c>
      <c r="W26" s="27">
        <f>VLOOKUP($A26,data_eurostat!$D$10:$AF$63,W$1-2021,0)</f>
        <v>5302898</v>
      </c>
      <c r="X26" s="27">
        <f>VLOOKUP($A26,data_eurostat!$D$10:$AF$63,X$1-2021,0)</f>
        <v>5290819</v>
      </c>
      <c r="Y26" s="27">
        <f>VLOOKUP($A26,data_eurostat!$D$10:$AF$63,Y$1-2021,0)</f>
        <v>5278735</v>
      </c>
      <c r="Z26" s="27">
        <f>VLOOKUP($A26,data_eurostat!$D$10:$AF$63,Z$1-2021,0)</f>
        <v>5266649</v>
      </c>
      <c r="AA26" s="27">
        <f>VLOOKUP($A26,data_eurostat!$D$10:$AF$63,AA$1-2021,0)</f>
        <v>5254582</v>
      </c>
      <c r="AB26" s="27">
        <f>VLOOKUP($A26,data_eurostat!$D$10:$AF$63,AB$1-2021,0)</f>
        <v>5242068</v>
      </c>
      <c r="AC26" s="27">
        <f>VLOOKUP($A26,data_eurostat!$D$10:$AF$63,AC$1-2021,0)</f>
        <v>5229371</v>
      </c>
      <c r="AD26" s="27">
        <f>VLOOKUP($A26,data_eurostat!$D$10:$AF$63,AD$1-2021,0)</f>
        <v>5216583</v>
      </c>
      <c r="AE26" s="27">
        <f>VLOOKUP($A26,data_eurostat!$D$10:$AF$63,AE$1-2021,0)</f>
        <v>5203626</v>
      </c>
      <c r="AF26" s="27">
        <f>VLOOKUP($A26,data_eurostat!$D$10:$AF$63,AF$1-2021,0)</f>
        <v>5190441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2">
      <c r="A27" t="str">
        <f>[1]popt!A27</f>
        <v>FI_POPTF</v>
      </c>
      <c r="B27" s="7"/>
      <c r="C27" s="7"/>
      <c r="D27" s="7"/>
      <c r="E27" s="27">
        <f>VLOOKUP($A27,data_eurostat!$D$10:$AF$63,E$1-2021,0)</f>
        <v>5600142</v>
      </c>
      <c r="F27" s="27">
        <f>VLOOKUP($A27,data_eurostat!$D$10:$AF$63,F$1-2021,0)</f>
        <v>5637602</v>
      </c>
      <c r="G27" s="27">
        <f>VLOOKUP($A27,data_eurostat!$D$10:$AF$63,G$1-2021,0)</f>
        <v>5663073</v>
      </c>
      <c r="H27" s="27">
        <f>VLOOKUP($A27,data_eurostat!$D$10:$AF$63,H$1-2021,0)</f>
        <v>5668592</v>
      </c>
      <c r="I27" s="27">
        <f>VLOOKUP($A27,data_eurostat!$D$10:$AF$63,I$1-2021,0)</f>
        <v>5671937</v>
      </c>
      <c r="J27" s="27">
        <f>VLOOKUP($A27,data_eurostat!$D$10:$AF$63,J$1-2021,0)</f>
        <v>5672966</v>
      </c>
      <c r="K27" s="27">
        <f>VLOOKUP($A27,data_eurostat!$D$10:$AF$63,K$1-2021,0)</f>
        <v>5673692</v>
      </c>
      <c r="L27" s="27">
        <f>VLOOKUP($A27,data_eurostat!$D$10:$AF$63,L$1-2021,0)</f>
        <v>5674018</v>
      </c>
      <c r="M27" s="27">
        <f>VLOOKUP($A27,data_eurostat!$D$10:$AF$63,M$1-2021,0)</f>
        <v>5673992</v>
      </c>
      <c r="N27" s="27">
        <f>VLOOKUP($A27,data_eurostat!$D$10:$AF$63,N$1-2021,0)</f>
        <v>5673601</v>
      </c>
      <c r="O27" s="27">
        <f>VLOOKUP($A27,data_eurostat!$D$10:$AF$63,O$1-2021,0)</f>
        <v>5672965</v>
      </c>
      <c r="P27" s="27">
        <f>VLOOKUP($A27,data_eurostat!$D$10:$AF$63,P$1-2021,0)</f>
        <v>5672022</v>
      </c>
      <c r="Q27" s="27">
        <f>VLOOKUP($A27,data_eurostat!$D$10:$AF$63,Q$1-2021,0)</f>
        <v>5670433</v>
      </c>
      <c r="R27" s="27">
        <f>VLOOKUP($A27,data_eurostat!$D$10:$AF$63,R$1-2021,0)</f>
        <v>5670611</v>
      </c>
      <c r="S27" s="27">
        <f>VLOOKUP($A27,data_eurostat!$D$10:$AF$63,S$1-2021,0)</f>
        <v>5670156</v>
      </c>
      <c r="T27" s="27">
        <f>VLOOKUP($A27,data_eurostat!$D$10:$AF$63,T$1-2021,0)</f>
        <v>5669218</v>
      </c>
      <c r="U27" s="27">
        <f>VLOOKUP($A27,data_eurostat!$D$10:$AF$63,U$1-2021,0)</f>
        <v>5667857</v>
      </c>
      <c r="V27" s="27">
        <f>VLOOKUP($A27,data_eurostat!$D$10:$AF$63,V$1-2021,0)</f>
        <v>5666511</v>
      </c>
      <c r="W27" s="27">
        <f>VLOOKUP($A27,data_eurostat!$D$10:$AF$63,W$1-2021,0)</f>
        <v>5665203</v>
      </c>
      <c r="X27" s="27">
        <f>VLOOKUP($A27,data_eurostat!$D$10:$AF$63,X$1-2021,0)</f>
        <v>5663768</v>
      </c>
      <c r="Y27" s="27">
        <f>VLOOKUP($A27,data_eurostat!$D$10:$AF$63,Y$1-2021,0)</f>
        <v>5662068</v>
      </c>
      <c r="Z27" s="27">
        <f>VLOOKUP($A27,data_eurostat!$D$10:$AF$63,Z$1-2021,0)</f>
        <v>5660105</v>
      </c>
      <c r="AA27" s="27">
        <f>VLOOKUP($A27,data_eurostat!$D$10:$AF$63,AA$1-2021,0)</f>
        <v>5657930</v>
      </c>
      <c r="AB27" s="27">
        <f>VLOOKUP($A27,data_eurostat!$D$10:$AF$63,AB$1-2021,0)</f>
        <v>5655613</v>
      </c>
      <c r="AC27" s="27">
        <f>VLOOKUP($A27,data_eurostat!$D$10:$AF$63,AC$1-2021,0)</f>
        <v>5653169</v>
      </c>
      <c r="AD27" s="27">
        <f>VLOOKUP($A27,data_eurostat!$D$10:$AF$63,AD$1-2021,0)</f>
        <v>5650823</v>
      </c>
      <c r="AE27" s="27">
        <f>VLOOKUP($A27,data_eurostat!$D$10:$AF$63,AE$1-2021,0)</f>
        <v>5648344</v>
      </c>
      <c r="AF27" s="27">
        <f>VLOOKUP($A27,data_eurostat!$D$10:$AF$63,AF$1-2021,0)</f>
        <v>5645557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2">
      <c r="A28" t="str">
        <f>[1]popt!A28</f>
        <v>SE_POPTF</v>
      </c>
      <c r="B28" s="7"/>
      <c r="C28" s="7"/>
      <c r="D28" s="7"/>
      <c r="E28" s="27">
        <f>VLOOKUP($A28,data_eurostat!$D$10:$AF$63,E$1-2021,0)</f>
        <v>10558592</v>
      </c>
      <c r="F28" s="27">
        <f>VLOOKUP($A28,data_eurostat!$D$10:$AF$63,F$1-2021,0)</f>
        <v>10586158</v>
      </c>
      <c r="G28" s="27">
        <f>VLOOKUP($A28,data_eurostat!$D$10:$AF$63,G$1-2021,0)</f>
        <v>10647601</v>
      </c>
      <c r="H28" s="27">
        <f>VLOOKUP($A28,data_eurostat!$D$10:$AF$63,H$1-2021,0)</f>
        <v>10709880</v>
      </c>
      <c r="I28" s="27">
        <f>VLOOKUP($A28,data_eurostat!$D$10:$AF$63,I$1-2021,0)</f>
        <v>10773030</v>
      </c>
      <c r="J28" s="27">
        <f>VLOOKUP($A28,data_eurostat!$D$10:$AF$63,J$1-2021,0)</f>
        <v>10836957</v>
      </c>
      <c r="K28" s="27">
        <f>VLOOKUP($A28,data_eurostat!$D$10:$AF$63,K$1-2021,0)</f>
        <v>10898754</v>
      </c>
      <c r="L28" s="27">
        <f>VLOOKUP($A28,data_eurostat!$D$10:$AF$63,L$1-2021,0)</f>
        <v>10958590</v>
      </c>
      <c r="M28" s="27">
        <f>VLOOKUP($A28,data_eurostat!$D$10:$AF$63,M$1-2021,0)</f>
        <v>11016622</v>
      </c>
      <c r="N28" s="27">
        <f>VLOOKUP($A28,data_eurostat!$D$10:$AF$63,N$1-2021,0)</f>
        <v>11073073</v>
      </c>
      <c r="O28" s="27">
        <f>VLOOKUP($A28,data_eurostat!$D$10:$AF$63,O$1-2021,0)</f>
        <v>11128212</v>
      </c>
      <c r="P28" s="27">
        <f>VLOOKUP($A28,data_eurostat!$D$10:$AF$63,P$1-2021,0)</f>
        <v>11182322</v>
      </c>
      <c r="Q28" s="27">
        <f>VLOOKUP($A28,data_eurostat!$D$10:$AF$63,Q$1-2021,0)</f>
        <v>11235683</v>
      </c>
      <c r="R28" s="27">
        <f>VLOOKUP($A28,data_eurostat!$D$10:$AF$63,R$1-2021,0)</f>
        <v>11289957</v>
      </c>
      <c r="S28" s="27">
        <f>VLOOKUP($A28,data_eurostat!$D$10:$AF$63,S$1-2021,0)</f>
        <v>11343926</v>
      </c>
      <c r="T28" s="27">
        <f>VLOOKUP($A28,data_eurostat!$D$10:$AF$63,T$1-2021,0)</f>
        <v>11397805</v>
      </c>
      <c r="U28" s="27">
        <f>VLOOKUP($A28,data_eurostat!$D$10:$AF$63,U$1-2021,0)</f>
        <v>11451738</v>
      </c>
      <c r="V28" s="27">
        <f>VLOOKUP($A28,data_eurostat!$D$10:$AF$63,V$1-2021,0)</f>
        <v>11505805</v>
      </c>
      <c r="W28" s="27">
        <f>VLOOKUP($A28,data_eurostat!$D$10:$AF$63,W$1-2021,0)</f>
        <v>11560025</v>
      </c>
      <c r="X28" s="27">
        <f>VLOOKUP($A28,data_eurostat!$D$10:$AF$63,X$1-2021,0)</f>
        <v>11614361</v>
      </c>
      <c r="Y28" s="27">
        <f>VLOOKUP($A28,data_eurostat!$D$10:$AF$63,Y$1-2021,0)</f>
        <v>11668726</v>
      </c>
      <c r="Z28" s="27">
        <f>VLOOKUP($A28,data_eurostat!$D$10:$AF$63,Z$1-2021,0)</f>
        <v>11722996</v>
      </c>
      <c r="AA28" s="27">
        <f>VLOOKUP($A28,data_eurostat!$D$10:$AF$63,AA$1-2021,0)</f>
        <v>11777004</v>
      </c>
      <c r="AB28" s="27">
        <f>VLOOKUP($A28,data_eurostat!$D$10:$AF$63,AB$1-2021,0)</f>
        <v>11830556</v>
      </c>
      <c r="AC28" s="27">
        <f>VLOOKUP($A28,data_eurostat!$D$10:$AF$63,AC$1-2021,0)</f>
        <v>11883432</v>
      </c>
      <c r="AD28" s="27">
        <f>VLOOKUP($A28,data_eurostat!$D$10:$AF$63,AD$1-2021,0)</f>
        <v>11935389</v>
      </c>
      <c r="AE28" s="27">
        <f>VLOOKUP($A28,data_eurostat!$D$10:$AF$63,AE$1-2021,0)</f>
        <v>11986183</v>
      </c>
      <c r="AF28" s="27">
        <f>VLOOKUP($A28,data_eurostat!$D$10:$AF$63,AF$1-2021,0)</f>
        <v>12035580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s="3" customFormat="1" x14ac:dyDescent="0.2">
      <c r="A29" s="3" t="s">
        <v>28</v>
      </c>
      <c r="B29" s="4"/>
      <c r="C29" s="4"/>
      <c r="D29" s="4"/>
      <c r="E29" s="4">
        <v>68492495</v>
      </c>
      <c r="F29" s="4">
        <v>69226231</v>
      </c>
      <c r="G29" s="4">
        <v>69867979</v>
      </c>
      <c r="H29" s="4">
        <v>70414300</v>
      </c>
      <c r="I29" s="4">
        <v>70861913</v>
      </c>
      <c r="J29" s="4">
        <v>71208101</v>
      </c>
      <c r="K29" s="4">
        <v>71547662</v>
      </c>
      <c r="L29" s="4">
        <v>71879988</v>
      </c>
      <c r="M29" s="4">
        <v>72204574</v>
      </c>
      <c r="N29" s="4">
        <v>72521173</v>
      </c>
      <c r="O29" s="4">
        <v>72830021</v>
      </c>
      <c r="P29" s="4">
        <v>73131597</v>
      </c>
      <c r="Q29" s="4">
        <v>73426168</v>
      </c>
      <c r="R29" s="4">
        <v>73714089</v>
      </c>
      <c r="S29" s="4">
        <v>73995941</v>
      </c>
      <c r="T29" s="4">
        <v>74272334</v>
      </c>
      <c r="U29" s="4">
        <v>74543738</v>
      </c>
      <c r="V29" s="4">
        <v>74810478</v>
      </c>
      <c r="W29" s="4">
        <v>75072892</v>
      </c>
      <c r="X29" s="4">
        <v>75331209</v>
      </c>
      <c r="Y29" s="4">
        <v>75585236</v>
      </c>
      <c r="Z29" s="4">
        <v>75834507</v>
      </c>
      <c r="AA29" s="4">
        <v>76078686</v>
      </c>
      <c r="AB29" s="4">
        <v>76317480</v>
      </c>
      <c r="AC29" s="4">
        <v>76550535</v>
      </c>
      <c r="AD29" s="4">
        <v>76776460</v>
      </c>
      <c r="AE29" s="4">
        <v>76993637</v>
      </c>
      <c r="AF29" s="4">
        <v>77201483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spans="1:82" x14ac:dyDescent="0.2">
      <c r="A30" t="str">
        <f>[1]popa!A2</f>
        <v>AT_POPAF</v>
      </c>
      <c r="E30" s="27">
        <f>VLOOKUP($A30,data_eurostat!$D$10:$AF$63,E$1-2021,0)</f>
        <v>6922716</v>
      </c>
      <c r="F30" s="27">
        <f>VLOOKUP($A30,data_eurostat!$D$10:$AF$63,F$1-2021,0)</f>
        <v>6962381</v>
      </c>
      <c r="G30" s="27">
        <f>VLOOKUP($A30,data_eurostat!$D$10:$AF$63,G$1-2021,0)</f>
        <v>6991767</v>
      </c>
      <c r="H30" s="27">
        <f>VLOOKUP($A30,data_eurostat!$D$10:$AF$63,H$1-2021,0)</f>
        <v>7020736</v>
      </c>
      <c r="I30" s="27">
        <f>VLOOKUP($A30,data_eurostat!$D$10:$AF$63,I$1-2021,0)</f>
        <v>7049453</v>
      </c>
      <c r="J30" s="27">
        <f>VLOOKUP($A30,data_eurostat!$D$10:$AF$63,J$1-2021,0)</f>
        <v>7074267</v>
      </c>
      <c r="K30" s="27">
        <f>VLOOKUP($A30,data_eurostat!$D$10:$AF$63,K$1-2021,0)</f>
        <v>7097713</v>
      </c>
      <c r="L30" s="27">
        <f>VLOOKUP($A30,data_eurostat!$D$10:$AF$63,L$1-2021,0)</f>
        <v>7120512</v>
      </c>
      <c r="M30" s="27">
        <f>VLOOKUP($A30,data_eurostat!$D$10:$AF$63,M$1-2021,0)</f>
        <v>7138853</v>
      </c>
      <c r="N30" s="27">
        <f>VLOOKUP($A30,data_eurostat!$D$10:$AF$63,N$1-2021,0)</f>
        <v>7153625</v>
      </c>
      <c r="O30" s="27">
        <f>VLOOKUP($A30,data_eurostat!$D$10:$AF$63,O$1-2021,0)</f>
        <v>7166218</v>
      </c>
      <c r="P30" s="27">
        <f>VLOOKUP($A30,data_eurostat!$D$10:$AF$63,P$1-2021,0)</f>
        <v>7175368</v>
      </c>
      <c r="Q30" s="27">
        <f>VLOOKUP($A30,data_eurostat!$D$10:$AF$63,Q$1-2021,0)</f>
        <v>7178433</v>
      </c>
      <c r="R30" s="27">
        <f>VLOOKUP($A30,data_eurostat!$D$10:$AF$63,R$1-2021,0)</f>
        <v>7177918</v>
      </c>
      <c r="S30" s="27">
        <f>VLOOKUP($A30,data_eurostat!$D$10:$AF$63,S$1-2021,0)</f>
        <v>7174645</v>
      </c>
      <c r="T30" s="27">
        <f>VLOOKUP($A30,data_eurostat!$D$10:$AF$63,T$1-2021,0)</f>
        <v>7162128</v>
      </c>
      <c r="U30" s="27">
        <f>VLOOKUP($A30,data_eurostat!$D$10:$AF$63,U$1-2021,0)</f>
        <v>7143549</v>
      </c>
      <c r="V30" s="27">
        <f>VLOOKUP($A30,data_eurostat!$D$10:$AF$63,V$1-2021,0)</f>
        <v>7128798</v>
      </c>
      <c r="W30" s="27">
        <f>VLOOKUP($A30,data_eurostat!$D$10:$AF$63,W$1-2021,0)</f>
        <v>7114282</v>
      </c>
      <c r="X30" s="27">
        <f>VLOOKUP($A30,data_eurostat!$D$10:$AF$63,X$1-2021,0)</f>
        <v>7099305</v>
      </c>
      <c r="Y30" s="27">
        <f>VLOOKUP($A30,data_eurostat!$D$10:$AF$63,Y$1-2021,0)</f>
        <v>7083587</v>
      </c>
      <c r="Z30" s="27">
        <f>VLOOKUP($A30,data_eurostat!$D$10:$AF$63,Z$1-2021,0)</f>
        <v>7066654</v>
      </c>
      <c r="AA30" s="27">
        <f>VLOOKUP($A30,data_eurostat!$D$10:$AF$63,AA$1-2021,0)</f>
        <v>7051739</v>
      </c>
      <c r="AB30" s="27">
        <f>VLOOKUP($A30,data_eurostat!$D$10:$AF$63,AB$1-2021,0)</f>
        <v>7042974</v>
      </c>
      <c r="AC30" s="27">
        <f>VLOOKUP($A30,data_eurostat!$D$10:$AF$63,AC$1-2021,0)</f>
        <v>7036116</v>
      </c>
      <c r="AD30" s="27">
        <f>VLOOKUP($A30,data_eurostat!$D$10:$AF$63,AD$1-2021,0)</f>
        <v>7031295</v>
      </c>
      <c r="AE30" s="27">
        <f>VLOOKUP($A30,data_eurostat!$D$10:$AF$63,AE$1-2021,0)</f>
        <v>7030879</v>
      </c>
      <c r="AF30" s="27">
        <f>VLOOKUP($A30,data_eurostat!$D$10:$AF$63,AF$1-2021,0)</f>
        <v>7029086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2">
      <c r="A31" t="str">
        <f>[1]popa!A3</f>
        <v>BE_POPAF</v>
      </c>
      <c r="E31" s="27">
        <f>VLOOKUP($A31,data_eurostat!$D$10:$AF$63,E$1-2021,0)</f>
        <v>8713622</v>
      </c>
      <c r="F31" s="27">
        <f>VLOOKUP($A31,data_eurostat!$D$10:$AF$63,F$1-2021,0)</f>
        <v>8781869</v>
      </c>
      <c r="G31" s="27">
        <f>VLOOKUP($A31,data_eurostat!$D$10:$AF$63,G$1-2021,0)</f>
        <v>8841283</v>
      </c>
      <c r="H31" s="27">
        <f>VLOOKUP($A31,data_eurostat!$D$10:$AF$63,H$1-2021,0)</f>
        <v>8882325</v>
      </c>
      <c r="I31" s="27">
        <f>VLOOKUP($A31,data_eurostat!$D$10:$AF$63,I$1-2021,0)</f>
        <v>8918000</v>
      </c>
      <c r="J31" s="27">
        <f>VLOOKUP($A31,data_eurostat!$D$10:$AF$63,J$1-2021,0)</f>
        <v>8943923</v>
      </c>
      <c r="K31" s="27">
        <f>VLOOKUP($A31,data_eurostat!$D$10:$AF$63,K$1-2021,0)</f>
        <v>8965183</v>
      </c>
      <c r="L31" s="27">
        <f>VLOOKUP($A31,data_eurostat!$D$10:$AF$63,L$1-2021,0)</f>
        <v>8984021</v>
      </c>
      <c r="M31" s="27">
        <f>VLOOKUP($A31,data_eurostat!$D$10:$AF$63,M$1-2021,0)</f>
        <v>8997401</v>
      </c>
      <c r="N31" s="27">
        <f>VLOOKUP($A31,data_eurostat!$D$10:$AF$63,N$1-2021,0)</f>
        <v>9008304</v>
      </c>
      <c r="O31" s="27">
        <f>VLOOKUP($A31,data_eurostat!$D$10:$AF$63,O$1-2021,0)</f>
        <v>9014420</v>
      </c>
      <c r="P31" s="27">
        <f>VLOOKUP($A31,data_eurostat!$D$10:$AF$63,P$1-2021,0)</f>
        <v>9016678</v>
      </c>
      <c r="Q31" s="27">
        <f>VLOOKUP($A31,data_eurostat!$D$10:$AF$63,Q$1-2021,0)</f>
        <v>9014897</v>
      </c>
      <c r="R31" s="27">
        <f>VLOOKUP($A31,data_eurostat!$D$10:$AF$63,R$1-2021,0)</f>
        <v>9012609</v>
      </c>
      <c r="S31" s="27">
        <f>VLOOKUP($A31,data_eurostat!$D$10:$AF$63,S$1-2021,0)</f>
        <v>9011799</v>
      </c>
      <c r="T31" s="27">
        <f>VLOOKUP($A31,data_eurostat!$D$10:$AF$63,T$1-2021,0)</f>
        <v>9005419</v>
      </c>
      <c r="U31" s="27">
        <f>VLOOKUP($A31,data_eurostat!$D$10:$AF$63,U$1-2021,0)</f>
        <v>8992716</v>
      </c>
      <c r="V31" s="27">
        <f>VLOOKUP($A31,data_eurostat!$D$10:$AF$63,V$1-2021,0)</f>
        <v>8980117</v>
      </c>
      <c r="W31" s="27">
        <f>VLOOKUP($A31,data_eurostat!$D$10:$AF$63,W$1-2021,0)</f>
        <v>8970838</v>
      </c>
      <c r="X31" s="27">
        <f>VLOOKUP($A31,data_eurostat!$D$10:$AF$63,X$1-2021,0)</f>
        <v>8964357</v>
      </c>
      <c r="Y31" s="27">
        <f>VLOOKUP($A31,data_eurostat!$D$10:$AF$63,Y$1-2021,0)</f>
        <v>8960845</v>
      </c>
      <c r="Z31" s="27">
        <f>VLOOKUP($A31,data_eurostat!$D$10:$AF$63,Z$1-2021,0)</f>
        <v>8957312</v>
      </c>
      <c r="AA31" s="27">
        <f>VLOOKUP($A31,data_eurostat!$D$10:$AF$63,AA$1-2021,0)</f>
        <v>8953041</v>
      </c>
      <c r="AB31" s="27">
        <f>VLOOKUP($A31,data_eurostat!$D$10:$AF$63,AB$1-2021,0)</f>
        <v>8947140</v>
      </c>
      <c r="AC31" s="27">
        <f>VLOOKUP($A31,data_eurostat!$D$10:$AF$63,AC$1-2021,0)</f>
        <v>8942267</v>
      </c>
      <c r="AD31" s="27">
        <f>VLOOKUP($A31,data_eurostat!$D$10:$AF$63,AD$1-2021,0)</f>
        <v>8939934</v>
      </c>
      <c r="AE31" s="27">
        <f>VLOOKUP($A31,data_eurostat!$D$10:$AF$63,AE$1-2021,0)</f>
        <v>8941198</v>
      </c>
      <c r="AF31" s="27">
        <f>VLOOKUP($A31,data_eurostat!$D$10:$AF$63,AF$1-2021,0)</f>
        <v>8944746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2">
      <c r="A32" t="str">
        <f>[1]popa!A4</f>
        <v>BG_POPAF</v>
      </c>
      <c r="E32" s="27">
        <f>VLOOKUP($A32,data_eurostat!$D$10:$AF$63,E$1-2021,0)</f>
        <v>4960389</v>
      </c>
      <c r="F32" s="27">
        <f>VLOOKUP($A32,data_eurostat!$D$10:$AF$63,F$1-2021,0)</f>
        <v>4907337</v>
      </c>
      <c r="G32" s="27">
        <f>VLOOKUP($A32,data_eurostat!$D$10:$AF$63,G$1-2021,0)</f>
        <v>4895085</v>
      </c>
      <c r="H32" s="27">
        <f>VLOOKUP($A32,data_eurostat!$D$10:$AF$63,H$1-2021,0)</f>
        <v>4852191</v>
      </c>
      <c r="I32" s="27">
        <f>VLOOKUP($A32,data_eurostat!$D$10:$AF$63,I$1-2021,0)</f>
        <v>4813316</v>
      </c>
      <c r="J32" s="27">
        <f>VLOOKUP($A32,data_eurostat!$D$10:$AF$63,J$1-2021,0)</f>
        <v>4769502</v>
      </c>
      <c r="K32" s="27">
        <f>VLOOKUP($A32,data_eurostat!$D$10:$AF$63,K$1-2021,0)</f>
        <v>4725757</v>
      </c>
      <c r="L32" s="27">
        <f>VLOOKUP($A32,data_eurostat!$D$10:$AF$63,L$1-2021,0)</f>
        <v>4686503</v>
      </c>
      <c r="M32" s="27">
        <f>VLOOKUP($A32,data_eurostat!$D$10:$AF$63,M$1-2021,0)</f>
        <v>4644697</v>
      </c>
      <c r="N32" s="27">
        <f>VLOOKUP($A32,data_eurostat!$D$10:$AF$63,N$1-2021,0)</f>
        <v>4604696</v>
      </c>
      <c r="O32" s="27">
        <f>VLOOKUP($A32,data_eurostat!$D$10:$AF$63,O$1-2021,0)</f>
        <v>4567385</v>
      </c>
      <c r="P32" s="27">
        <f>VLOOKUP($A32,data_eurostat!$D$10:$AF$63,P$1-2021,0)</f>
        <v>4530408</v>
      </c>
      <c r="Q32" s="27">
        <f>VLOOKUP($A32,data_eurostat!$D$10:$AF$63,Q$1-2021,0)</f>
        <v>4494907</v>
      </c>
      <c r="R32" s="27">
        <f>VLOOKUP($A32,data_eurostat!$D$10:$AF$63,R$1-2021,0)</f>
        <v>4459211</v>
      </c>
      <c r="S32" s="27">
        <f>VLOOKUP($A32,data_eurostat!$D$10:$AF$63,S$1-2021,0)</f>
        <v>4423627</v>
      </c>
      <c r="T32" s="27">
        <f>VLOOKUP($A32,data_eurostat!$D$10:$AF$63,T$1-2021,0)</f>
        <v>4390966</v>
      </c>
      <c r="U32" s="27">
        <f>VLOOKUP($A32,data_eurostat!$D$10:$AF$63,U$1-2021,0)</f>
        <v>4359637</v>
      </c>
      <c r="V32" s="27">
        <f>VLOOKUP($A32,data_eurostat!$D$10:$AF$63,V$1-2021,0)</f>
        <v>4324362</v>
      </c>
      <c r="W32" s="27">
        <f>VLOOKUP($A32,data_eurostat!$D$10:$AF$63,W$1-2021,0)</f>
        <v>4291120</v>
      </c>
      <c r="X32" s="27">
        <f>VLOOKUP($A32,data_eurostat!$D$10:$AF$63,X$1-2021,0)</f>
        <v>4259509</v>
      </c>
      <c r="Y32" s="27">
        <f>VLOOKUP($A32,data_eurostat!$D$10:$AF$63,Y$1-2021,0)</f>
        <v>4226734</v>
      </c>
      <c r="Z32" s="27">
        <f>VLOOKUP($A32,data_eurostat!$D$10:$AF$63,Z$1-2021,0)</f>
        <v>4185403</v>
      </c>
      <c r="AA32" s="27">
        <f>VLOOKUP($A32,data_eurostat!$D$10:$AF$63,AA$1-2021,0)</f>
        <v>4142983</v>
      </c>
      <c r="AB32" s="27">
        <f>VLOOKUP($A32,data_eurostat!$D$10:$AF$63,AB$1-2021,0)</f>
        <v>4102125</v>
      </c>
      <c r="AC32" s="27">
        <f>VLOOKUP($A32,data_eurostat!$D$10:$AF$63,AC$1-2021,0)</f>
        <v>4064171</v>
      </c>
      <c r="AD32" s="27">
        <f>VLOOKUP($A32,data_eurostat!$D$10:$AF$63,AD$1-2021,0)</f>
        <v>4028615</v>
      </c>
      <c r="AE32" s="27">
        <f>VLOOKUP($A32,data_eurostat!$D$10:$AF$63,AE$1-2021,0)</f>
        <v>3989058</v>
      </c>
      <c r="AF32" s="27">
        <f>VLOOKUP($A32,data_eurostat!$D$10:$AF$63,AF$1-2021,0)</f>
        <v>3945835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2">
      <c r="A33" t="str">
        <f>[1]popa!A5</f>
        <v>CY_POPAF</v>
      </c>
      <c r="E33" s="27">
        <f>VLOOKUP($A33,data_eurostat!$D$10:$AF$63,E$1-2021,0)</f>
        <v>706207</v>
      </c>
      <c r="F33" s="27">
        <f>VLOOKUP($A33,data_eurostat!$D$10:$AF$63,F$1-2021,0)</f>
        <v>713963</v>
      </c>
      <c r="G33" s="27">
        <f>VLOOKUP($A33,data_eurostat!$D$10:$AF$63,G$1-2021,0)</f>
        <v>719014</v>
      </c>
      <c r="H33" s="27">
        <f>VLOOKUP($A33,data_eurostat!$D$10:$AF$63,H$1-2021,0)</f>
        <v>719995</v>
      </c>
      <c r="I33" s="27">
        <f>VLOOKUP($A33,data_eurostat!$D$10:$AF$63,I$1-2021,0)</f>
        <v>720509</v>
      </c>
      <c r="J33" s="27">
        <f>VLOOKUP($A33,data_eurostat!$D$10:$AF$63,J$1-2021,0)</f>
        <v>721402</v>
      </c>
      <c r="K33" s="27">
        <f>VLOOKUP($A33,data_eurostat!$D$10:$AF$63,K$1-2021,0)</f>
        <v>721851</v>
      </c>
      <c r="L33" s="27">
        <f>VLOOKUP($A33,data_eurostat!$D$10:$AF$63,L$1-2021,0)</f>
        <v>722527</v>
      </c>
      <c r="M33" s="27">
        <f>VLOOKUP($A33,data_eurostat!$D$10:$AF$63,M$1-2021,0)</f>
        <v>723119</v>
      </c>
      <c r="N33" s="27">
        <f>VLOOKUP($A33,data_eurostat!$D$10:$AF$63,N$1-2021,0)</f>
        <v>723692</v>
      </c>
      <c r="O33" s="27">
        <f>VLOOKUP($A33,data_eurostat!$D$10:$AF$63,O$1-2021,0)</f>
        <v>723814</v>
      </c>
      <c r="P33" s="27">
        <f>VLOOKUP($A33,data_eurostat!$D$10:$AF$63,P$1-2021,0)</f>
        <v>723687</v>
      </c>
      <c r="Q33" s="27">
        <f>VLOOKUP($A33,data_eurostat!$D$10:$AF$63,Q$1-2021,0)</f>
        <v>723524</v>
      </c>
      <c r="R33" s="27">
        <f>VLOOKUP($A33,data_eurostat!$D$10:$AF$63,R$1-2021,0)</f>
        <v>724117</v>
      </c>
      <c r="S33" s="27">
        <f>VLOOKUP($A33,data_eurostat!$D$10:$AF$63,S$1-2021,0)</f>
        <v>724888</v>
      </c>
      <c r="T33" s="27">
        <f>VLOOKUP($A33,data_eurostat!$D$10:$AF$63,T$1-2021,0)</f>
        <v>725336</v>
      </c>
      <c r="U33" s="27">
        <f>VLOOKUP($A33,data_eurostat!$D$10:$AF$63,U$1-2021,0)</f>
        <v>725978</v>
      </c>
      <c r="V33" s="27">
        <f>VLOOKUP($A33,data_eurostat!$D$10:$AF$63,V$1-2021,0)</f>
        <v>726743</v>
      </c>
      <c r="W33" s="27">
        <f>VLOOKUP($A33,data_eurostat!$D$10:$AF$63,W$1-2021,0)</f>
        <v>727444</v>
      </c>
      <c r="X33" s="27">
        <f>VLOOKUP($A33,data_eurostat!$D$10:$AF$63,X$1-2021,0)</f>
        <v>728065</v>
      </c>
      <c r="Y33" s="27">
        <f>VLOOKUP($A33,data_eurostat!$D$10:$AF$63,Y$1-2021,0)</f>
        <v>728619</v>
      </c>
      <c r="Z33" s="27">
        <f>VLOOKUP($A33,data_eurostat!$D$10:$AF$63,Z$1-2021,0)</f>
        <v>729120</v>
      </c>
      <c r="AA33" s="27">
        <f>VLOOKUP($A33,data_eurostat!$D$10:$AF$63,AA$1-2021,0)</f>
        <v>729640</v>
      </c>
      <c r="AB33" s="27">
        <f>VLOOKUP($A33,data_eurostat!$D$10:$AF$63,AB$1-2021,0)</f>
        <v>730065</v>
      </c>
      <c r="AC33" s="27">
        <f>VLOOKUP($A33,data_eurostat!$D$10:$AF$63,AC$1-2021,0)</f>
        <v>730497</v>
      </c>
      <c r="AD33" s="27">
        <f>VLOOKUP($A33,data_eurostat!$D$10:$AF$63,AD$1-2021,0)</f>
        <v>730317</v>
      </c>
      <c r="AE33" s="27">
        <f>VLOOKUP($A33,data_eurostat!$D$10:$AF$63,AE$1-2021,0)</f>
        <v>730189</v>
      </c>
      <c r="AF33" s="27">
        <f>VLOOKUP($A33,data_eurostat!$D$10:$AF$63,AF$1-2021,0)</f>
        <v>730542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2">
      <c r="A34" t="str">
        <f>[1]popa!A6</f>
        <v>CZ_POPAF</v>
      </c>
      <c r="E34" s="27">
        <f>VLOOKUP($A34,data_eurostat!$D$10:$AF$63,E$1-2021,0)</f>
        <v>8134790</v>
      </c>
      <c r="F34" s="27">
        <f>VLOOKUP($A34,data_eurostat!$D$10:$AF$63,F$1-2021,0)</f>
        <v>8128502</v>
      </c>
      <c r="G34" s="27">
        <f>VLOOKUP($A34,data_eurostat!$D$10:$AF$63,G$1-2021,0)</f>
        <v>8113346</v>
      </c>
      <c r="H34" s="27">
        <f>VLOOKUP($A34,data_eurostat!$D$10:$AF$63,H$1-2021,0)</f>
        <v>8084439</v>
      </c>
      <c r="I34" s="27">
        <f>VLOOKUP($A34,data_eurostat!$D$10:$AF$63,I$1-2021,0)</f>
        <v>8049524</v>
      </c>
      <c r="J34" s="27">
        <f>VLOOKUP($A34,data_eurostat!$D$10:$AF$63,J$1-2021,0)</f>
        <v>8018625</v>
      </c>
      <c r="K34" s="27">
        <f>VLOOKUP($A34,data_eurostat!$D$10:$AF$63,K$1-2021,0)</f>
        <v>7990724</v>
      </c>
      <c r="L34" s="27">
        <f>VLOOKUP($A34,data_eurostat!$D$10:$AF$63,L$1-2021,0)</f>
        <v>7967838</v>
      </c>
      <c r="M34" s="27">
        <f>VLOOKUP($A34,data_eurostat!$D$10:$AF$63,M$1-2021,0)</f>
        <v>7946593</v>
      </c>
      <c r="N34" s="27">
        <f>VLOOKUP($A34,data_eurostat!$D$10:$AF$63,N$1-2021,0)</f>
        <v>7928624</v>
      </c>
      <c r="O34" s="27">
        <f>VLOOKUP($A34,data_eurostat!$D$10:$AF$63,O$1-2021,0)</f>
        <v>7915291</v>
      </c>
      <c r="P34" s="27">
        <f>VLOOKUP($A34,data_eurostat!$D$10:$AF$63,P$1-2021,0)</f>
        <v>7909758</v>
      </c>
      <c r="Q34" s="27">
        <f>VLOOKUP($A34,data_eurostat!$D$10:$AF$63,Q$1-2021,0)</f>
        <v>7910241</v>
      </c>
      <c r="R34" s="27">
        <f>VLOOKUP($A34,data_eurostat!$D$10:$AF$63,R$1-2021,0)</f>
        <v>7917851</v>
      </c>
      <c r="S34" s="27">
        <f>VLOOKUP($A34,data_eurostat!$D$10:$AF$63,S$1-2021,0)</f>
        <v>7926826</v>
      </c>
      <c r="T34" s="27">
        <f>VLOOKUP($A34,data_eurostat!$D$10:$AF$63,T$1-2021,0)</f>
        <v>7921782</v>
      </c>
      <c r="U34" s="27">
        <f>VLOOKUP($A34,data_eurostat!$D$10:$AF$63,U$1-2021,0)</f>
        <v>7898640</v>
      </c>
      <c r="V34" s="27">
        <f>VLOOKUP($A34,data_eurostat!$D$10:$AF$63,V$1-2021,0)</f>
        <v>7874282</v>
      </c>
      <c r="W34" s="27">
        <f>VLOOKUP($A34,data_eurostat!$D$10:$AF$63,W$1-2021,0)</f>
        <v>7852226</v>
      </c>
      <c r="X34" s="27">
        <f>VLOOKUP($A34,data_eurostat!$D$10:$AF$63,X$1-2021,0)</f>
        <v>7832345</v>
      </c>
      <c r="Y34" s="27">
        <f>VLOOKUP($A34,data_eurostat!$D$10:$AF$63,Y$1-2021,0)</f>
        <v>7812174</v>
      </c>
      <c r="Z34" s="27">
        <f>VLOOKUP($A34,data_eurostat!$D$10:$AF$63,Z$1-2021,0)</f>
        <v>7791118</v>
      </c>
      <c r="AA34" s="27">
        <f>VLOOKUP($A34,data_eurostat!$D$10:$AF$63,AA$1-2021,0)</f>
        <v>7763387</v>
      </c>
      <c r="AB34" s="27">
        <f>VLOOKUP($A34,data_eurostat!$D$10:$AF$63,AB$1-2021,0)</f>
        <v>7729564</v>
      </c>
      <c r="AC34" s="27">
        <f>VLOOKUP($A34,data_eurostat!$D$10:$AF$63,AC$1-2021,0)</f>
        <v>7690417</v>
      </c>
      <c r="AD34" s="27">
        <f>VLOOKUP($A34,data_eurostat!$D$10:$AF$63,AD$1-2021,0)</f>
        <v>7644792</v>
      </c>
      <c r="AE34" s="27">
        <f>VLOOKUP($A34,data_eurostat!$D$10:$AF$63,AE$1-2021,0)</f>
        <v>7586537</v>
      </c>
      <c r="AF34" s="27">
        <f>VLOOKUP($A34,data_eurostat!$D$10:$AF$63,AF$1-2021,0)</f>
        <v>7519955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2">
      <c r="A35" t="str">
        <f>[1]popa!A7</f>
        <v>DE_POPAF</v>
      </c>
      <c r="E35" s="27">
        <f>VLOOKUP($A35,data_eurostat!$D$10:$AF$63,E$1-2021,0)</f>
        <v>62375443</v>
      </c>
      <c r="F35" s="27">
        <f>VLOOKUP($A35,data_eurostat!$D$10:$AF$63,F$1-2021,0)</f>
        <v>62623030</v>
      </c>
      <c r="G35" s="27">
        <f>VLOOKUP($A35,data_eurostat!$D$10:$AF$63,G$1-2021,0)</f>
        <v>62827058</v>
      </c>
      <c r="H35" s="27">
        <f>VLOOKUP($A35,data_eurostat!$D$10:$AF$63,H$1-2021,0)</f>
        <v>62822509</v>
      </c>
      <c r="I35" s="27">
        <f>VLOOKUP($A35,data_eurostat!$D$10:$AF$63,I$1-2021,0)</f>
        <v>62760002</v>
      </c>
      <c r="J35" s="27">
        <f>VLOOKUP($A35,data_eurostat!$D$10:$AF$63,J$1-2021,0)</f>
        <v>62649872</v>
      </c>
      <c r="K35" s="27">
        <f>VLOOKUP($A35,data_eurostat!$D$10:$AF$63,K$1-2021,0)</f>
        <v>62554857</v>
      </c>
      <c r="L35" s="27">
        <f>VLOOKUP($A35,data_eurostat!$D$10:$AF$63,L$1-2021,0)</f>
        <v>62470615</v>
      </c>
      <c r="M35" s="27">
        <f>VLOOKUP($A35,data_eurostat!$D$10:$AF$63,M$1-2021,0)</f>
        <v>62386326</v>
      </c>
      <c r="N35" s="27">
        <f>VLOOKUP($A35,data_eurostat!$D$10:$AF$63,N$1-2021,0)</f>
        <v>62308313</v>
      </c>
      <c r="O35" s="27">
        <f>VLOOKUP($A35,data_eurostat!$D$10:$AF$63,O$1-2021,0)</f>
        <v>62214426</v>
      </c>
      <c r="P35" s="27">
        <f>VLOOKUP($A35,data_eurostat!$D$10:$AF$63,P$1-2021,0)</f>
        <v>62106768</v>
      </c>
      <c r="Q35" s="27">
        <f>VLOOKUP($A35,data_eurostat!$D$10:$AF$63,Q$1-2021,0)</f>
        <v>61937418</v>
      </c>
      <c r="R35" s="27">
        <f>VLOOKUP($A35,data_eurostat!$D$10:$AF$63,R$1-2021,0)</f>
        <v>61765048</v>
      </c>
      <c r="S35" s="27">
        <f>VLOOKUP($A35,data_eurostat!$D$10:$AF$63,S$1-2021,0)</f>
        <v>61573249</v>
      </c>
      <c r="T35" s="27">
        <f>VLOOKUP($A35,data_eurostat!$D$10:$AF$63,T$1-2021,0)</f>
        <v>61315880</v>
      </c>
      <c r="U35" s="27">
        <f>VLOOKUP($A35,data_eurostat!$D$10:$AF$63,U$1-2021,0)</f>
        <v>61008410</v>
      </c>
      <c r="V35" s="27">
        <f>VLOOKUP($A35,data_eurostat!$D$10:$AF$63,V$1-2021,0)</f>
        <v>60713476</v>
      </c>
      <c r="W35" s="27">
        <f>VLOOKUP($A35,data_eurostat!$D$10:$AF$63,W$1-2021,0)</f>
        <v>60429493</v>
      </c>
      <c r="X35" s="27">
        <f>VLOOKUP($A35,data_eurostat!$D$10:$AF$63,X$1-2021,0)</f>
        <v>60141227</v>
      </c>
      <c r="Y35" s="27">
        <f>VLOOKUP($A35,data_eurostat!$D$10:$AF$63,Y$1-2021,0)</f>
        <v>59876293</v>
      </c>
      <c r="Z35" s="27">
        <f>VLOOKUP($A35,data_eurostat!$D$10:$AF$63,Z$1-2021,0)</f>
        <v>59632310</v>
      </c>
      <c r="AA35" s="27">
        <f>VLOOKUP($A35,data_eurostat!$D$10:$AF$63,AA$1-2021,0)</f>
        <v>59428603</v>
      </c>
      <c r="AB35" s="27">
        <f>VLOOKUP($A35,data_eurostat!$D$10:$AF$63,AB$1-2021,0)</f>
        <v>59291337</v>
      </c>
      <c r="AC35" s="27">
        <f>VLOOKUP($A35,data_eurostat!$D$10:$AF$63,AC$1-2021,0)</f>
        <v>59179699</v>
      </c>
      <c r="AD35" s="27">
        <f>VLOOKUP($A35,data_eurostat!$D$10:$AF$63,AD$1-2021,0)</f>
        <v>59148500</v>
      </c>
      <c r="AE35" s="27">
        <f>VLOOKUP($A35,data_eurostat!$D$10:$AF$63,AE$1-2021,0)</f>
        <v>59174496</v>
      </c>
      <c r="AF35" s="27">
        <f>VLOOKUP($A35,data_eurostat!$D$10:$AF$63,AF$1-2021,0)</f>
        <v>59193299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x14ac:dyDescent="0.2">
      <c r="A36" t="str">
        <f>[1]popa!A8</f>
        <v>DK_POPAF</v>
      </c>
      <c r="E36" s="27">
        <f>VLOOKUP($A36,data_eurostat!$D$10:$AF$63,E$1-2021,0)</f>
        <v>4396013</v>
      </c>
      <c r="F36" s="27">
        <f>VLOOKUP($A36,data_eurostat!$D$10:$AF$63,F$1-2021,0)</f>
        <v>4412392</v>
      </c>
      <c r="G36" s="27">
        <f>VLOOKUP($A36,data_eurostat!$D$10:$AF$63,G$1-2021,0)</f>
        <v>4429113</v>
      </c>
      <c r="H36" s="27">
        <f>VLOOKUP($A36,data_eurostat!$D$10:$AF$63,H$1-2021,0)</f>
        <v>4441187</v>
      </c>
      <c r="I36" s="27">
        <f>VLOOKUP($A36,data_eurostat!$D$10:$AF$63,I$1-2021,0)</f>
        <v>4448394</v>
      </c>
      <c r="J36" s="27">
        <f>VLOOKUP($A36,data_eurostat!$D$10:$AF$63,J$1-2021,0)</f>
        <v>4451598</v>
      </c>
      <c r="K36" s="27">
        <f>VLOOKUP($A36,data_eurostat!$D$10:$AF$63,K$1-2021,0)</f>
        <v>4452236</v>
      </c>
      <c r="L36" s="27">
        <f>VLOOKUP($A36,data_eurostat!$D$10:$AF$63,L$1-2021,0)</f>
        <v>4454833</v>
      </c>
      <c r="M36" s="27">
        <f>VLOOKUP($A36,data_eurostat!$D$10:$AF$63,M$1-2021,0)</f>
        <v>4457518</v>
      </c>
      <c r="N36" s="27">
        <f>VLOOKUP($A36,data_eurostat!$D$10:$AF$63,N$1-2021,0)</f>
        <v>4462566</v>
      </c>
      <c r="O36" s="27">
        <f>VLOOKUP($A36,data_eurostat!$D$10:$AF$63,O$1-2021,0)</f>
        <v>4467290</v>
      </c>
      <c r="P36" s="27">
        <f>VLOOKUP($A36,data_eurostat!$D$10:$AF$63,P$1-2021,0)</f>
        <v>4471280</v>
      </c>
      <c r="Q36" s="27">
        <f>VLOOKUP($A36,data_eurostat!$D$10:$AF$63,Q$1-2021,0)</f>
        <v>4475513</v>
      </c>
      <c r="R36" s="27">
        <f>VLOOKUP($A36,data_eurostat!$D$10:$AF$63,R$1-2021,0)</f>
        <v>4478110</v>
      </c>
      <c r="S36" s="27">
        <f>VLOOKUP($A36,data_eurostat!$D$10:$AF$63,S$1-2021,0)</f>
        <v>4482758</v>
      </c>
      <c r="T36" s="27">
        <f>VLOOKUP($A36,data_eurostat!$D$10:$AF$63,T$1-2021,0)</f>
        <v>4480609</v>
      </c>
      <c r="U36" s="27">
        <f>VLOOKUP($A36,data_eurostat!$D$10:$AF$63,U$1-2021,0)</f>
        <v>4473282</v>
      </c>
      <c r="V36" s="27">
        <f>VLOOKUP($A36,data_eurostat!$D$10:$AF$63,V$1-2021,0)</f>
        <v>4466838</v>
      </c>
      <c r="W36" s="27">
        <f>VLOOKUP($A36,data_eurostat!$D$10:$AF$63,W$1-2021,0)</f>
        <v>4459471</v>
      </c>
      <c r="X36" s="27">
        <f>VLOOKUP($A36,data_eurostat!$D$10:$AF$63,X$1-2021,0)</f>
        <v>4449877</v>
      </c>
      <c r="Y36" s="27">
        <f>VLOOKUP($A36,data_eurostat!$D$10:$AF$63,Y$1-2021,0)</f>
        <v>4445247</v>
      </c>
      <c r="Z36" s="27">
        <f>VLOOKUP($A36,data_eurostat!$D$10:$AF$63,Z$1-2021,0)</f>
        <v>4444990</v>
      </c>
      <c r="AA36" s="27">
        <f>VLOOKUP($A36,data_eurostat!$D$10:$AF$63,AA$1-2021,0)</f>
        <v>4446649</v>
      </c>
      <c r="AB36" s="27">
        <f>VLOOKUP($A36,data_eurostat!$D$10:$AF$63,AB$1-2021,0)</f>
        <v>4447364</v>
      </c>
      <c r="AC36" s="27">
        <f>VLOOKUP($A36,data_eurostat!$D$10:$AF$63,AC$1-2021,0)</f>
        <v>4444913</v>
      </c>
      <c r="AD36" s="27">
        <f>VLOOKUP($A36,data_eurostat!$D$10:$AF$63,AD$1-2021,0)</f>
        <v>4440849</v>
      </c>
      <c r="AE36" s="27">
        <f>VLOOKUP($A36,data_eurostat!$D$10:$AF$63,AE$1-2021,0)</f>
        <v>4439265</v>
      </c>
      <c r="AF36" s="27">
        <f>VLOOKUP($A36,data_eurostat!$D$10:$AF$63,AF$1-2021,0)</f>
        <v>4436784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2">
      <c r="A37" t="str">
        <f>[1]popa!A9</f>
        <v>EE_POPAF</v>
      </c>
      <c r="E37" s="27">
        <f>VLOOKUP($A37,data_eurostat!$D$10:$AF$63,E$1-2021,0)</f>
        <v>1015410</v>
      </c>
      <c r="F37" s="27">
        <f>VLOOKUP($A37,data_eurostat!$D$10:$AF$63,F$1-2021,0)</f>
        <v>1033559</v>
      </c>
      <c r="G37" s="27">
        <f>VLOOKUP($A37,data_eurostat!$D$10:$AF$63,G$1-2021,0)</f>
        <v>1033272</v>
      </c>
      <c r="H37" s="27">
        <f>VLOOKUP($A37,data_eurostat!$D$10:$AF$63,H$1-2021,0)</f>
        <v>1033870</v>
      </c>
      <c r="I37" s="27">
        <f>VLOOKUP($A37,data_eurostat!$D$10:$AF$63,I$1-2021,0)</f>
        <v>1032421</v>
      </c>
      <c r="J37" s="27">
        <f>VLOOKUP($A37,data_eurostat!$D$10:$AF$63,J$1-2021,0)</f>
        <v>1030143</v>
      </c>
      <c r="K37" s="27">
        <f>VLOOKUP($A37,data_eurostat!$D$10:$AF$63,K$1-2021,0)</f>
        <v>1027796</v>
      </c>
      <c r="L37" s="27">
        <f>VLOOKUP($A37,data_eurostat!$D$10:$AF$63,L$1-2021,0)</f>
        <v>1024866</v>
      </c>
      <c r="M37" s="27">
        <f>VLOOKUP($A37,data_eurostat!$D$10:$AF$63,M$1-2021,0)</f>
        <v>1021851</v>
      </c>
      <c r="N37" s="27">
        <f>VLOOKUP($A37,data_eurostat!$D$10:$AF$63,N$1-2021,0)</f>
        <v>1019304</v>
      </c>
      <c r="O37" s="27">
        <f>VLOOKUP($A37,data_eurostat!$D$10:$AF$63,O$1-2021,0)</f>
        <v>1016308</v>
      </c>
      <c r="P37" s="27">
        <f>VLOOKUP($A37,data_eurostat!$D$10:$AF$63,P$1-2021,0)</f>
        <v>1013990</v>
      </c>
      <c r="Q37" s="27">
        <f>VLOOKUP($A37,data_eurostat!$D$10:$AF$63,Q$1-2021,0)</f>
        <v>1011274</v>
      </c>
      <c r="R37" s="27">
        <f>VLOOKUP($A37,data_eurostat!$D$10:$AF$63,R$1-2021,0)</f>
        <v>1008544</v>
      </c>
      <c r="S37" s="27">
        <f>VLOOKUP($A37,data_eurostat!$D$10:$AF$63,S$1-2021,0)</f>
        <v>1005850</v>
      </c>
      <c r="T37" s="27">
        <f>VLOOKUP($A37,data_eurostat!$D$10:$AF$63,T$1-2021,0)</f>
        <v>1001799</v>
      </c>
      <c r="U37" s="27">
        <f>VLOOKUP($A37,data_eurostat!$D$10:$AF$63,U$1-2021,0)</f>
        <v>997788</v>
      </c>
      <c r="V37" s="27">
        <f>VLOOKUP($A37,data_eurostat!$D$10:$AF$63,V$1-2021,0)</f>
        <v>994079</v>
      </c>
      <c r="W37" s="27">
        <f>VLOOKUP($A37,data_eurostat!$D$10:$AF$63,W$1-2021,0)</f>
        <v>990764</v>
      </c>
      <c r="X37" s="27">
        <f>VLOOKUP($A37,data_eurostat!$D$10:$AF$63,X$1-2021,0)</f>
        <v>987463</v>
      </c>
      <c r="Y37" s="27">
        <f>VLOOKUP($A37,data_eurostat!$D$10:$AF$63,Y$1-2021,0)</f>
        <v>984168</v>
      </c>
      <c r="Z37" s="27">
        <f>VLOOKUP($A37,data_eurostat!$D$10:$AF$63,Z$1-2021,0)</f>
        <v>980100</v>
      </c>
      <c r="AA37" s="27">
        <f>VLOOKUP($A37,data_eurostat!$D$10:$AF$63,AA$1-2021,0)</f>
        <v>975462</v>
      </c>
      <c r="AB37" s="27">
        <f>VLOOKUP($A37,data_eurostat!$D$10:$AF$63,AB$1-2021,0)</f>
        <v>970477</v>
      </c>
      <c r="AC37" s="27">
        <f>VLOOKUP($A37,data_eurostat!$D$10:$AF$63,AC$1-2021,0)</f>
        <v>965345</v>
      </c>
      <c r="AD37" s="27">
        <f>VLOOKUP($A37,data_eurostat!$D$10:$AF$63,AD$1-2021,0)</f>
        <v>960558</v>
      </c>
      <c r="AE37" s="27">
        <f>VLOOKUP($A37,data_eurostat!$D$10:$AF$63,AE$1-2021,0)</f>
        <v>956328</v>
      </c>
      <c r="AF37" s="27">
        <f>VLOOKUP($A37,data_eurostat!$D$10:$AF$63,AF$1-2021,0)</f>
        <v>952094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x14ac:dyDescent="0.2">
      <c r="A38" t="str">
        <f>[1]popa!A10</f>
        <v>EL_POPAF</v>
      </c>
      <c r="E38" s="27">
        <f>VLOOKUP($A38,data_eurostat!$D$10:$AF$63,E$1-2021,0)</f>
        <v>7813497</v>
      </c>
      <c r="F38" s="27">
        <f>VLOOKUP($A38,data_eurostat!$D$10:$AF$63,F$1-2021,0)</f>
        <v>7750993</v>
      </c>
      <c r="G38" s="27">
        <f>VLOOKUP($A38,data_eurostat!$D$10:$AF$63,G$1-2021,0)</f>
        <v>7738963</v>
      </c>
      <c r="H38" s="27">
        <f>VLOOKUP($A38,data_eurostat!$D$10:$AF$63,H$1-2021,0)</f>
        <v>7705742</v>
      </c>
      <c r="I38" s="27">
        <f>VLOOKUP($A38,data_eurostat!$D$10:$AF$63,I$1-2021,0)</f>
        <v>7661805</v>
      </c>
      <c r="J38" s="27">
        <f>VLOOKUP($A38,data_eurostat!$D$10:$AF$63,J$1-2021,0)</f>
        <v>7615175</v>
      </c>
      <c r="K38" s="27">
        <f>VLOOKUP($A38,data_eurostat!$D$10:$AF$63,K$1-2021,0)</f>
        <v>7567476</v>
      </c>
      <c r="L38" s="27">
        <f>VLOOKUP($A38,data_eurostat!$D$10:$AF$63,L$1-2021,0)</f>
        <v>7515730</v>
      </c>
      <c r="M38" s="27">
        <f>VLOOKUP($A38,data_eurostat!$D$10:$AF$63,M$1-2021,0)</f>
        <v>7461671</v>
      </c>
      <c r="N38" s="27">
        <f>VLOOKUP($A38,data_eurostat!$D$10:$AF$63,N$1-2021,0)</f>
        <v>7406316</v>
      </c>
      <c r="O38" s="27">
        <f>VLOOKUP($A38,data_eurostat!$D$10:$AF$63,O$1-2021,0)</f>
        <v>7350141</v>
      </c>
      <c r="P38" s="27">
        <f>VLOOKUP($A38,data_eurostat!$D$10:$AF$63,P$1-2021,0)</f>
        <v>7289193</v>
      </c>
      <c r="Q38" s="27">
        <f>VLOOKUP($A38,data_eurostat!$D$10:$AF$63,Q$1-2021,0)</f>
        <v>7221596</v>
      </c>
      <c r="R38" s="27">
        <f>VLOOKUP($A38,data_eurostat!$D$10:$AF$63,R$1-2021,0)</f>
        <v>7155943</v>
      </c>
      <c r="S38" s="27">
        <f>VLOOKUP($A38,data_eurostat!$D$10:$AF$63,S$1-2021,0)</f>
        <v>7095201</v>
      </c>
      <c r="T38" s="27">
        <f>VLOOKUP($A38,data_eurostat!$D$10:$AF$63,T$1-2021,0)</f>
        <v>7030830</v>
      </c>
      <c r="U38" s="27">
        <f>VLOOKUP($A38,data_eurostat!$D$10:$AF$63,U$1-2021,0)</f>
        <v>6961743</v>
      </c>
      <c r="V38" s="27">
        <f>VLOOKUP($A38,data_eurostat!$D$10:$AF$63,V$1-2021,0)</f>
        <v>6888878</v>
      </c>
      <c r="W38" s="27">
        <f>VLOOKUP($A38,data_eurostat!$D$10:$AF$63,W$1-2021,0)</f>
        <v>6813640</v>
      </c>
      <c r="X38" s="27">
        <f>VLOOKUP($A38,data_eurostat!$D$10:$AF$63,X$1-2021,0)</f>
        <v>6734858</v>
      </c>
      <c r="Y38" s="27">
        <f>VLOOKUP($A38,data_eurostat!$D$10:$AF$63,Y$1-2021,0)</f>
        <v>6652622</v>
      </c>
      <c r="Z38" s="27">
        <f>VLOOKUP($A38,data_eurostat!$D$10:$AF$63,Z$1-2021,0)</f>
        <v>6570849</v>
      </c>
      <c r="AA38" s="27">
        <f>VLOOKUP($A38,data_eurostat!$D$10:$AF$63,AA$1-2021,0)</f>
        <v>6495285</v>
      </c>
      <c r="AB38" s="27">
        <f>VLOOKUP($A38,data_eurostat!$D$10:$AF$63,AB$1-2021,0)</f>
        <v>6423194</v>
      </c>
      <c r="AC38" s="27">
        <f>VLOOKUP($A38,data_eurostat!$D$10:$AF$63,AC$1-2021,0)</f>
        <v>6352973</v>
      </c>
      <c r="AD38" s="27">
        <f>VLOOKUP($A38,data_eurostat!$D$10:$AF$63,AD$1-2021,0)</f>
        <v>6284644</v>
      </c>
      <c r="AE38" s="27">
        <f>VLOOKUP($A38,data_eurostat!$D$10:$AF$63,AE$1-2021,0)</f>
        <v>6217756</v>
      </c>
      <c r="AF38" s="27">
        <f>VLOOKUP($A38,data_eurostat!$D$10:$AF$63,AF$1-2021,0)</f>
        <v>6148828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x14ac:dyDescent="0.2">
      <c r="A39" t="str">
        <f>[1]popa!A11</f>
        <v>ES_POPAF</v>
      </c>
      <c r="E39" s="27">
        <f>VLOOKUP($A39,data_eurostat!$D$10:$AF$63,E$1-2021,0)</f>
        <v>36763280</v>
      </c>
      <c r="F39" s="27">
        <f>VLOOKUP($A39,data_eurostat!$D$10:$AF$63,F$1-2021,0)</f>
        <v>37243770</v>
      </c>
      <c r="G39" s="27">
        <f>VLOOKUP($A39,data_eurostat!$D$10:$AF$63,G$1-2021,0)</f>
        <v>37655415</v>
      </c>
      <c r="H39" s="27">
        <f>VLOOKUP($A39,data_eurostat!$D$10:$AF$63,H$1-2021,0)</f>
        <v>37992409</v>
      </c>
      <c r="I39" s="27">
        <f>VLOOKUP($A39,data_eurostat!$D$10:$AF$63,I$1-2021,0)</f>
        <v>38258690</v>
      </c>
      <c r="J39" s="27">
        <f>VLOOKUP($A39,data_eurostat!$D$10:$AF$63,J$1-2021,0)</f>
        <v>38436036</v>
      </c>
      <c r="K39" s="27">
        <f>VLOOKUP($A39,data_eurostat!$D$10:$AF$63,K$1-2021,0)</f>
        <v>38578198</v>
      </c>
      <c r="L39" s="27">
        <f>VLOOKUP($A39,data_eurostat!$D$10:$AF$63,L$1-2021,0)</f>
        <v>38727824</v>
      </c>
      <c r="M39" s="27">
        <f>VLOOKUP($A39,data_eurostat!$D$10:$AF$63,M$1-2021,0)</f>
        <v>38848269</v>
      </c>
      <c r="N39" s="27">
        <f>VLOOKUP($A39,data_eurostat!$D$10:$AF$63,N$1-2021,0)</f>
        <v>38944895</v>
      </c>
      <c r="O39" s="27">
        <f>VLOOKUP($A39,data_eurostat!$D$10:$AF$63,O$1-2021,0)</f>
        <v>38988099</v>
      </c>
      <c r="P39" s="27">
        <f>VLOOKUP($A39,data_eurostat!$D$10:$AF$63,P$1-2021,0)</f>
        <v>38995611</v>
      </c>
      <c r="Q39" s="27">
        <f>VLOOKUP($A39,data_eurostat!$D$10:$AF$63,Q$1-2021,0)</f>
        <v>38975234</v>
      </c>
      <c r="R39" s="27">
        <f>VLOOKUP($A39,data_eurostat!$D$10:$AF$63,R$1-2021,0)</f>
        <v>38926330</v>
      </c>
      <c r="S39" s="27">
        <f>VLOOKUP($A39,data_eurostat!$D$10:$AF$63,S$1-2021,0)</f>
        <v>38881594</v>
      </c>
      <c r="T39" s="27">
        <f>VLOOKUP($A39,data_eurostat!$D$10:$AF$63,T$1-2021,0)</f>
        <v>38812115</v>
      </c>
      <c r="U39" s="27">
        <f>VLOOKUP($A39,data_eurostat!$D$10:$AF$63,U$1-2021,0)</f>
        <v>38717266</v>
      </c>
      <c r="V39" s="27">
        <f>VLOOKUP($A39,data_eurostat!$D$10:$AF$63,V$1-2021,0)</f>
        <v>38599374</v>
      </c>
      <c r="W39" s="27">
        <f>VLOOKUP($A39,data_eurostat!$D$10:$AF$63,W$1-2021,0)</f>
        <v>38489297</v>
      </c>
      <c r="X39" s="27">
        <f>VLOOKUP($A39,data_eurostat!$D$10:$AF$63,X$1-2021,0)</f>
        <v>38375828</v>
      </c>
      <c r="Y39" s="27">
        <f>VLOOKUP($A39,data_eurostat!$D$10:$AF$63,Y$1-2021,0)</f>
        <v>38245734</v>
      </c>
      <c r="Z39" s="27">
        <f>VLOOKUP($A39,data_eurostat!$D$10:$AF$63,Z$1-2021,0)</f>
        <v>38120566</v>
      </c>
      <c r="AA39" s="27">
        <f>VLOOKUP($A39,data_eurostat!$D$10:$AF$63,AA$1-2021,0)</f>
        <v>37989169</v>
      </c>
      <c r="AB39" s="27">
        <f>VLOOKUP($A39,data_eurostat!$D$10:$AF$63,AB$1-2021,0)</f>
        <v>37850417</v>
      </c>
      <c r="AC39" s="27">
        <f>VLOOKUP($A39,data_eurostat!$D$10:$AF$63,AC$1-2021,0)</f>
        <v>37703375</v>
      </c>
      <c r="AD39" s="27">
        <f>VLOOKUP($A39,data_eurostat!$D$10:$AF$63,AD$1-2021,0)</f>
        <v>37546888</v>
      </c>
      <c r="AE39" s="27">
        <f>VLOOKUP($A39,data_eurostat!$D$10:$AF$63,AE$1-2021,0)</f>
        <v>37388883</v>
      </c>
      <c r="AF39" s="27">
        <f>VLOOKUP($A39,data_eurostat!$D$10:$AF$63,AF$1-2021,0)</f>
        <v>37215753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2">
      <c r="A40" t="str">
        <f>[1]popa!A12</f>
        <v>FI_POPAF</v>
      </c>
      <c r="E40" s="27">
        <f>VLOOKUP($A40,data_eurostat!$D$10:$AF$63,E$1-2021,0)</f>
        <v>4149181</v>
      </c>
      <c r="F40" s="27">
        <f>VLOOKUP($A40,data_eurostat!$D$10:$AF$63,F$1-2021,0)</f>
        <v>4170087</v>
      </c>
      <c r="G40" s="27">
        <f>VLOOKUP($A40,data_eurostat!$D$10:$AF$63,G$1-2021,0)</f>
        <v>4185099</v>
      </c>
      <c r="H40" s="27">
        <f>VLOOKUP($A40,data_eurostat!$D$10:$AF$63,H$1-2021,0)</f>
        <v>4186151</v>
      </c>
      <c r="I40" s="27">
        <f>VLOOKUP($A40,data_eurostat!$D$10:$AF$63,I$1-2021,0)</f>
        <v>4187385</v>
      </c>
      <c r="J40" s="27">
        <f>VLOOKUP($A40,data_eurostat!$D$10:$AF$63,J$1-2021,0)</f>
        <v>4185442</v>
      </c>
      <c r="K40" s="27">
        <f>VLOOKUP($A40,data_eurostat!$D$10:$AF$63,K$1-2021,0)</f>
        <v>4185124</v>
      </c>
      <c r="L40" s="27">
        <f>VLOOKUP($A40,data_eurostat!$D$10:$AF$63,L$1-2021,0)</f>
        <v>4183674</v>
      </c>
      <c r="M40" s="27">
        <f>VLOOKUP($A40,data_eurostat!$D$10:$AF$63,M$1-2021,0)</f>
        <v>4180933</v>
      </c>
      <c r="N40" s="27">
        <f>VLOOKUP($A40,data_eurostat!$D$10:$AF$63,N$1-2021,0)</f>
        <v>4175933</v>
      </c>
      <c r="O40" s="27">
        <f>VLOOKUP($A40,data_eurostat!$D$10:$AF$63,O$1-2021,0)</f>
        <v>4170584</v>
      </c>
      <c r="P40" s="27">
        <f>VLOOKUP($A40,data_eurostat!$D$10:$AF$63,P$1-2021,0)</f>
        <v>4165174</v>
      </c>
      <c r="Q40" s="27">
        <f>VLOOKUP($A40,data_eurostat!$D$10:$AF$63,Q$1-2021,0)</f>
        <v>4156094</v>
      </c>
      <c r="R40" s="27">
        <f>VLOOKUP($A40,data_eurostat!$D$10:$AF$63,R$1-2021,0)</f>
        <v>4149460</v>
      </c>
      <c r="S40" s="27">
        <f>VLOOKUP($A40,data_eurostat!$D$10:$AF$63,S$1-2021,0)</f>
        <v>4145700</v>
      </c>
      <c r="T40" s="27">
        <f>VLOOKUP($A40,data_eurostat!$D$10:$AF$63,T$1-2021,0)</f>
        <v>4136838</v>
      </c>
      <c r="U40" s="27">
        <f>VLOOKUP($A40,data_eurostat!$D$10:$AF$63,U$1-2021,0)</f>
        <v>4125900</v>
      </c>
      <c r="V40" s="27">
        <f>VLOOKUP($A40,data_eurostat!$D$10:$AF$63,V$1-2021,0)</f>
        <v>4115719</v>
      </c>
      <c r="W40" s="27">
        <f>VLOOKUP($A40,data_eurostat!$D$10:$AF$63,W$1-2021,0)</f>
        <v>4106777</v>
      </c>
      <c r="X40" s="27">
        <f>VLOOKUP($A40,data_eurostat!$D$10:$AF$63,X$1-2021,0)</f>
        <v>4098483</v>
      </c>
      <c r="Y40" s="27">
        <f>VLOOKUP($A40,data_eurostat!$D$10:$AF$63,Y$1-2021,0)</f>
        <v>4090495</v>
      </c>
      <c r="Z40" s="27">
        <f>VLOOKUP($A40,data_eurostat!$D$10:$AF$63,Z$1-2021,0)</f>
        <v>4084012</v>
      </c>
      <c r="AA40" s="27">
        <f>VLOOKUP($A40,data_eurostat!$D$10:$AF$63,AA$1-2021,0)</f>
        <v>4081457</v>
      </c>
      <c r="AB40" s="27">
        <f>VLOOKUP($A40,data_eurostat!$D$10:$AF$63,AB$1-2021,0)</f>
        <v>4079940</v>
      </c>
      <c r="AC40" s="27">
        <f>VLOOKUP($A40,data_eurostat!$D$10:$AF$63,AC$1-2021,0)</f>
        <v>4080144</v>
      </c>
      <c r="AD40" s="27">
        <f>VLOOKUP($A40,data_eurostat!$D$10:$AF$63,AD$1-2021,0)</f>
        <v>4081994</v>
      </c>
      <c r="AE40" s="27">
        <f>VLOOKUP($A40,data_eurostat!$D$10:$AF$63,AE$1-2021,0)</f>
        <v>4085484</v>
      </c>
      <c r="AF40" s="27">
        <f>VLOOKUP($A40,data_eurostat!$D$10:$AF$63,AF$1-2021,0)</f>
        <v>4083937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x14ac:dyDescent="0.2">
      <c r="A41" t="str">
        <f>[1]popa!A13</f>
        <v>FR_POPAF</v>
      </c>
      <c r="E41" s="27">
        <f>VLOOKUP($A41,data_eurostat!$D$10:$AF$63,E$1-2021,0)</f>
        <v>49563406</v>
      </c>
      <c r="F41" s="27">
        <f>VLOOKUP($A41,data_eurostat!$D$10:$AF$63,F$1-2021,0)</f>
        <v>49648358</v>
      </c>
      <c r="G41" s="27">
        <f>VLOOKUP($A41,data_eurostat!$D$10:$AF$63,G$1-2021,0)</f>
        <v>49690277</v>
      </c>
      <c r="H41" s="27">
        <f>VLOOKUP($A41,data_eurostat!$D$10:$AF$63,H$1-2021,0)</f>
        <v>49743822</v>
      </c>
      <c r="I41" s="27">
        <f>VLOOKUP($A41,data_eurostat!$D$10:$AF$63,I$1-2021,0)</f>
        <v>49808515</v>
      </c>
      <c r="J41" s="27">
        <f>VLOOKUP($A41,data_eurostat!$D$10:$AF$63,J$1-2021,0)</f>
        <v>49859159</v>
      </c>
      <c r="K41" s="27">
        <f>VLOOKUP($A41,data_eurostat!$D$10:$AF$63,K$1-2021,0)</f>
        <v>49912125</v>
      </c>
      <c r="L41" s="27">
        <f>VLOOKUP($A41,data_eurostat!$D$10:$AF$63,L$1-2021,0)</f>
        <v>49954347</v>
      </c>
      <c r="M41" s="27">
        <f>VLOOKUP($A41,data_eurostat!$D$10:$AF$63,M$1-2021,0)</f>
        <v>49976484</v>
      </c>
      <c r="N41" s="27">
        <f>VLOOKUP($A41,data_eurostat!$D$10:$AF$63,N$1-2021,0)</f>
        <v>49977191</v>
      </c>
      <c r="O41" s="27">
        <f>VLOOKUP($A41,data_eurostat!$D$10:$AF$63,O$1-2021,0)</f>
        <v>49956098</v>
      </c>
      <c r="P41" s="27">
        <f>VLOOKUP($A41,data_eurostat!$D$10:$AF$63,P$1-2021,0)</f>
        <v>49923031</v>
      </c>
      <c r="Q41" s="27">
        <f>VLOOKUP($A41,data_eurostat!$D$10:$AF$63,Q$1-2021,0)</f>
        <v>49867471</v>
      </c>
      <c r="R41" s="27">
        <f>VLOOKUP($A41,data_eurostat!$D$10:$AF$63,R$1-2021,0)</f>
        <v>49794680</v>
      </c>
      <c r="S41" s="27">
        <f>VLOOKUP($A41,data_eurostat!$D$10:$AF$63,S$1-2021,0)</f>
        <v>49728012</v>
      </c>
      <c r="T41" s="27">
        <f>VLOOKUP($A41,data_eurostat!$D$10:$AF$63,T$1-2021,0)</f>
        <v>49647558</v>
      </c>
      <c r="U41" s="27">
        <f>VLOOKUP($A41,data_eurostat!$D$10:$AF$63,U$1-2021,0)</f>
        <v>49541446</v>
      </c>
      <c r="V41" s="27">
        <f>VLOOKUP($A41,data_eurostat!$D$10:$AF$63,V$1-2021,0)</f>
        <v>49464702</v>
      </c>
      <c r="W41" s="27">
        <f>VLOOKUP($A41,data_eurostat!$D$10:$AF$63,W$1-2021,0)</f>
        <v>49395908</v>
      </c>
      <c r="X41" s="27">
        <f>VLOOKUP($A41,data_eurostat!$D$10:$AF$63,X$1-2021,0)</f>
        <v>49329819</v>
      </c>
      <c r="Y41" s="27">
        <f>VLOOKUP($A41,data_eurostat!$D$10:$AF$63,Y$1-2021,0)</f>
        <v>49285721</v>
      </c>
      <c r="Z41" s="27">
        <f>VLOOKUP($A41,data_eurostat!$D$10:$AF$63,Z$1-2021,0)</f>
        <v>49243704</v>
      </c>
      <c r="AA41" s="27">
        <f>VLOOKUP($A41,data_eurostat!$D$10:$AF$63,AA$1-2021,0)</f>
        <v>49196741</v>
      </c>
      <c r="AB41" s="27">
        <f>VLOOKUP($A41,data_eurostat!$D$10:$AF$63,AB$1-2021,0)</f>
        <v>49146334</v>
      </c>
      <c r="AC41" s="27">
        <f>VLOOKUP($A41,data_eurostat!$D$10:$AF$63,AC$1-2021,0)</f>
        <v>49081352</v>
      </c>
      <c r="AD41" s="27">
        <f>VLOOKUP($A41,data_eurostat!$D$10:$AF$63,AD$1-2021,0)</f>
        <v>49015499</v>
      </c>
      <c r="AE41" s="27">
        <f>VLOOKUP($A41,data_eurostat!$D$10:$AF$63,AE$1-2021,0)</f>
        <v>48969571</v>
      </c>
      <c r="AF41" s="27">
        <f>VLOOKUP($A41,data_eurostat!$D$10:$AF$63,AF$1-2021,0)</f>
        <v>48962176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x14ac:dyDescent="0.2">
      <c r="A42" t="str">
        <f>[1]popa!A14</f>
        <v>HR_POPAF</v>
      </c>
      <c r="E42" s="27">
        <f>VLOOKUP($A42,data_eurostat!$D$10:$AF$63,E$1-2021,0)</f>
        <v>2938522</v>
      </c>
      <c r="F42" s="27">
        <f>VLOOKUP($A42,data_eurostat!$D$10:$AF$63,F$1-2021,0)</f>
        <v>2968154</v>
      </c>
      <c r="G42" s="27">
        <f>VLOOKUP($A42,data_eurostat!$D$10:$AF$63,G$1-2021,0)</f>
        <v>2950960</v>
      </c>
      <c r="H42" s="27">
        <f>VLOOKUP($A42,data_eurostat!$D$10:$AF$63,H$1-2021,0)</f>
        <v>2927643</v>
      </c>
      <c r="I42" s="27">
        <f>VLOOKUP($A42,data_eurostat!$D$10:$AF$63,I$1-2021,0)</f>
        <v>2903585</v>
      </c>
      <c r="J42" s="27">
        <f>VLOOKUP($A42,data_eurostat!$D$10:$AF$63,J$1-2021,0)</f>
        <v>2875087</v>
      </c>
      <c r="K42" s="27">
        <f>VLOOKUP($A42,data_eurostat!$D$10:$AF$63,K$1-2021,0)</f>
        <v>2844935</v>
      </c>
      <c r="L42" s="27">
        <f>VLOOKUP($A42,data_eurostat!$D$10:$AF$63,L$1-2021,0)</f>
        <v>2813868</v>
      </c>
      <c r="M42" s="27">
        <f>VLOOKUP($A42,data_eurostat!$D$10:$AF$63,M$1-2021,0)</f>
        <v>2781982</v>
      </c>
      <c r="N42" s="27">
        <f>VLOOKUP($A42,data_eurostat!$D$10:$AF$63,N$1-2021,0)</f>
        <v>2751154</v>
      </c>
      <c r="O42" s="27">
        <f>VLOOKUP($A42,data_eurostat!$D$10:$AF$63,O$1-2021,0)</f>
        <v>2722515</v>
      </c>
      <c r="P42" s="27">
        <f>VLOOKUP($A42,data_eurostat!$D$10:$AF$63,P$1-2021,0)</f>
        <v>2695630</v>
      </c>
      <c r="Q42" s="27">
        <f>VLOOKUP($A42,data_eurostat!$D$10:$AF$63,Q$1-2021,0)</f>
        <v>2668346</v>
      </c>
      <c r="R42" s="27">
        <f>VLOOKUP($A42,data_eurostat!$D$10:$AF$63,R$1-2021,0)</f>
        <v>2642443</v>
      </c>
      <c r="S42" s="27">
        <f>VLOOKUP($A42,data_eurostat!$D$10:$AF$63,S$1-2021,0)</f>
        <v>2619120</v>
      </c>
      <c r="T42" s="27">
        <f>VLOOKUP($A42,data_eurostat!$D$10:$AF$63,T$1-2021,0)</f>
        <v>2595576</v>
      </c>
      <c r="U42" s="27">
        <f>VLOOKUP($A42,data_eurostat!$D$10:$AF$63,U$1-2021,0)</f>
        <v>2572411</v>
      </c>
      <c r="V42" s="27">
        <f>VLOOKUP($A42,data_eurostat!$D$10:$AF$63,V$1-2021,0)</f>
        <v>2550364</v>
      </c>
      <c r="W42" s="27">
        <f>VLOOKUP($A42,data_eurostat!$D$10:$AF$63,W$1-2021,0)</f>
        <v>2526791</v>
      </c>
      <c r="X42" s="27">
        <f>VLOOKUP($A42,data_eurostat!$D$10:$AF$63,X$1-2021,0)</f>
        <v>2503716</v>
      </c>
      <c r="Y42" s="27">
        <f>VLOOKUP($A42,data_eurostat!$D$10:$AF$63,Y$1-2021,0)</f>
        <v>2482985</v>
      </c>
      <c r="Z42" s="27">
        <f>VLOOKUP($A42,data_eurostat!$D$10:$AF$63,Z$1-2021,0)</f>
        <v>2463876</v>
      </c>
      <c r="AA42" s="27">
        <f>VLOOKUP($A42,data_eurostat!$D$10:$AF$63,AA$1-2021,0)</f>
        <v>2445758</v>
      </c>
      <c r="AB42" s="27">
        <f>VLOOKUP($A42,data_eurostat!$D$10:$AF$63,AB$1-2021,0)</f>
        <v>2429415</v>
      </c>
      <c r="AC42" s="27">
        <f>VLOOKUP($A42,data_eurostat!$D$10:$AF$63,AC$1-2021,0)</f>
        <v>2411415</v>
      </c>
      <c r="AD42" s="27">
        <f>VLOOKUP($A42,data_eurostat!$D$10:$AF$63,AD$1-2021,0)</f>
        <v>2393134</v>
      </c>
      <c r="AE42" s="27">
        <f>VLOOKUP($A42,data_eurostat!$D$10:$AF$63,AE$1-2021,0)</f>
        <v>2375123</v>
      </c>
      <c r="AF42" s="27">
        <f>VLOOKUP($A42,data_eurostat!$D$10:$AF$63,AF$1-2021,0)</f>
        <v>2357303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x14ac:dyDescent="0.2">
      <c r="A43" t="str">
        <f>[1]popa!A15</f>
        <v>HU_POPAF</v>
      </c>
      <c r="E43" s="27">
        <f>VLOOKUP($A43,data_eurostat!$D$10:$AF$63,E$1-2021,0)</f>
        <v>7402391</v>
      </c>
      <c r="F43" s="27">
        <f>VLOOKUP($A43,data_eurostat!$D$10:$AF$63,F$1-2021,0)</f>
        <v>7373892</v>
      </c>
      <c r="G43" s="27">
        <f>VLOOKUP($A43,data_eurostat!$D$10:$AF$63,G$1-2021,0)</f>
        <v>7340889</v>
      </c>
      <c r="H43" s="27">
        <f>VLOOKUP($A43,data_eurostat!$D$10:$AF$63,H$1-2021,0)</f>
        <v>7293198</v>
      </c>
      <c r="I43" s="27">
        <f>VLOOKUP($A43,data_eurostat!$D$10:$AF$63,I$1-2021,0)</f>
        <v>7245514</v>
      </c>
      <c r="J43" s="27">
        <f>VLOOKUP($A43,data_eurostat!$D$10:$AF$63,J$1-2021,0)</f>
        <v>7203078</v>
      </c>
      <c r="K43" s="27">
        <f>VLOOKUP($A43,data_eurostat!$D$10:$AF$63,K$1-2021,0)</f>
        <v>7150997</v>
      </c>
      <c r="L43" s="27">
        <f>VLOOKUP($A43,data_eurostat!$D$10:$AF$63,L$1-2021,0)</f>
        <v>7094846</v>
      </c>
      <c r="M43" s="27">
        <f>VLOOKUP($A43,data_eurostat!$D$10:$AF$63,M$1-2021,0)</f>
        <v>7046325</v>
      </c>
      <c r="N43" s="27">
        <f>VLOOKUP($A43,data_eurostat!$D$10:$AF$63,N$1-2021,0)</f>
        <v>7009592</v>
      </c>
      <c r="O43" s="27">
        <f>VLOOKUP($A43,data_eurostat!$D$10:$AF$63,O$1-2021,0)</f>
        <v>6986063</v>
      </c>
      <c r="P43" s="27">
        <f>VLOOKUP($A43,data_eurostat!$D$10:$AF$63,P$1-2021,0)</f>
        <v>6965120</v>
      </c>
      <c r="Q43" s="27">
        <f>VLOOKUP($A43,data_eurostat!$D$10:$AF$63,Q$1-2021,0)</f>
        <v>6947858</v>
      </c>
      <c r="R43" s="27">
        <f>VLOOKUP($A43,data_eurostat!$D$10:$AF$63,R$1-2021,0)</f>
        <v>6935326</v>
      </c>
      <c r="S43" s="27">
        <f>VLOOKUP($A43,data_eurostat!$D$10:$AF$63,S$1-2021,0)</f>
        <v>6925933</v>
      </c>
      <c r="T43" s="27">
        <f>VLOOKUP($A43,data_eurostat!$D$10:$AF$63,T$1-2021,0)</f>
        <v>6917597</v>
      </c>
      <c r="U43" s="27">
        <f>VLOOKUP($A43,data_eurostat!$D$10:$AF$63,U$1-2021,0)</f>
        <v>6905317</v>
      </c>
      <c r="V43" s="27">
        <f>VLOOKUP($A43,data_eurostat!$D$10:$AF$63,V$1-2021,0)</f>
        <v>6892813</v>
      </c>
      <c r="W43" s="27">
        <f>VLOOKUP($A43,data_eurostat!$D$10:$AF$63,W$1-2021,0)</f>
        <v>6878620</v>
      </c>
      <c r="X43" s="27">
        <f>VLOOKUP($A43,data_eurostat!$D$10:$AF$63,X$1-2021,0)</f>
        <v>6859285</v>
      </c>
      <c r="Y43" s="27">
        <f>VLOOKUP($A43,data_eurostat!$D$10:$AF$63,Y$1-2021,0)</f>
        <v>6829918</v>
      </c>
      <c r="Z43" s="27">
        <f>VLOOKUP($A43,data_eurostat!$D$10:$AF$63,Z$1-2021,0)</f>
        <v>6795154</v>
      </c>
      <c r="AA43" s="27">
        <f>VLOOKUP($A43,data_eurostat!$D$10:$AF$63,AA$1-2021,0)</f>
        <v>6759113</v>
      </c>
      <c r="AB43" s="27">
        <f>VLOOKUP($A43,data_eurostat!$D$10:$AF$63,AB$1-2021,0)</f>
        <v>6722950</v>
      </c>
      <c r="AC43" s="27">
        <f>VLOOKUP($A43,data_eurostat!$D$10:$AF$63,AC$1-2021,0)</f>
        <v>6687048</v>
      </c>
      <c r="AD43" s="27">
        <f>VLOOKUP($A43,data_eurostat!$D$10:$AF$63,AD$1-2021,0)</f>
        <v>6648659</v>
      </c>
      <c r="AE43" s="27">
        <f>VLOOKUP($A43,data_eurostat!$D$10:$AF$63,AE$1-2021,0)</f>
        <v>6607849</v>
      </c>
      <c r="AF43" s="27">
        <f>VLOOKUP($A43,data_eurostat!$D$10:$AF$63,AF$1-2021,0)</f>
        <v>6547286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x14ac:dyDescent="0.2">
      <c r="A44" t="str">
        <f>[1]popa!A16</f>
        <v>IE_POPAF</v>
      </c>
      <c r="E44" s="27">
        <f>VLOOKUP($A44,data_eurostat!$D$10:$AF$63,E$1-2021,0)</f>
        <v>3904253</v>
      </c>
      <c r="F44" s="27">
        <f>VLOOKUP($A44,data_eurostat!$D$10:$AF$63,F$1-2021,0)</f>
        <v>3972979</v>
      </c>
      <c r="G44" s="27">
        <f>VLOOKUP($A44,data_eurostat!$D$10:$AF$63,G$1-2021,0)</f>
        <v>4039690</v>
      </c>
      <c r="H44" s="27">
        <f>VLOOKUP($A44,data_eurostat!$D$10:$AF$63,H$1-2021,0)</f>
        <v>4089263</v>
      </c>
      <c r="I44" s="27">
        <f>VLOOKUP($A44,data_eurostat!$D$10:$AF$63,I$1-2021,0)</f>
        <v>4135342</v>
      </c>
      <c r="J44" s="27">
        <f>VLOOKUP($A44,data_eurostat!$D$10:$AF$63,J$1-2021,0)</f>
        <v>4176017</v>
      </c>
      <c r="K44" s="27">
        <f>VLOOKUP($A44,data_eurostat!$D$10:$AF$63,K$1-2021,0)</f>
        <v>4213882</v>
      </c>
      <c r="L44" s="27">
        <f>VLOOKUP($A44,data_eurostat!$D$10:$AF$63,L$1-2021,0)</f>
        <v>4248692</v>
      </c>
      <c r="M44" s="27">
        <f>VLOOKUP($A44,data_eurostat!$D$10:$AF$63,M$1-2021,0)</f>
        <v>4281760</v>
      </c>
      <c r="N44" s="27">
        <f>VLOOKUP($A44,data_eurostat!$D$10:$AF$63,N$1-2021,0)</f>
        <v>4310863</v>
      </c>
      <c r="O44" s="27">
        <f>VLOOKUP($A44,data_eurostat!$D$10:$AF$63,O$1-2021,0)</f>
        <v>4335014</v>
      </c>
      <c r="P44" s="27">
        <f>VLOOKUP($A44,data_eurostat!$D$10:$AF$63,P$1-2021,0)</f>
        <v>4358964</v>
      </c>
      <c r="Q44" s="27">
        <f>VLOOKUP($A44,data_eurostat!$D$10:$AF$63,Q$1-2021,0)</f>
        <v>4378089</v>
      </c>
      <c r="R44" s="27">
        <f>VLOOKUP($A44,data_eurostat!$D$10:$AF$63,R$1-2021,0)</f>
        <v>4393629</v>
      </c>
      <c r="S44" s="27">
        <f>VLOOKUP($A44,data_eurostat!$D$10:$AF$63,S$1-2021,0)</f>
        <v>4411667</v>
      </c>
      <c r="T44" s="27">
        <f>VLOOKUP($A44,data_eurostat!$D$10:$AF$63,T$1-2021,0)</f>
        <v>4422018</v>
      </c>
      <c r="U44" s="27">
        <f>VLOOKUP($A44,data_eurostat!$D$10:$AF$63,U$1-2021,0)</f>
        <v>4430352</v>
      </c>
      <c r="V44" s="27">
        <f>VLOOKUP($A44,data_eurostat!$D$10:$AF$63,V$1-2021,0)</f>
        <v>4436383</v>
      </c>
      <c r="W44" s="27">
        <f>VLOOKUP($A44,data_eurostat!$D$10:$AF$63,W$1-2021,0)</f>
        <v>4441298</v>
      </c>
      <c r="X44" s="27">
        <f>VLOOKUP($A44,data_eurostat!$D$10:$AF$63,X$1-2021,0)</f>
        <v>4446810</v>
      </c>
      <c r="Y44" s="27">
        <f>VLOOKUP($A44,data_eurostat!$D$10:$AF$63,Y$1-2021,0)</f>
        <v>4450796</v>
      </c>
      <c r="Z44" s="27">
        <f>VLOOKUP($A44,data_eurostat!$D$10:$AF$63,Z$1-2021,0)</f>
        <v>4454650</v>
      </c>
      <c r="AA44" s="27">
        <f>VLOOKUP($A44,data_eurostat!$D$10:$AF$63,AA$1-2021,0)</f>
        <v>4456589</v>
      </c>
      <c r="AB44" s="27">
        <f>VLOOKUP($A44,data_eurostat!$D$10:$AF$63,AB$1-2021,0)</f>
        <v>4456139</v>
      </c>
      <c r="AC44" s="27">
        <f>VLOOKUP($A44,data_eurostat!$D$10:$AF$63,AC$1-2021,0)</f>
        <v>4456727</v>
      </c>
      <c r="AD44" s="27">
        <f>VLOOKUP($A44,data_eurostat!$D$10:$AF$63,AD$1-2021,0)</f>
        <v>4454455</v>
      </c>
      <c r="AE44" s="27">
        <f>VLOOKUP($A44,data_eurostat!$D$10:$AF$63,AE$1-2021,0)</f>
        <v>4451585</v>
      </c>
      <c r="AF44" s="27">
        <f>VLOOKUP($A44,data_eurostat!$D$10:$AF$63,AF$1-2021,0)</f>
        <v>4449091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1:82" x14ac:dyDescent="0.2">
      <c r="A45" t="str">
        <f>[1]popa!A17</f>
        <v>IT_POPAF</v>
      </c>
      <c r="E45" s="27">
        <f>VLOOKUP($A45,data_eurostat!$D$10:$AF$63,E$1-2021,0)</f>
        <v>44385497</v>
      </c>
      <c r="F45" s="27">
        <f>VLOOKUP($A45,data_eurostat!$D$10:$AF$63,F$1-2021,0)</f>
        <v>44373646</v>
      </c>
      <c r="G45" s="27">
        <f>VLOOKUP($A45,data_eurostat!$D$10:$AF$63,G$1-2021,0)</f>
        <v>44349403</v>
      </c>
      <c r="H45" s="27">
        <f>VLOOKUP($A45,data_eurostat!$D$10:$AF$63,H$1-2021,0)</f>
        <v>44301368</v>
      </c>
      <c r="I45" s="27">
        <f>VLOOKUP($A45,data_eurostat!$D$10:$AF$63,I$1-2021,0)</f>
        <v>44255078</v>
      </c>
      <c r="J45" s="27">
        <f>VLOOKUP($A45,data_eurostat!$D$10:$AF$63,J$1-2021,0)</f>
        <v>44191291</v>
      </c>
      <c r="K45" s="27">
        <f>VLOOKUP($A45,data_eurostat!$D$10:$AF$63,K$1-2021,0)</f>
        <v>44104073</v>
      </c>
      <c r="L45" s="27">
        <f>VLOOKUP($A45,data_eurostat!$D$10:$AF$63,L$1-2021,0)</f>
        <v>43988831</v>
      </c>
      <c r="M45" s="27">
        <f>VLOOKUP($A45,data_eurostat!$D$10:$AF$63,M$1-2021,0)</f>
        <v>43852354</v>
      </c>
      <c r="N45" s="27">
        <f>VLOOKUP($A45,data_eurostat!$D$10:$AF$63,N$1-2021,0)</f>
        <v>43696021</v>
      </c>
      <c r="O45" s="27">
        <f>VLOOKUP($A45,data_eurostat!$D$10:$AF$63,O$1-2021,0)</f>
        <v>43515427</v>
      </c>
      <c r="P45" s="27">
        <f>VLOOKUP($A45,data_eurostat!$D$10:$AF$63,P$1-2021,0)</f>
        <v>43312764</v>
      </c>
      <c r="Q45" s="27">
        <f>VLOOKUP($A45,data_eurostat!$D$10:$AF$63,Q$1-2021,0)</f>
        <v>43064435</v>
      </c>
      <c r="R45" s="27">
        <f>VLOOKUP($A45,data_eurostat!$D$10:$AF$63,R$1-2021,0)</f>
        <v>42784554</v>
      </c>
      <c r="S45" s="27">
        <f>VLOOKUP($A45,data_eurostat!$D$10:$AF$63,S$1-2021,0)</f>
        <v>42479062</v>
      </c>
      <c r="T45" s="27">
        <f>VLOOKUP($A45,data_eurostat!$D$10:$AF$63,T$1-2021,0)</f>
        <v>42151286</v>
      </c>
      <c r="U45" s="27">
        <f>VLOOKUP($A45,data_eurostat!$D$10:$AF$63,U$1-2021,0)</f>
        <v>41785489</v>
      </c>
      <c r="V45" s="27">
        <f>VLOOKUP($A45,data_eurostat!$D$10:$AF$63,V$1-2021,0)</f>
        <v>41387866</v>
      </c>
      <c r="W45" s="27">
        <f>VLOOKUP($A45,data_eurostat!$D$10:$AF$63,W$1-2021,0)</f>
        <v>41001669</v>
      </c>
      <c r="X45" s="27">
        <f>VLOOKUP($A45,data_eurostat!$D$10:$AF$63,X$1-2021,0)</f>
        <v>40612874</v>
      </c>
      <c r="Y45" s="27">
        <f>VLOOKUP($A45,data_eurostat!$D$10:$AF$63,Y$1-2021,0)</f>
        <v>40231323</v>
      </c>
      <c r="Z45" s="27">
        <f>VLOOKUP($A45,data_eurostat!$D$10:$AF$63,Z$1-2021,0)</f>
        <v>39854048</v>
      </c>
      <c r="AA45" s="27">
        <f>VLOOKUP($A45,data_eurostat!$D$10:$AF$63,AA$1-2021,0)</f>
        <v>39469514</v>
      </c>
      <c r="AB45" s="27">
        <f>VLOOKUP($A45,data_eurostat!$D$10:$AF$63,AB$1-2021,0)</f>
        <v>39107939</v>
      </c>
      <c r="AC45" s="27">
        <f>VLOOKUP($A45,data_eurostat!$D$10:$AF$63,AC$1-2021,0)</f>
        <v>38740596</v>
      </c>
      <c r="AD45" s="27">
        <f>VLOOKUP($A45,data_eurostat!$D$10:$AF$63,AD$1-2021,0)</f>
        <v>38383847</v>
      </c>
      <c r="AE45" s="27">
        <f>VLOOKUP($A45,data_eurostat!$D$10:$AF$63,AE$1-2021,0)</f>
        <v>38035994</v>
      </c>
      <c r="AF45" s="27">
        <f>VLOOKUP($A45,data_eurostat!$D$10:$AF$63,AF$1-2021,0)</f>
        <v>37685733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1:82" x14ac:dyDescent="0.2">
      <c r="A46" t="str">
        <f>[1]popa!A18</f>
        <v>LT_POPAF</v>
      </c>
      <c r="E46" s="27">
        <f>VLOOKUP($A46,data_eurostat!$D$10:$AF$63,E$1-2021,0)</f>
        <v>2167788</v>
      </c>
      <c r="F46" s="27">
        <f>VLOOKUP($A46,data_eurostat!$D$10:$AF$63,F$1-2021,0)</f>
        <v>2199513</v>
      </c>
      <c r="G46" s="27">
        <f>VLOOKUP($A46,data_eurostat!$D$10:$AF$63,G$1-2021,0)</f>
        <v>2213450</v>
      </c>
      <c r="H46" s="27">
        <f>VLOOKUP($A46,data_eurostat!$D$10:$AF$63,H$1-2021,0)</f>
        <v>2212422</v>
      </c>
      <c r="I46" s="27">
        <f>VLOOKUP($A46,data_eurostat!$D$10:$AF$63,I$1-2021,0)</f>
        <v>2207503</v>
      </c>
      <c r="J46" s="27">
        <f>VLOOKUP($A46,data_eurostat!$D$10:$AF$63,J$1-2021,0)</f>
        <v>2199340</v>
      </c>
      <c r="K46" s="27">
        <f>VLOOKUP($A46,data_eurostat!$D$10:$AF$63,K$1-2021,0)</f>
        <v>2191884</v>
      </c>
      <c r="L46" s="27">
        <f>VLOOKUP($A46,data_eurostat!$D$10:$AF$63,L$1-2021,0)</f>
        <v>2184125</v>
      </c>
      <c r="M46" s="27">
        <f>VLOOKUP($A46,data_eurostat!$D$10:$AF$63,M$1-2021,0)</f>
        <v>2176176</v>
      </c>
      <c r="N46" s="27">
        <f>VLOOKUP($A46,data_eurostat!$D$10:$AF$63,N$1-2021,0)</f>
        <v>2168732</v>
      </c>
      <c r="O46" s="27">
        <f>VLOOKUP($A46,data_eurostat!$D$10:$AF$63,O$1-2021,0)</f>
        <v>2157692</v>
      </c>
      <c r="P46" s="27">
        <f>VLOOKUP($A46,data_eurostat!$D$10:$AF$63,P$1-2021,0)</f>
        <v>2143828</v>
      </c>
      <c r="Q46" s="27">
        <f>VLOOKUP($A46,data_eurostat!$D$10:$AF$63,Q$1-2021,0)</f>
        <v>2128310</v>
      </c>
      <c r="R46" s="27">
        <f>VLOOKUP($A46,data_eurostat!$D$10:$AF$63,R$1-2021,0)</f>
        <v>2113392</v>
      </c>
      <c r="S46" s="27">
        <f>VLOOKUP($A46,data_eurostat!$D$10:$AF$63,S$1-2021,0)</f>
        <v>2097867</v>
      </c>
      <c r="T46" s="27">
        <f>VLOOKUP($A46,data_eurostat!$D$10:$AF$63,T$1-2021,0)</f>
        <v>2082248</v>
      </c>
      <c r="U46" s="27">
        <f>VLOOKUP($A46,data_eurostat!$D$10:$AF$63,U$1-2021,0)</f>
        <v>2066961</v>
      </c>
      <c r="V46" s="27">
        <f>VLOOKUP($A46,data_eurostat!$D$10:$AF$63,V$1-2021,0)</f>
        <v>2053273</v>
      </c>
      <c r="W46" s="27">
        <f>VLOOKUP($A46,data_eurostat!$D$10:$AF$63,W$1-2021,0)</f>
        <v>2040247</v>
      </c>
      <c r="X46" s="27">
        <f>VLOOKUP($A46,data_eurostat!$D$10:$AF$63,X$1-2021,0)</f>
        <v>2027078</v>
      </c>
      <c r="Y46" s="27">
        <f>VLOOKUP($A46,data_eurostat!$D$10:$AF$63,Y$1-2021,0)</f>
        <v>2014020</v>
      </c>
      <c r="Z46" s="27">
        <f>VLOOKUP($A46,data_eurostat!$D$10:$AF$63,Z$1-2021,0)</f>
        <v>2000703</v>
      </c>
      <c r="AA46" s="27">
        <f>VLOOKUP($A46,data_eurostat!$D$10:$AF$63,AA$1-2021,0)</f>
        <v>1987633</v>
      </c>
      <c r="AB46" s="27">
        <f>VLOOKUP($A46,data_eurostat!$D$10:$AF$63,AB$1-2021,0)</f>
        <v>1974041</v>
      </c>
      <c r="AC46" s="27">
        <f>VLOOKUP($A46,data_eurostat!$D$10:$AF$63,AC$1-2021,0)</f>
        <v>1960508</v>
      </c>
      <c r="AD46" s="27">
        <f>VLOOKUP($A46,data_eurostat!$D$10:$AF$63,AD$1-2021,0)</f>
        <v>1948380</v>
      </c>
      <c r="AE46" s="27">
        <f>VLOOKUP($A46,data_eurostat!$D$10:$AF$63,AE$1-2021,0)</f>
        <v>1938051</v>
      </c>
      <c r="AF46" s="27">
        <f>VLOOKUP($A46,data_eurostat!$D$10:$AF$63,AF$1-2021,0)</f>
        <v>1928065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1:82" x14ac:dyDescent="0.2">
      <c r="A47" t="str">
        <f>[1]popa!A19</f>
        <v>LU_POPAF</v>
      </c>
      <c r="E47" s="27">
        <f>VLOOKUP($A47,data_eurostat!$D$10:$AF$63,E$1-2021,0)</f>
        <v>512144</v>
      </c>
      <c r="F47" s="27">
        <f>VLOOKUP($A47,data_eurostat!$D$10:$AF$63,F$1-2021,0)</f>
        <v>521523</v>
      </c>
      <c r="G47" s="27">
        <f>VLOOKUP($A47,data_eurostat!$D$10:$AF$63,G$1-2021,0)</f>
        <v>530852</v>
      </c>
      <c r="H47" s="27">
        <f>VLOOKUP($A47,data_eurostat!$D$10:$AF$63,H$1-2021,0)</f>
        <v>540486</v>
      </c>
      <c r="I47" s="27">
        <f>VLOOKUP($A47,data_eurostat!$D$10:$AF$63,I$1-2021,0)</f>
        <v>549941</v>
      </c>
      <c r="J47" s="27">
        <f>VLOOKUP($A47,data_eurostat!$D$10:$AF$63,J$1-2021,0)</f>
        <v>558985</v>
      </c>
      <c r="K47" s="27">
        <f>VLOOKUP($A47,data_eurostat!$D$10:$AF$63,K$1-2021,0)</f>
        <v>567029</v>
      </c>
      <c r="L47" s="27">
        <f>VLOOKUP($A47,data_eurostat!$D$10:$AF$63,L$1-2021,0)</f>
        <v>574736</v>
      </c>
      <c r="M47" s="27">
        <f>VLOOKUP($A47,data_eurostat!$D$10:$AF$63,M$1-2021,0)</f>
        <v>581923</v>
      </c>
      <c r="N47" s="27">
        <f>VLOOKUP($A47,data_eurostat!$D$10:$AF$63,N$1-2021,0)</f>
        <v>588631</v>
      </c>
      <c r="O47" s="27">
        <f>VLOOKUP($A47,data_eurostat!$D$10:$AF$63,O$1-2021,0)</f>
        <v>594943</v>
      </c>
      <c r="P47" s="27">
        <f>VLOOKUP($A47,data_eurostat!$D$10:$AF$63,P$1-2021,0)</f>
        <v>600823</v>
      </c>
      <c r="Q47" s="27">
        <f>VLOOKUP($A47,data_eurostat!$D$10:$AF$63,Q$1-2021,0)</f>
        <v>606179</v>
      </c>
      <c r="R47" s="27">
        <f>VLOOKUP($A47,data_eurostat!$D$10:$AF$63,R$1-2021,0)</f>
        <v>611274</v>
      </c>
      <c r="S47" s="27">
        <f>VLOOKUP($A47,data_eurostat!$D$10:$AF$63,S$1-2021,0)</f>
        <v>616004</v>
      </c>
      <c r="T47" s="27">
        <f>VLOOKUP($A47,data_eurostat!$D$10:$AF$63,T$1-2021,0)</f>
        <v>619856</v>
      </c>
      <c r="U47" s="27">
        <f>VLOOKUP($A47,data_eurostat!$D$10:$AF$63,U$1-2021,0)</f>
        <v>623112</v>
      </c>
      <c r="V47" s="27">
        <f>VLOOKUP($A47,data_eurostat!$D$10:$AF$63,V$1-2021,0)</f>
        <v>626262</v>
      </c>
      <c r="W47" s="27">
        <f>VLOOKUP($A47,data_eurostat!$D$10:$AF$63,W$1-2021,0)</f>
        <v>629184</v>
      </c>
      <c r="X47" s="27">
        <f>VLOOKUP($A47,data_eurostat!$D$10:$AF$63,X$1-2021,0)</f>
        <v>632041</v>
      </c>
      <c r="Y47" s="27">
        <f>VLOOKUP($A47,data_eurostat!$D$10:$AF$63,Y$1-2021,0)</f>
        <v>634583</v>
      </c>
      <c r="Z47" s="27">
        <f>VLOOKUP($A47,data_eurostat!$D$10:$AF$63,Z$1-2021,0)</f>
        <v>636939</v>
      </c>
      <c r="AA47" s="27">
        <f>VLOOKUP($A47,data_eurostat!$D$10:$AF$63,AA$1-2021,0)</f>
        <v>639114</v>
      </c>
      <c r="AB47" s="27">
        <f>VLOOKUP($A47,data_eurostat!$D$10:$AF$63,AB$1-2021,0)</f>
        <v>641243</v>
      </c>
      <c r="AC47" s="27">
        <f>VLOOKUP($A47,data_eurostat!$D$10:$AF$63,AC$1-2021,0)</f>
        <v>642984</v>
      </c>
      <c r="AD47" s="27">
        <f>VLOOKUP($A47,data_eurostat!$D$10:$AF$63,AD$1-2021,0)</f>
        <v>644718</v>
      </c>
      <c r="AE47" s="27">
        <f>VLOOKUP($A47,data_eurostat!$D$10:$AF$63,AE$1-2021,0)</f>
        <v>646555</v>
      </c>
      <c r="AF47" s="27">
        <f>VLOOKUP($A47,data_eurostat!$D$10:$AF$63,AF$1-2021,0)</f>
        <v>647965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1:82" x14ac:dyDescent="0.2">
      <c r="A48" t="str">
        <f>[1]popa!A20</f>
        <v>LV_POPAF</v>
      </c>
      <c r="E48" s="27">
        <f>VLOOKUP($A48,data_eurostat!$D$10:$AF$63,E$1-2021,0)</f>
        <v>1400128</v>
      </c>
      <c r="F48" s="27">
        <f>VLOOKUP($A48,data_eurostat!$D$10:$AF$63,F$1-2021,0)</f>
        <v>1396167</v>
      </c>
      <c r="G48" s="27">
        <f>VLOOKUP($A48,data_eurostat!$D$10:$AF$63,G$1-2021,0)</f>
        <v>1385900</v>
      </c>
      <c r="H48" s="27">
        <f>VLOOKUP($A48,data_eurostat!$D$10:$AF$63,H$1-2021,0)</f>
        <v>1368588</v>
      </c>
      <c r="I48" s="27">
        <f>VLOOKUP($A48,data_eurostat!$D$10:$AF$63,I$1-2021,0)</f>
        <v>1350914</v>
      </c>
      <c r="J48" s="27">
        <f>VLOOKUP($A48,data_eurostat!$D$10:$AF$63,J$1-2021,0)</f>
        <v>1334770</v>
      </c>
      <c r="K48" s="27">
        <f>VLOOKUP($A48,data_eurostat!$D$10:$AF$63,K$1-2021,0)</f>
        <v>1321031</v>
      </c>
      <c r="L48" s="27">
        <f>VLOOKUP($A48,data_eurostat!$D$10:$AF$63,L$1-2021,0)</f>
        <v>1307581</v>
      </c>
      <c r="M48" s="27">
        <f>VLOOKUP($A48,data_eurostat!$D$10:$AF$63,M$1-2021,0)</f>
        <v>1294149</v>
      </c>
      <c r="N48" s="27">
        <f>VLOOKUP($A48,data_eurostat!$D$10:$AF$63,N$1-2021,0)</f>
        <v>1281166</v>
      </c>
      <c r="O48" s="27">
        <f>VLOOKUP($A48,data_eurostat!$D$10:$AF$63,O$1-2021,0)</f>
        <v>1266868</v>
      </c>
      <c r="P48" s="27">
        <f>VLOOKUP($A48,data_eurostat!$D$10:$AF$63,P$1-2021,0)</f>
        <v>1251210</v>
      </c>
      <c r="Q48" s="27">
        <f>VLOOKUP($A48,data_eurostat!$D$10:$AF$63,Q$1-2021,0)</f>
        <v>1235402</v>
      </c>
      <c r="R48" s="27">
        <f>VLOOKUP($A48,data_eurostat!$D$10:$AF$63,R$1-2021,0)</f>
        <v>1219966</v>
      </c>
      <c r="S48" s="27">
        <f>VLOOKUP($A48,data_eurostat!$D$10:$AF$63,S$1-2021,0)</f>
        <v>1204833</v>
      </c>
      <c r="T48" s="27">
        <f>VLOOKUP($A48,data_eurostat!$D$10:$AF$63,T$1-2021,0)</f>
        <v>1189047</v>
      </c>
      <c r="U48" s="27">
        <f>VLOOKUP($A48,data_eurostat!$D$10:$AF$63,U$1-2021,0)</f>
        <v>1173328</v>
      </c>
      <c r="V48" s="27">
        <f>VLOOKUP($A48,data_eurostat!$D$10:$AF$63,V$1-2021,0)</f>
        <v>1158464</v>
      </c>
      <c r="W48" s="27">
        <f>VLOOKUP($A48,data_eurostat!$D$10:$AF$63,W$1-2021,0)</f>
        <v>1144410</v>
      </c>
      <c r="X48" s="27">
        <f>VLOOKUP($A48,data_eurostat!$D$10:$AF$63,X$1-2021,0)</f>
        <v>1129865</v>
      </c>
      <c r="Y48" s="27">
        <f>VLOOKUP($A48,data_eurostat!$D$10:$AF$63,Y$1-2021,0)</f>
        <v>1115400</v>
      </c>
      <c r="Z48" s="27">
        <f>VLOOKUP($A48,data_eurostat!$D$10:$AF$63,Z$1-2021,0)</f>
        <v>1101004</v>
      </c>
      <c r="AA48" s="27">
        <f>VLOOKUP($A48,data_eurostat!$D$10:$AF$63,AA$1-2021,0)</f>
        <v>1086782</v>
      </c>
      <c r="AB48" s="27">
        <f>VLOOKUP($A48,data_eurostat!$D$10:$AF$63,AB$1-2021,0)</f>
        <v>1072396</v>
      </c>
      <c r="AC48" s="27">
        <f>VLOOKUP($A48,data_eurostat!$D$10:$AF$63,AC$1-2021,0)</f>
        <v>1057919</v>
      </c>
      <c r="AD48" s="27">
        <f>VLOOKUP($A48,data_eurostat!$D$10:$AF$63,AD$1-2021,0)</f>
        <v>1044303</v>
      </c>
      <c r="AE48" s="27">
        <f>VLOOKUP($A48,data_eurostat!$D$10:$AF$63,AE$1-2021,0)</f>
        <v>1031663</v>
      </c>
      <c r="AF48" s="27">
        <f>VLOOKUP($A48,data_eurostat!$D$10:$AF$63,AF$1-2021,0)</f>
        <v>1019343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1:82" x14ac:dyDescent="0.2">
      <c r="A49" t="str">
        <f>[1]popa!A21</f>
        <v>MT_POPAF</v>
      </c>
      <c r="E49" s="27">
        <f>VLOOKUP($A49,data_eurostat!$D$10:$AF$63,E$1-2021,0)</f>
        <v>428696</v>
      </c>
      <c r="F49" s="27">
        <f>VLOOKUP($A49,data_eurostat!$D$10:$AF$63,F$1-2021,0)</f>
        <v>446173</v>
      </c>
      <c r="G49" s="27">
        <f>VLOOKUP($A49,data_eurostat!$D$10:$AF$63,G$1-2021,0)</f>
        <v>460592</v>
      </c>
      <c r="H49" s="27">
        <f>VLOOKUP($A49,data_eurostat!$D$10:$AF$63,H$1-2021,0)</f>
        <v>472970</v>
      </c>
      <c r="I49" s="27">
        <f>VLOOKUP($A49,data_eurostat!$D$10:$AF$63,I$1-2021,0)</f>
        <v>484292</v>
      </c>
      <c r="J49" s="27">
        <f>VLOOKUP($A49,data_eurostat!$D$10:$AF$63,J$1-2021,0)</f>
        <v>493995</v>
      </c>
      <c r="K49" s="27">
        <f>VLOOKUP($A49,data_eurostat!$D$10:$AF$63,K$1-2021,0)</f>
        <v>502285</v>
      </c>
      <c r="L49" s="27">
        <f>VLOOKUP($A49,data_eurostat!$D$10:$AF$63,L$1-2021,0)</f>
        <v>510243</v>
      </c>
      <c r="M49" s="27">
        <f>VLOOKUP($A49,data_eurostat!$D$10:$AF$63,M$1-2021,0)</f>
        <v>517974</v>
      </c>
      <c r="N49" s="27">
        <f>VLOOKUP($A49,data_eurostat!$D$10:$AF$63,N$1-2021,0)</f>
        <v>525408</v>
      </c>
      <c r="O49" s="27">
        <f>VLOOKUP($A49,data_eurostat!$D$10:$AF$63,O$1-2021,0)</f>
        <v>532323</v>
      </c>
      <c r="P49" s="27">
        <f>VLOOKUP($A49,data_eurostat!$D$10:$AF$63,P$1-2021,0)</f>
        <v>539293</v>
      </c>
      <c r="Q49" s="27">
        <f>VLOOKUP($A49,data_eurostat!$D$10:$AF$63,Q$1-2021,0)</f>
        <v>545750</v>
      </c>
      <c r="R49" s="27">
        <f>VLOOKUP($A49,data_eurostat!$D$10:$AF$63,R$1-2021,0)</f>
        <v>552051</v>
      </c>
      <c r="S49" s="27">
        <f>VLOOKUP($A49,data_eurostat!$D$10:$AF$63,S$1-2021,0)</f>
        <v>558348</v>
      </c>
      <c r="T49" s="27">
        <f>VLOOKUP($A49,data_eurostat!$D$10:$AF$63,T$1-2021,0)</f>
        <v>564190</v>
      </c>
      <c r="U49" s="27">
        <f>VLOOKUP($A49,data_eurostat!$D$10:$AF$63,U$1-2021,0)</f>
        <v>570208</v>
      </c>
      <c r="V49" s="27">
        <f>VLOOKUP($A49,data_eurostat!$D$10:$AF$63,V$1-2021,0)</f>
        <v>576200</v>
      </c>
      <c r="W49" s="27">
        <f>VLOOKUP($A49,data_eurostat!$D$10:$AF$63,W$1-2021,0)</f>
        <v>582119</v>
      </c>
      <c r="X49" s="27">
        <f>VLOOKUP($A49,data_eurostat!$D$10:$AF$63,X$1-2021,0)</f>
        <v>588030</v>
      </c>
      <c r="Y49" s="27">
        <f>VLOOKUP($A49,data_eurostat!$D$10:$AF$63,Y$1-2021,0)</f>
        <v>593731</v>
      </c>
      <c r="Z49" s="27">
        <f>VLOOKUP($A49,data_eurostat!$D$10:$AF$63,Z$1-2021,0)</f>
        <v>598868</v>
      </c>
      <c r="AA49" s="27">
        <f>VLOOKUP($A49,data_eurostat!$D$10:$AF$63,AA$1-2021,0)</f>
        <v>603799</v>
      </c>
      <c r="AB49" s="27">
        <f>VLOOKUP($A49,data_eurostat!$D$10:$AF$63,AB$1-2021,0)</f>
        <v>608197</v>
      </c>
      <c r="AC49" s="27">
        <f>VLOOKUP($A49,data_eurostat!$D$10:$AF$63,AC$1-2021,0)</f>
        <v>612110</v>
      </c>
      <c r="AD49" s="27">
        <f>VLOOKUP($A49,data_eurostat!$D$10:$AF$63,AD$1-2021,0)</f>
        <v>615675</v>
      </c>
      <c r="AE49" s="27">
        <f>VLOOKUP($A49,data_eurostat!$D$10:$AF$63,AE$1-2021,0)</f>
        <v>618960</v>
      </c>
      <c r="AF49" s="27">
        <f>VLOOKUP($A49,data_eurostat!$D$10:$AF$63,AF$1-2021,0)</f>
        <v>621695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x14ac:dyDescent="0.2">
      <c r="A50" t="str">
        <f>[1]popa!A22</f>
        <v>NL_POPAF</v>
      </c>
      <c r="E50" s="27">
        <f>VLOOKUP($A50,data_eurostat!$D$10:$AF$63,E$1-2021,0)</f>
        <v>13440587</v>
      </c>
      <c r="F50" s="27">
        <f>VLOOKUP($A50,data_eurostat!$D$10:$AF$63,F$1-2021,0)</f>
        <v>13518244</v>
      </c>
      <c r="G50" s="27">
        <f>VLOOKUP($A50,data_eurostat!$D$10:$AF$63,G$1-2021,0)</f>
        <v>13592617</v>
      </c>
      <c r="H50" s="27">
        <f>VLOOKUP($A50,data_eurostat!$D$10:$AF$63,H$1-2021,0)</f>
        <v>13651799</v>
      </c>
      <c r="I50" s="27">
        <f>VLOOKUP($A50,data_eurostat!$D$10:$AF$63,I$1-2021,0)</f>
        <v>13702535</v>
      </c>
      <c r="J50" s="27">
        <f>VLOOKUP($A50,data_eurostat!$D$10:$AF$63,J$1-2021,0)</f>
        <v>13738888</v>
      </c>
      <c r="K50" s="27">
        <f>VLOOKUP($A50,data_eurostat!$D$10:$AF$63,K$1-2021,0)</f>
        <v>13769924</v>
      </c>
      <c r="L50" s="27">
        <f>VLOOKUP($A50,data_eurostat!$D$10:$AF$63,L$1-2021,0)</f>
        <v>13802511</v>
      </c>
      <c r="M50" s="27">
        <f>VLOOKUP($A50,data_eurostat!$D$10:$AF$63,M$1-2021,0)</f>
        <v>13828549</v>
      </c>
      <c r="N50" s="27">
        <f>VLOOKUP($A50,data_eurostat!$D$10:$AF$63,N$1-2021,0)</f>
        <v>13851163</v>
      </c>
      <c r="O50" s="27">
        <f>VLOOKUP($A50,data_eurostat!$D$10:$AF$63,O$1-2021,0)</f>
        <v>13868127</v>
      </c>
      <c r="P50" s="27">
        <f>VLOOKUP($A50,data_eurostat!$D$10:$AF$63,P$1-2021,0)</f>
        <v>13880798</v>
      </c>
      <c r="Q50" s="27">
        <f>VLOOKUP($A50,data_eurostat!$D$10:$AF$63,Q$1-2021,0)</f>
        <v>13889804</v>
      </c>
      <c r="R50" s="27">
        <f>VLOOKUP($A50,data_eurostat!$D$10:$AF$63,R$1-2021,0)</f>
        <v>13898403</v>
      </c>
      <c r="S50" s="27">
        <f>VLOOKUP($A50,data_eurostat!$D$10:$AF$63,S$1-2021,0)</f>
        <v>13911179</v>
      </c>
      <c r="T50" s="27">
        <f>VLOOKUP($A50,data_eurostat!$D$10:$AF$63,T$1-2021,0)</f>
        <v>13908306</v>
      </c>
      <c r="U50" s="27">
        <f>VLOOKUP($A50,data_eurostat!$D$10:$AF$63,U$1-2021,0)</f>
        <v>13898579</v>
      </c>
      <c r="V50" s="27">
        <f>VLOOKUP($A50,data_eurostat!$D$10:$AF$63,V$1-2021,0)</f>
        <v>13892409</v>
      </c>
      <c r="W50" s="27">
        <f>VLOOKUP($A50,data_eurostat!$D$10:$AF$63,W$1-2021,0)</f>
        <v>13891774</v>
      </c>
      <c r="X50" s="27">
        <f>VLOOKUP($A50,data_eurostat!$D$10:$AF$63,X$1-2021,0)</f>
        <v>13895916</v>
      </c>
      <c r="Y50" s="27">
        <f>VLOOKUP($A50,data_eurostat!$D$10:$AF$63,Y$1-2021,0)</f>
        <v>13902643</v>
      </c>
      <c r="Z50" s="27">
        <f>VLOOKUP($A50,data_eurostat!$D$10:$AF$63,Z$1-2021,0)</f>
        <v>13908258</v>
      </c>
      <c r="AA50" s="27">
        <f>VLOOKUP($A50,data_eurostat!$D$10:$AF$63,AA$1-2021,0)</f>
        <v>13905330</v>
      </c>
      <c r="AB50" s="27">
        <f>VLOOKUP($A50,data_eurostat!$D$10:$AF$63,AB$1-2021,0)</f>
        <v>13907741</v>
      </c>
      <c r="AC50" s="27">
        <f>VLOOKUP($A50,data_eurostat!$D$10:$AF$63,AC$1-2021,0)</f>
        <v>13919819</v>
      </c>
      <c r="AD50" s="27">
        <f>VLOOKUP($A50,data_eurostat!$D$10:$AF$63,AD$1-2021,0)</f>
        <v>13941167</v>
      </c>
      <c r="AE50" s="27">
        <f>VLOOKUP($A50,data_eurostat!$D$10:$AF$63,AE$1-2021,0)</f>
        <v>13976453</v>
      </c>
      <c r="AF50" s="27">
        <f>VLOOKUP($A50,data_eurostat!$D$10:$AF$63,AF$1-2021,0)</f>
        <v>14016164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x14ac:dyDescent="0.2">
      <c r="A51" t="str">
        <f>[1]popa!A23</f>
        <v>PL_POPAF</v>
      </c>
      <c r="E51" s="27">
        <f>VLOOKUP($A51,data_eurostat!$D$10:$AF$63,E$1-2021,0)</f>
        <v>28772596</v>
      </c>
      <c r="F51" s="27">
        <f>VLOOKUP($A51,data_eurostat!$D$10:$AF$63,F$1-2021,0)</f>
        <v>28823747</v>
      </c>
      <c r="G51" s="27">
        <f>VLOOKUP($A51,data_eurostat!$D$10:$AF$63,G$1-2021,0)</f>
        <v>28770919</v>
      </c>
      <c r="H51" s="27">
        <f>VLOOKUP($A51,data_eurostat!$D$10:$AF$63,H$1-2021,0)</f>
        <v>28616258</v>
      </c>
      <c r="I51" s="27">
        <f>VLOOKUP($A51,data_eurostat!$D$10:$AF$63,I$1-2021,0)</f>
        <v>28419750</v>
      </c>
      <c r="J51" s="27">
        <f>VLOOKUP($A51,data_eurostat!$D$10:$AF$63,J$1-2021,0)</f>
        <v>28218856</v>
      </c>
      <c r="K51" s="27">
        <f>VLOOKUP($A51,data_eurostat!$D$10:$AF$63,K$1-2021,0)</f>
        <v>28006809</v>
      </c>
      <c r="L51" s="27">
        <f>VLOOKUP($A51,data_eurostat!$D$10:$AF$63,L$1-2021,0)</f>
        <v>27807072</v>
      </c>
      <c r="M51" s="27">
        <f>VLOOKUP($A51,data_eurostat!$D$10:$AF$63,M$1-2021,0)</f>
        <v>27597645</v>
      </c>
      <c r="N51" s="27">
        <f>VLOOKUP($A51,data_eurostat!$D$10:$AF$63,N$1-2021,0)</f>
        <v>27409667</v>
      </c>
      <c r="O51" s="27">
        <f>VLOOKUP($A51,data_eurostat!$D$10:$AF$63,O$1-2021,0)</f>
        <v>27243472</v>
      </c>
      <c r="P51" s="27">
        <f>VLOOKUP($A51,data_eurostat!$D$10:$AF$63,P$1-2021,0)</f>
        <v>27075615</v>
      </c>
      <c r="Q51" s="27">
        <f>VLOOKUP($A51,data_eurostat!$D$10:$AF$63,Q$1-2021,0)</f>
        <v>26916044</v>
      </c>
      <c r="R51" s="27">
        <f>VLOOKUP($A51,data_eurostat!$D$10:$AF$63,R$1-2021,0)</f>
        <v>26796127</v>
      </c>
      <c r="S51" s="27">
        <f>VLOOKUP($A51,data_eurostat!$D$10:$AF$63,S$1-2021,0)</f>
        <v>26687240</v>
      </c>
      <c r="T51" s="27">
        <f>VLOOKUP($A51,data_eurostat!$D$10:$AF$63,T$1-2021,0)</f>
        <v>26566548</v>
      </c>
      <c r="U51" s="27">
        <f>VLOOKUP($A51,data_eurostat!$D$10:$AF$63,U$1-2021,0)</f>
        <v>26425507</v>
      </c>
      <c r="V51" s="27">
        <f>VLOOKUP($A51,data_eurostat!$D$10:$AF$63,V$1-2021,0)</f>
        <v>26306668</v>
      </c>
      <c r="W51" s="27">
        <f>VLOOKUP($A51,data_eurostat!$D$10:$AF$63,W$1-2021,0)</f>
        <v>26189808</v>
      </c>
      <c r="X51" s="27">
        <f>VLOOKUP($A51,data_eurostat!$D$10:$AF$63,X$1-2021,0)</f>
        <v>26073698</v>
      </c>
      <c r="Y51" s="27">
        <f>VLOOKUP($A51,data_eurostat!$D$10:$AF$63,Y$1-2021,0)</f>
        <v>25955474</v>
      </c>
      <c r="Z51" s="27">
        <f>VLOOKUP($A51,data_eurostat!$D$10:$AF$63,Z$1-2021,0)</f>
        <v>25831381</v>
      </c>
      <c r="AA51" s="27">
        <f>VLOOKUP($A51,data_eurostat!$D$10:$AF$63,AA$1-2021,0)</f>
        <v>25699301</v>
      </c>
      <c r="AB51" s="27">
        <f>VLOOKUP($A51,data_eurostat!$D$10:$AF$63,AB$1-2021,0)</f>
        <v>25553586</v>
      </c>
      <c r="AC51" s="27">
        <f>VLOOKUP($A51,data_eurostat!$D$10:$AF$63,AC$1-2021,0)</f>
        <v>25395556</v>
      </c>
      <c r="AD51" s="27">
        <f>VLOOKUP($A51,data_eurostat!$D$10:$AF$63,AD$1-2021,0)</f>
        <v>25225542</v>
      </c>
      <c r="AE51" s="27">
        <f>VLOOKUP($A51,data_eurostat!$D$10:$AF$63,AE$1-2021,0)</f>
        <v>25045125</v>
      </c>
      <c r="AF51" s="27">
        <f>VLOOKUP($A51,data_eurostat!$D$10:$AF$63,AF$1-2021,0)</f>
        <v>24851106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x14ac:dyDescent="0.2">
      <c r="A52" t="str">
        <f>[1]popa!A24</f>
        <v>PT_POPAF</v>
      </c>
      <c r="E52" s="27">
        <f>VLOOKUP($A52,data_eurostat!$D$10:$AF$63,E$1-2021,0)</f>
        <v>7932750</v>
      </c>
      <c r="F52" s="27">
        <f>VLOOKUP($A52,data_eurostat!$D$10:$AF$63,F$1-2021,0)</f>
        <v>8009616</v>
      </c>
      <c r="G52" s="27">
        <f>VLOOKUP($A52,data_eurostat!$D$10:$AF$63,G$1-2021,0)</f>
        <v>8021788</v>
      </c>
      <c r="H52" s="27">
        <f>VLOOKUP($A52,data_eurostat!$D$10:$AF$63,H$1-2021,0)</f>
        <v>8018305</v>
      </c>
      <c r="I52" s="27">
        <f>VLOOKUP($A52,data_eurostat!$D$10:$AF$63,I$1-2021,0)</f>
        <v>8002879</v>
      </c>
      <c r="J52" s="27">
        <f>VLOOKUP($A52,data_eurostat!$D$10:$AF$63,J$1-2021,0)</f>
        <v>7974768</v>
      </c>
      <c r="K52" s="27">
        <f>VLOOKUP($A52,data_eurostat!$D$10:$AF$63,K$1-2021,0)</f>
        <v>7942991</v>
      </c>
      <c r="L52" s="27">
        <f>VLOOKUP($A52,data_eurostat!$D$10:$AF$63,L$1-2021,0)</f>
        <v>7908292</v>
      </c>
      <c r="M52" s="27">
        <f>VLOOKUP($A52,data_eurostat!$D$10:$AF$63,M$1-2021,0)</f>
        <v>7872614</v>
      </c>
      <c r="N52" s="27">
        <f>VLOOKUP($A52,data_eurostat!$D$10:$AF$63,N$1-2021,0)</f>
        <v>7839442</v>
      </c>
      <c r="O52" s="27">
        <f>VLOOKUP($A52,data_eurostat!$D$10:$AF$63,O$1-2021,0)</f>
        <v>7801332</v>
      </c>
      <c r="P52" s="27">
        <f>VLOOKUP($A52,data_eurostat!$D$10:$AF$63,P$1-2021,0)</f>
        <v>7763178</v>
      </c>
      <c r="Q52" s="27">
        <f>VLOOKUP($A52,data_eurostat!$D$10:$AF$63,Q$1-2021,0)</f>
        <v>7725709</v>
      </c>
      <c r="R52" s="27">
        <f>VLOOKUP($A52,data_eurostat!$D$10:$AF$63,R$1-2021,0)</f>
        <v>7682840</v>
      </c>
      <c r="S52" s="27">
        <f>VLOOKUP($A52,data_eurostat!$D$10:$AF$63,S$1-2021,0)</f>
        <v>7635817</v>
      </c>
      <c r="T52" s="27">
        <f>VLOOKUP($A52,data_eurostat!$D$10:$AF$63,T$1-2021,0)</f>
        <v>7592761</v>
      </c>
      <c r="U52" s="27">
        <f>VLOOKUP($A52,data_eurostat!$D$10:$AF$63,U$1-2021,0)</f>
        <v>7551825</v>
      </c>
      <c r="V52" s="27">
        <f>VLOOKUP($A52,data_eurostat!$D$10:$AF$63,V$1-2021,0)</f>
        <v>7507597</v>
      </c>
      <c r="W52" s="27">
        <f>VLOOKUP($A52,data_eurostat!$D$10:$AF$63,W$1-2021,0)</f>
        <v>7464355</v>
      </c>
      <c r="X52" s="27">
        <f>VLOOKUP($A52,data_eurostat!$D$10:$AF$63,X$1-2021,0)</f>
        <v>7421871</v>
      </c>
      <c r="Y52" s="27">
        <f>VLOOKUP($A52,data_eurostat!$D$10:$AF$63,Y$1-2021,0)</f>
        <v>7380824</v>
      </c>
      <c r="Z52" s="27">
        <f>VLOOKUP($A52,data_eurostat!$D$10:$AF$63,Z$1-2021,0)</f>
        <v>7339225</v>
      </c>
      <c r="AA52" s="27">
        <f>VLOOKUP($A52,data_eurostat!$D$10:$AF$63,AA$1-2021,0)</f>
        <v>7296779</v>
      </c>
      <c r="AB52" s="27">
        <f>VLOOKUP($A52,data_eurostat!$D$10:$AF$63,AB$1-2021,0)</f>
        <v>7251854</v>
      </c>
      <c r="AC52" s="27">
        <f>VLOOKUP($A52,data_eurostat!$D$10:$AF$63,AC$1-2021,0)</f>
        <v>7202817</v>
      </c>
      <c r="AD52" s="27">
        <f>VLOOKUP($A52,data_eurostat!$D$10:$AF$63,AD$1-2021,0)</f>
        <v>7152756</v>
      </c>
      <c r="AE52" s="27">
        <f>VLOOKUP($A52,data_eurostat!$D$10:$AF$63,AE$1-2021,0)</f>
        <v>7103022</v>
      </c>
      <c r="AF52" s="27">
        <f>VLOOKUP($A52,data_eurostat!$D$10:$AF$63,AF$1-2021,0)</f>
        <v>7049323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x14ac:dyDescent="0.2">
      <c r="A53" t="str">
        <f>[1]popa!A25</f>
        <v>RO_POPAF</v>
      </c>
      <c r="E53" s="27">
        <f>VLOOKUP($A53,data_eurostat!$D$10:$AF$63,E$1-2021,0)</f>
        <v>14520023</v>
      </c>
      <c r="F53" s="27">
        <f>VLOOKUP($A53,data_eurostat!$D$10:$AF$63,F$1-2021,0)</f>
        <v>14554837</v>
      </c>
      <c r="G53" s="27">
        <f>VLOOKUP($A53,data_eurostat!$D$10:$AF$63,G$1-2021,0)</f>
        <v>14521822</v>
      </c>
      <c r="H53" s="27">
        <f>VLOOKUP($A53,data_eurostat!$D$10:$AF$63,H$1-2021,0)</f>
        <v>14438885</v>
      </c>
      <c r="I53" s="27">
        <f>VLOOKUP($A53,data_eurostat!$D$10:$AF$63,I$1-2021,0)</f>
        <v>14340296</v>
      </c>
      <c r="J53" s="27">
        <f>VLOOKUP($A53,data_eurostat!$D$10:$AF$63,J$1-2021,0)</f>
        <v>14229135</v>
      </c>
      <c r="K53" s="27">
        <f>VLOOKUP($A53,data_eurostat!$D$10:$AF$63,K$1-2021,0)</f>
        <v>14116883</v>
      </c>
      <c r="L53" s="27">
        <f>VLOOKUP($A53,data_eurostat!$D$10:$AF$63,L$1-2021,0)</f>
        <v>14001332</v>
      </c>
      <c r="M53" s="27">
        <f>VLOOKUP($A53,data_eurostat!$D$10:$AF$63,M$1-2021,0)</f>
        <v>13873636</v>
      </c>
      <c r="N53" s="27">
        <f>VLOOKUP($A53,data_eurostat!$D$10:$AF$63,N$1-2021,0)</f>
        <v>13764141</v>
      </c>
      <c r="O53" s="27">
        <f>VLOOKUP($A53,data_eurostat!$D$10:$AF$63,O$1-2021,0)</f>
        <v>13679918</v>
      </c>
      <c r="P53" s="27">
        <f>VLOOKUP($A53,data_eurostat!$D$10:$AF$63,P$1-2021,0)</f>
        <v>13602826</v>
      </c>
      <c r="Q53" s="27">
        <f>VLOOKUP($A53,data_eurostat!$D$10:$AF$63,Q$1-2021,0)</f>
        <v>13529301</v>
      </c>
      <c r="R53" s="27">
        <f>VLOOKUP($A53,data_eurostat!$D$10:$AF$63,R$1-2021,0)</f>
        <v>13464005</v>
      </c>
      <c r="S53" s="27">
        <f>VLOOKUP($A53,data_eurostat!$D$10:$AF$63,S$1-2021,0)</f>
        <v>13400968</v>
      </c>
      <c r="T53" s="27">
        <f>VLOOKUP($A53,data_eurostat!$D$10:$AF$63,T$1-2021,0)</f>
        <v>13344895</v>
      </c>
      <c r="U53" s="27">
        <f>VLOOKUP($A53,data_eurostat!$D$10:$AF$63,U$1-2021,0)</f>
        <v>13273132</v>
      </c>
      <c r="V53" s="27">
        <f>VLOOKUP($A53,data_eurostat!$D$10:$AF$63,V$1-2021,0)</f>
        <v>13223775</v>
      </c>
      <c r="W53" s="27">
        <f>VLOOKUP($A53,data_eurostat!$D$10:$AF$63,W$1-2021,0)</f>
        <v>13176076</v>
      </c>
      <c r="X53" s="27">
        <f>VLOOKUP($A53,data_eurostat!$D$10:$AF$63,X$1-2021,0)</f>
        <v>13131154</v>
      </c>
      <c r="Y53" s="27">
        <f>VLOOKUP($A53,data_eurostat!$D$10:$AF$63,Y$1-2021,0)</f>
        <v>12967823</v>
      </c>
      <c r="Z53" s="27">
        <f>VLOOKUP($A53,data_eurostat!$D$10:$AF$63,Z$1-2021,0)</f>
        <v>12792190</v>
      </c>
      <c r="AA53" s="27">
        <f>VLOOKUP($A53,data_eurostat!$D$10:$AF$63,AA$1-2021,0)</f>
        <v>12656211</v>
      </c>
      <c r="AB53" s="27">
        <f>VLOOKUP($A53,data_eurostat!$D$10:$AF$63,AB$1-2021,0)</f>
        <v>12544908</v>
      </c>
      <c r="AC53" s="27">
        <f>VLOOKUP($A53,data_eurostat!$D$10:$AF$63,AC$1-2021,0)</f>
        <v>12445695</v>
      </c>
      <c r="AD53" s="27">
        <f>VLOOKUP($A53,data_eurostat!$D$10:$AF$63,AD$1-2021,0)</f>
        <v>12351670</v>
      </c>
      <c r="AE53" s="27">
        <f>VLOOKUP($A53,data_eurostat!$D$10:$AF$63,AE$1-2021,0)</f>
        <v>12264836</v>
      </c>
      <c r="AF53" s="27">
        <f>VLOOKUP($A53,data_eurostat!$D$10:$AF$63,AF$1-2021,0)</f>
        <v>12155576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x14ac:dyDescent="0.2">
      <c r="A54" t="str">
        <f>[1]popa!A26</f>
        <v>SE_POPAF</v>
      </c>
      <c r="E54" s="27">
        <f>VLOOKUP($A54,data_eurostat!$D$10:$AF$63,E$1-2021,0)</f>
        <v>7638818</v>
      </c>
      <c r="F54" s="27">
        <f>VLOOKUP($A54,data_eurostat!$D$10:$AF$63,F$1-2021,0)</f>
        <v>7651538</v>
      </c>
      <c r="G54" s="27">
        <f>VLOOKUP($A54,data_eurostat!$D$10:$AF$63,G$1-2021,0)</f>
        <v>7694260</v>
      </c>
      <c r="H54" s="27">
        <f>VLOOKUP($A54,data_eurostat!$D$10:$AF$63,H$1-2021,0)</f>
        <v>7745775</v>
      </c>
      <c r="I54" s="27">
        <f>VLOOKUP($A54,data_eurostat!$D$10:$AF$63,I$1-2021,0)</f>
        <v>7799283</v>
      </c>
      <c r="J54" s="27">
        <f>VLOOKUP($A54,data_eurostat!$D$10:$AF$63,J$1-2021,0)</f>
        <v>7855349</v>
      </c>
      <c r="K54" s="27">
        <f>VLOOKUP($A54,data_eurostat!$D$10:$AF$63,K$1-2021,0)</f>
        <v>7910013</v>
      </c>
      <c r="L54" s="27">
        <f>VLOOKUP($A54,data_eurostat!$D$10:$AF$63,L$1-2021,0)</f>
        <v>7968097</v>
      </c>
      <c r="M54" s="27">
        <f>VLOOKUP($A54,data_eurostat!$D$10:$AF$63,M$1-2021,0)</f>
        <v>8022889</v>
      </c>
      <c r="N54" s="27">
        <f>VLOOKUP($A54,data_eurostat!$D$10:$AF$63,N$1-2021,0)</f>
        <v>8078107</v>
      </c>
      <c r="O54" s="27">
        <f>VLOOKUP($A54,data_eurostat!$D$10:$AF$63,O$1-2021,0)</f>
        <v>8129650</v>
      </c>
      <c r="P54" s="27">
        <f>VLOOKUP($A54,data_eurostat!$D$10:$AF$63,P$1-2021,0)</f>
        <v>8181302</v>
      </c>
      <c r="Q54" s="27">
        <f>VLOOKUP($A54,data_eurostat!$D$10:$AF$63,Q$1-2021,0)</f>
        <v>8230524</v>
      </c>
      <c r="R54" s="27">
        <f>VLOOKUP($A54,data_eurostat!$D$10:$AF$63,R$1-2021,0)</f>
        <v>8278933</v>
      </c>
      <c r="S54" s="27">
        <f>VLOOKUP($A54,data_eurostat!$D$10:$AF$63,S$1-2021,0)</f>
        <v>8326520</v>
      </c>
      <c r="T54" s="27">
        <f>VLOOKUP($A54,data_eurostat!$D$10:$AF$63,T$1-2021,0)</f>
        <v>8359633</v>
      </c>
      <c r="U54" s="27">
        <f>VLOOKUP($A54,data_eurostat!$D$10:$AF$63,U$1-2021,0)</f>
        <v>8382221</v>
      </c>
      <c r="V54" s="27">
        <f>VLOOKUP($A54,data_eurostat!$D$10:$AF$63,V$1-2021,0)</f>
        <v>8398731</v>
      </c>
      <c r="W54" s="27">
        <f>VLOOKUP($A54,data_eurostat!$D$10:$AF$63,W$1-2021,0)</f>
        <v>8414202</v>
      </c>
      <c r="X54" s="27">
        <f>VLOOKUP($A54,data_eurostat!$D$10:$AF$63,X$1-2021,0)</f>
        <v>8429367</v>
      </c>
      <c r="Y54" s="27">
        <f>VLOOKUP($A54,data_eurostat!$D$10:$AF$63,Y$1-2021,0)</f>
        <v>8444698</v>
      </c>
      <c r="Z54" s="27">
        <f>VLOOKUP($A54,data_eurostat!$D$10:$AF$63,Z$1-2021,0)</f>
        <v>8464424</v>
      </c>
      <c r="AA54" s="27">
        <f>VLOOKUP($A54,data_eurostat!$D$10:$AF$63,AA$1-2021,0)</f>
        <v>8487647</v>
      </c>
      <c r="AB54" s="27">
        <f>VLOOKUP($A54,data_eurostat!$D$10:$AF$63,AB$1-2021,0)</f>
        <v>8508132</v>
      </c>
      <c r="AC54" s="27">
        <f>VLOOKUP($A54,data_eurostat!$D$10:$AF$63,AC$1-2021,0)</f>
        <v>8525286</v>
      </c>
      <c r="AD54" s="27">
        <f>VLOOKUP($A54,data_eurostat!$D$10:$AF$63,AD$1-2021,0)</f>
        <v>8541860</v>
      </c>
      <c r="AE54" s="27">
        <f>VLOOKUP($A54,data_eurostat!$D$10:$AF$63,AE$1-2021,0)</f>
        <v>8560413</v>
      </c>
      <c r="AF54" s="27">
        <f>VLOOKUP($A54,data_eurostat!$D$10:$AF$63,AF$1-2021,0)</f>
        <v>8577092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ht="12.75" customHeight="1" x14ac:dyDescent="0.2">
      <c r="A55" t="str">
        <f>[1]popa!A27</f>
        <v>SI_POPAF</v>
      </c>
      <c r="E55" s="27">
        <f>VLOOKUP($A55,data_eurostat!$D$10:$AF$63,E$1-2021,0)</f>
        <v>1601119</v>
      </c>
      <c r="F55" s="27">
        <f>VLOOKUP($A55,data_eurostat!$D$10:$AF$63,F$1-2021,0)</f>
        <v>1606326</v>
      </c>
      <c r="G55" s="27">
        <f>VLOOKUP($A55,data_eurostat!$D$10:$AF$63,G$1-2021,0)</f>
        <v>1608748</v>
      </c>
      <c r="H55" s="27">
        <f>VLOOKUP($A55,data_eurostat!$D$10:$AF$63,H$1-2021,0)</f>
        <v>1608167</v>
      </c>
      <c r="I55" s="27">
        <f>VLOOKUP($A55,data_eurostat!$D$10:$AF$63,I$1-2021,0)</f>
        <v>1607194</v>
      </c>
      <c r="J55" s="27">
        <f>VLOOKUP($A55,data_eurostat!$D$10:$AF$63,J$1-2021,0)</f>
        <v>1605248</v>
      </c>
      <c r="K55" s="27">
        <f>VLOOKUP($A55,data_eurostat!$D$10:$AF$63,K$1-2021,0)</f>
        <v>1602228</v>
      </c>
      <c r="L55" s="27">
        <f>VLOOKUP($A55,data_eurostat!$D$10:$AF$63,L$1-2021,0)</f>
        <v>1599595</v>
      </c>
      <c r="M55" s="27">
        <f>VLOOKUP($A55,data_eurostat!$D$10:$AF$63,M$1-2021,0)</f>
        <v>1596219</v>
      </c>
      <c r="N55" s="27">
        <f>VLOOKUP($A55,data_eurostat!$D$10:$AF$63,N$1-2021,0)</f>
        <v>1592539</v>
      </c>
      <c r="O55" s="27">
        <f>VLOOKUP($A55,data_eurostat!$D$10:$AF$63,O$1-2021,0)</f>
        <v>1589534</v>
      </c>
      <c r="P55" s="27">
        <f>VLOOKUP($A55,data_eurostat!$D$10:$AF$63,P$1-2021,0)</f>
        <v>1586435</v>
      </c>
      <c r="Q55" s="27">
        <f>VLOOKUP($A55,data_eurostat!$D$10:$AF$63,Q$1-2021,0)</f>
        <v>1582938</v>
      </c>
      <c r="R55" s="27">
        <f>VLOOKUP($A55,data_eurostat!$D$10:$AF$63,R$1-2021,0)</f>
        <v>1578719</v>
      </c>
      <c r="S55" s="27">
        <f>VLOOKUP($A55,data_eurostat!$D$10:$AF$63,S$1-2021,0)</f>
        <v>1574386</v>
      </c>
      <c r="T55" s="27">
        <f>VLOOKUP($A55,data_eurostat!$D$10:$AF$63,T$1-2021,0)</f>
        <v>1568770</v>
      </c>
      <c r="U55" s="27">
        <f>VLOOKUP($A55,data_eurostat!$D$10:$AF$63,U$1-2021,0)</f>
        <v>1562680</v>
      </c>
      <c r="V55" s="27">
        <f>VLOOKUP($A55,data_eurostat!$D$10:$AF$63,V$1-2021,0)</f>
        <v>1556367</v>
      </c>
      <c r="W55" s="27">
        <f>VLOOKUP($A55,data_eurostat!$D$10:$AF$63,W$1-2021,0)</f>
        <v>1549039</v>
      </c>
      <c r="X55" s="27">
        <f>VLOOKUP($A55,data_eurostat!$D$10:$AF$63,X$1-2021,0)</f>
        <v>1541627</v>
      </c>
      <c r="Y55" s="27">
        <f>VLOOKUP($A55,data_eurostat!$D$10:$AF$63,Y$1-2021,0)</f>
        <v>1534964</v>
      </c>
      <c r="Z55" s="27">
        <f>VLOOKUP($A55,data_eurostat!$D$10:$AF$63,Z$1-2021,0)</f>
        <v>1529144</v>
      </c>
      <c r="AA55" s="27">
        <f>VLOOKUP($A55,data_eurostat!$D$10:$AF$63,AA$1-2021,0)</f>
        <v>1523808</v>
      </c>
      <c r="AB55" s="27">
        <f>VLOOKUP($A55,data_eurostat!$D$10:$AF$63,AB$1-2021,0)</f>
        <v>1518999</v>
      </c>
      <c r="AC55" s="27">
        <f>VLOOKUP($A55,data_eurostat!$D$10:$AF$63,AC$1-2021,0)</f>
        <v>1513233</v>
      </c>
      <c r="AD55" s="27">
        <f>VLOOKUP($A55,data_eurostat!$D$10:$AF$63,AD$1-2021,0)</f>
        <v>1506847</v>
      </c>
      <c r="AE55" s="27">
        <f>VLOOKUP($A55,data_eurostat!$D$10:$AF$63,AE$1-2021,0)</f>
        <v>1500360</v>
      </c>
      <c r="AF55" s="27">
        <f>VLOOKUP($A55,data_eurostat!$D$10:$AF$63,AF$1-2021,0)</f>
        <v>1494137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x14ac:dyDescent="0.2">
      <c r="A56" t="str">
        <f>[1]popa!A28</f>
        <v>SK_POPAF</v>
      </c>
      <c r="E56" s="27">
        <f>VLOOKUP($A56,data_eurostat!$D$10:$AF$63,E$1-2021,0)</f>
        <v>4252471</v>
      </c>
      <c r="F56" s="27">
        <f>VLOOKUP($A56,data_eurostat!$D$10:$AF$63,F$1-2021,0)</f>
        <v>4256899</v>
      </c>
      <c r="G56" s="27">
        <f>VLOOKUP($A56,data_eurostat!$D$10:$AF$63,G$1-2021,0)</f>
        <v>4262264</v>
      </c>
      <c r="H56" s="27">
        <f>VLOOKUP($A56,data_eurostat!$D$10:$AF$63,H$1-2021,0)</f>
        <v>4239474</v>
      </c>
      <c r="I56" s="27">
        <f>VLOOKUP($A56,data_eurostat!$D$10:$AF$63,I$1-2021,0)</f>
        <v>4214452</v>
      </c>
      <c r="J56" s="27">
        <f>VLOOKUP($A56,data_eurostat!$D$10:$AF$63,J$1-2021,0)</f>
        <v>4190166</v>
      </c>
      <c r="K56" s="27">
        <f>VLOOKUP($A56,data_eurostat!$D$10:$AF$63,K$1-2021,0)</f>
        <v>4166475</v>
      </c>
      <c r="L56" s="27">
        <f>VLOOKUP($A56,data_eurostat!$D$10:$AF$63,L$1-2021,0)</f>
        <v>4143189</v>
      </c>
      <c r="M56" s="27">
        <f>VLOOKUP($A56,data_eurostat!$D$10:$AF$63,M$1-2021,0)</f>
        <v>4120072</v>
      </c>
      <c r="N56" s="27">
        <f>VLOOKUP($A56,data_eurostat!$D$10:$AF$63,N$1-2021,0)</f>
        <v>4099014</v>
      </c>
      <c r="O56" s="27">
        <f>VLOOKUP($A56,data_eurostat!$D$10:$AF$63,O$1-2021,0)</f>
        <v>4080188</v>
      </c>
      <c r="P56" s="27">
        <f>VLOOKUP($A56,data_eurostat!$D$10:$AF$63,P$1-2021,0)</f>
        <v>4062886</v>
      </c>
      <c r="Q56" s="27">
        <f>VLOOKUP($A56,data_eurostat!$D$10:$AF$63,Q$1-2021,0)</f>
        <v>4047963</v>
      </c>
      <c r="R56" s="27">
        <f>VLOOKUP($A56,data_eurostat!$D$10:$AF$63,R$1-2021,0)</f>
        <v>4034999</v>
      </c>
      <c r="S56" s="27">
        <f>VLOOKUP($A56,data_eurostat!$D$10:$AF$63,S$1-2021,0)</f>
        <v>4022279</v>
      </c>
      <c r="T56" s="27">
        <f>VLOOKUP($A56,data_eurostat!$D$10:$AF$63,T$1-2021,0)</f>
        <v>4007862</v>
      </c>
      <c r="U56" s="27">
        <f>VLOOKUP($A56,data_eurostat!$D$10:$AF$63,U$1-2021,0)</f>
        <v>3987076</v>
      </c>
      <c r="V56" s="27">
        <f>VLOOKUP($A56,data_eurostat!$D$10:$AF$63,V$1-2021,0)</f>
        <v>3968338</v>
      </c>
      <c r="W56" s="27">
        <f>VLOOKUP($A56,data_eurostat!$D$10:$AF$63,W$1-2021,0)</f>
        <v>3950410</v>
      </c>
      <c r="X56" s="27">
        <f>VLOOKUP($A56,data_eurostat!$D$10:$AF$63,X$1-2021,0)</f>
        <v>3933107</v>
      </c>
      <c r="Y56" s="27">
        <f>VLOOKUP($A56,data_eurostat!$D$10:$AF$63,Y$1-2021,0)</f>
        <v>3917156</v>
      </c>
      <c r="Z56" s="27">
        <f>VLOOKUP($A56,data_eurostat!$D$10:$AF$63,Z$1-2021,0)</f>
        <v>3900967</v>
      </c>
      <c r="AA56" s="27">
        <f>VLOOKUP($A56,data_eurostat!$D$10:$AF$63,AA$1-2021,0)</f>
        <v>3881802</v>
      </c>
      <c r="AB56" s="27">
        <f>VLOOKUP($A56,data_eurostat!$D$10:$AF$63,AB$1-2021,0)</f>
        <v>3860903</v>
      </c>
      <c r="AC56" s="27">
        <f>VLOOKUP($A56,data_eurostat!$D$10:$AF$63,AC$1-2021,0)</f>
        <v>3837627</v>
      </c>
      <c r="AD56" s="27">
        <f>VLOOKUP($A56,data_eurostat!$D$10:$AF$63,AD$1-2021,0)</f>
        <v>3810890</v>
      </c>
      <c r="AE56" s="27">
        <f>VLOOKUP($A56,data_eurostat!$D$10:$AF$63,AE$1-2021,0)</f>
        <v>3780400</v>
      </c>
      <c r="AF56" s="27">
        <f>VLOOKUP($A56,data_eurostat!$D$10:$AF$63,AF$1-2021,0)</f>
        <v>3746995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s="3" customFormat="1" x14ac:dyDescent="0.2">
      <c r="A57" s="3" t="s">
        <v>56</v>
      </c>
      <c r="B57" s="4"/>
      <c r="C57" s="4"/>
      <c r="D57" s="4"/>
      <c r="E57" s="4">
        <v>50606051.999999993</v>
      </c>
      <c r="F57" s="4">
        <v>51230433.000000007</v>
      </c>
      <c r="G57" s="4">
        <v>51803494</v>
      </c>
      <c r="H57" s="4">
        <v>52320909.999999993</v>
      </c>
      <c r="I57" s="4">
        <v>52765493</v>
      </c>
      <c r="J57" s="4">
        <v>53094557</v>
      </c>
      <c r="K57" s="4">
        <v>53400737</v>
      </c>
      <c r="L57" s="4">
        <v>53708568</v>
      </c>
      <c r="M57" s="4">
        <v>54004079</v>
      </c>
      <c r="N57" s="4">
        <v>54259159</v>
      </c>
      <c r="O57" s="4">
        <v>54474769</v>
      </c>
      <c r="P57" s="4">
        <v>54669087</v>
      </c>
      <c r="Q57" s="4">
        <v>54837213</v>
      </c>
      <c r="R57" s="4">
        <v>54961225.000000007</v>
      </c>
      <c r="S57" s="4">
        <v>55069694</v>
      </c>
      <c r="T57" s="4">
        <v>55129348</v>
      </c>
      <c r="U57" s="4">
        <v>55174238</v>
      </c>
      <c r="V57" s="4">
        <v>55216594.000000007</v>
      </c>
      <c r="W57" s="4">
        <v>55269662</v>
      </c>
      <c r="X57" s="4">
        <v>55324912</v>
      </c>
      <c r="Y57" s="4">
        <v>55388768</v>
      </c>
      <c r="Z57" s="4">
        <v>55454807</v>
      </c>
      <c r="AA57" s="4">
        <v>55541235</v>
      </c>
      <c r="AB57" s="4">
        <v>55612095</v>
      </c>
      <c r="AC57" s="4">
        <v>55713036</v>
      </c>
      <c r="AD57" s="4">
        <v>55842437.999999993</v>
      </c>
      <c r="AE57" s="4">
        <v>55999657.999999993</v>
      </c>
      <c r="AF57" s="4">
        <v>56166308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</row>
    <row r="58" spans="1:82" s="5" customFormat="1" x14ac:dyDescent="0.2">
      <c r="A58" s="5" t="s">
        <v>124</v>
      </c>
      <c r="B58" s="6"/>
      <c r="C58" s="6"/>
      <c r="D58" s="6"/>
      <c r="E58" s="6">
        <v>334906305</v>
      </c>
      <c r="F58" s="6">
        <v>336482168</v>
      </c>
      <c r="G58" s="6">
        <v>338016259</v>
      </c>
      <c r="H58" s="6">
        <v>339513045</v>
      </c>
      <c r="I58" s="6">
        <v>340970496</v>
      </c>
      <c r="J58" s="6">
        <v>342384777</v>
      </c>
      <c r="K58" s="6">
        <v>343753791</v>
      </c>
      <c r="L58" s="6">
        <v>345073565</v>
      </c>
      <c r="M58" s="6">
        <v>346339264</v>
      </c>
      <c r="N58" s="6">
        <v>347545098</v>
      </c>
      <c r="O58" s="6">
        <v>348701812</v>
      </c>
      <c r="P58" s="6">
        <v>349807647</v>
      </c>
      <c r="Q58" s="6">
        <v>350861084</v>
      </c>
      <c r="R58" s="6">
        <v>351860944</v>
      </c>
      <c r="S58" s="6">
        <v>352806047</v>
      </c>
      <c r="T58" s="6">
        <v>353695674</v>
      </c>
      <c r="U58" s="6">
        <v>354529853</v>
      </c>
      <c r="V58" s="6">
        <v>355309062</v>
      </c>
      <c r="W58" s="6">
        <v>356033543</v>
      </c>
      <c r="X58" s="6">
        <v>356705435</v>
      </c>
      <c r="Y58" s="6">
        <v>357327409</v>
      </c>
      <c r="Z58" s="6">
        <v>357903394</v>
      </c>
      <c r="AA58" s="6">
        <v>358437973</v>
      </c>
      <c r="AB58" s="6">
        <v>358935938</v>
      </c>
      <c r="AC58" s="6">
        <v>359400325</v>
      </c>
      <c r="AD58" s="6">
        <v>359835763</v>
      </c>
      <c r="AE58" s="6">
        <v>360246998</v>
      </c>
      <c r="AF58" s="6">
        <v>360638734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spans="1:82" s="5" customFormat="1" x14ac:dyDescent="0.2">
      <c r="A59" s="5" t="s">
        <v>125</v>
      </c>
      <c r="B59" s="6"/>
      <c r="C59" s="6"/>
      <c r="D59" s="6"/>
      <c r="E59" s="6">
        <v>250897599</v>
      </c>
      <c r="F59" s="6">
        <v>251802668</v>
      </c>
      <c r="G59" s="6">
        <v>252615050</v>
      </c>
      <c r="H59" s="6">
        <v>253281965</v>
      </c>
      <c r="I59" s="6">
        <v>253832033</v>
      </c>
      <c r="J59" s="6">
        <v>254328551</v>
      </c>
      <c r="K59" s="6">
        <v>254773384</v>
      </c>
      <c r="L59" s="6">
        <v>255179717</v>
      </c>
      <c r="M59" s="6">
        <v>255535040</v>
      </c>
      <c r="N59" s="6">
        <v>255693830</v>
      </c>
      <c r="O59" s="6">
        <v>255780115</v>
      </c>
      <c r="P59" s="6">
        <v>255813715</v>
      </c>
      <c r="Q59" s="6">
        <v>255792929</v>
      </c>
      <c r="R59" s="6">
        <v>255663572</v>
      </c>
      <c r="S59" s="6">
        <v>255674341</v>
      </c>
      <c r="T59" s="6">
        <v>255702030</v>
      </c>
      <c r="U59" s="6">
        <v>255775146</v>
      </c>
      <c r="V59" s="6">
        <v>255966573</v>
      </c>
      <c r="W59" s="6">
        <v>256315339</v>
      </c>
      <c r="X59" s="6">
        <v>256737012</v>
      </c>
      <c r="Y59" s="6">
        <v>257195478</v>
      </c>
      <c r="Z59" s="6">
        <v>257607729</v>
      </c>
      <c r="AA59" s="6">
        <v>257920825</v>
      </c>
      <c r="AB59" s="6">
        <v>258206100</v>
      </c>
      <c r="AC59" s="6">
        <v>258698158</v>
      </c>
      <c r="AD59" s="6">
        <v>259346509</v>
      </c>
      <c r="AE59" s="6">
        <v>260038055</v>
      </c>
      <c r="AF59" s="6">
        <v>260673802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46"/>
  <sheetViews>
    <sheetView workbookViewId="0">
      <selection activeCell="B1" sqref="B1:C1"/>
    </sheetView>
  </sheetViews>
  <sheetFormatPr defaultRowHeight="14.25" x14ac:dyDescent="0.2"/>
  <cols>
    <col min="1" max="1" width="5.75" bestFit="1" customWidth="1"/>
    <col min="2" max="3" width="10.625" bestFit="1" customWidth="1"/>
  </cols>
  <sheetData>
    <row r="1" spans="1:3" x14ac:dyDescent="0.2">
      <c r="A1" t="s">
        <v>123</v>
      </c>
      <c r="B1" t="s">
        <v>124</v>
      </c>
      <c r="C1" t="s">
        <v>125</v>
      </c>
    </row>
    <row r="2" spans="1:3" x14ac:dyDescent="0.2">
      <c r="A2">
        <v>2016</v>
      </c>
      <c r="B2">
        <v>323127513</v>
      </c>
      <c r="C2">
        <v>241538579</v>
      </c>
    </row>
    <row r="3" spans="1:3" x14ac:dyDescent="0.2">
      <c r="A3">
        <v>2017</v>
      </c>
      <c r="B3">
        <v>325511184</v>
      </c>
      <c r="C3">
        <v>243253958</v>
      </c>
    </row>
    <row r="4" spans="1:3" x14ac:dyDescent="0.2">
      <c r="A4">
        <v>2018</v>
      </c>
      <c r="B4">
        <v>327891911</v>
      </c>
      <c r="C4">
        <v>244741701</v>
      </c>
    </row>
    <row r="5" spans="1:3" x14ac:dyDescent="0.2">
      <c r="A5">
        <v>2019</v>
      </c>
      <c r="B5">
        <v>330268840</v>
      </c>
      <c r="C5">
        <v>246364915</v>
      </c>
    </row>
    <row r="6" spans="1:3" x14ac:dyDescent="0.2">
      <c r="A6">
        <v>2020</v>
      </c>
      <c r="B6">
        <v>332639102</v>
      </c>
      <c r="C6">
        <v>247968047</v>
      </c>
    </row>
    <row r="7" spans="1:3" x14ac:dyDescent="0.2">
      <c r="A7">
        <v>2021</v>
      </c>
      <c r="B7">
        <v>334998398</v>
      </c>
      <c r="C7">
        <v>249598423</v>
      </c>
    </row>
    <row r="8" spans="1:3" x14ac:dyDescent="0.2">
      <c r="A8">
        <v>2022</v>
      </c>
      <c r="B8">
        <v>337341954</v>
      </c>
      <c r="C8">
        <v>250528351</v>
      </c>
    </row>
    <row r="9" spans="1:3" x14ac:dyDescent="0.2">
      <c r="A9">
        <v>2023</v>
      </c>
      <c r="B9">
        <v>339665118</v>
      </c>
      <c r="C9">
        <v>251622650</v>
      </c>
    </row>
    <row r="10" spans="1:3" x14ac:dyDescent="0.2">
      <c r="A10">
        <v>2024</v>
      </c>
      <c r="B10">
        <v>341963408</v>
      </c>
      <c r="C10">
        <v>252613076</v>
      </c>
    </row>
    <row r="11" spans="1:3" x14ac:dyDescent="0.2">
      <c r="A11">
        <v>2025</v>
      </c>
      <c r="B11">
        <v>344234377</v>
      </c>
      <c r="C11">
        <v>253570527</v>
      </c>
    </row>
    <row r="12" spans="1:3" x14ac:dyDescent="0.2">
      <c r="A12">
        <v>2026</v>
      </c>
      <c r="B12">
        <v>346481182</v>
      </c>
      <c r="C12">
        <v>254515348</v>
      </c>
    </row>
    <row r="13" spans="1:3" x14ac:dyDescent="0.2">
      <c r="A13">
        <v>2027</v>
      </c>
      <c r="B13">
        <v>348695115</v>
      </c>
      <c r="C13">
        <v>255371874</v>
      </c>
    </row>
    <row r="14" spans="1:3" x14ac:dyDescent="0.2">
      <c r="A14">
        <v>2028</v>
      </c>
      <c r="B14">
        <v>350872007</v>
      </c>
      <c r="C14">
        <v>256149272</v>
      </c>
    </row>
    <row r="15" spans="1:3" x14ac:dyDescent="0.2">
      <c r="A15">
        <v>2029</v>
      </c>
      <c r="B15">
        <v>353008224</v>
      </c>
      <c r="C15">
        <v>256862804</v>
      </c>
    </row>
    <row r="16" spans="1:3" x14ac:dyDescent="0.2">
      <c r="A16">
        <v>2030</v>
      </c>
      <c r="B16">
        <v>355100730</v>
      </c>
      <c r="C16">
        <v>257492098</v>
      </c>
    </row>
    <row r="17" spans="1:3" x14ac:dyDescent="0.2">
      <c r="A17">
        <v>2031</v>
      </c>
      <c r="B17">
        <v>357147329</v>
      </c>
      <c r="C17">
        <v>258115166</v>
      </c>
    </row>
    <row r="18" spans="1:3" x14ac:dyDescent="0.2">
      <c r="A18">
        <v>2032</v>
      </c>
      <c r="B18">
        <v>359146709</v>
      </c>
      <c r="C18">
        <v>258738911</v>
      </c>
    </row>
    <row r="19" spans="1:3" x14ac:dyDescent="0.2">
      <c r="A19">
        <v>2033</v>
      </c>
      <c r="B19">
        <v>361098559</v>
      </c>
      <c r="C19">
        <v>259378918</v>
      </c>
    </row>
    <row r="20" spans="1:3" x14ac:dyDescent="0.2">
      <c r="A20">
        <v>2034</v>
      </c>
      <c r="B20">
        <v>363003410</v>
      </c>
      <c r="C20">
        <v>260050080</v>
      </c>
    </row>
    <row r="21" spans="1:3" x14ac:dyDescent="0.2">
      <c r="A21">
        <v>2035</v>
      </c>
      <c r="B21">
        <v>364862145</v>
      </c>
      <c r="C21">
        <v>260650078</v>
      </c>
    </row>
    <row r="22" spans="1:3" x14ac:dyDescent="0.2">
      <c r="A22">
        <v>2036</v>
      </c>
      <c r="B22">
        <v>366676312</v>
      </c>
      <c r="C22">
        <v>261322100</v>
      </c>
    </row>
    <row r="23" spans="1:3" x14ac:dyDescent="0.2">
      <c r="A23">
        <v>2037</v>
      </c>
      <c r="B23">
        <v>368447857</v>
      </c>
      <c r="C23">
        <v>262075792</v>
      </c>
    </row>
    <row r="24" spans="1:3" x14ac:dyDescent="0.2">
      <c r="A24">
        <v>2038</v>
      </c>
      <c r="B24">
        <v>370178704</v>
      </c>
      <c r="C24">
        <v>262857047</v>
      </c>
    </row>
    <row r="25" spans="1:3" x14ac:dyDescent="0.2">
      <c r="A25">
        <v>2039</v>
      </c>
      <c r="B25">
        <v>371871238</v>
      </c>
      <c r="C25">
        <v>263666196</v>
      </c>
    </row>
    <row r="26" spans="1:3" x14ac:dyDescent="0.2">
      <c r="A26">
        <v>2040</v>
      </c>
      <c r="B26">
        <v>373527973</v>
      </c>
      <c r="C26">
        <v>264565095</v>
      </c>
    </row>
    <row r="27" spans="1:3" x14ac:dyDescent="0.2">
      <c r="A27">
        <v>2041</v>
      </c>
      <c r="B27">
        <v>375151805</v>
      </c>
      <c r="C27">
        <v>265677895</v>
      </c>
    </row>
    <row r="28" spans="1:3" x14ac:dyDescent="0.2">
      <c r="A28">
        <v>2042</v>
      </c>
      <c r="B28">
        <v>376746115</v>
      </c>
      <c r="C28">
        <v>266863021</v>
      </c>
    </row>
    <row r="29" spans="1:3" x14ac:dyDescent="0.2">
      <c r="A29">
        <v>2043</v>
      </c>
      <c r="B29">
        <v>378314343</v>
      </c>
      <c r="C29">
        <v>268064232</v>
      </c>
    </row>
    <row r="30" spans="1:3" x14ac:dyDescent="0.2">
      <c r="A30">
        <v>2044</v>
      </c>
      <c r="B30">
        <v>379860859</v>
      </c>
      <c r="C30">
        <v>269205365</v>
      </c>
    </row>
    <row r="31" spans="1:3" x14ac:dyDescent="0.2">
      <c r="A31">
        <v>2045</v>
      </c>
      <c r="B31">
        <v>381390297</v>
      </c>
      <c r="C31">
        <v>270179448</v>
      </c>
    </row>
    <row r="32" spans="1:3" x14ac:dyDescent="0.2">
      <c r="A32">
        <v>2046</v>
      </c>
      <c r="B32">
        <v>382907447</v>
      </c>
      <c r="C32">
        <v>271200798</v>
      </c>
    </row>
    <row r="33" spans="1:3" x14ac:dyDescent="0.2">
      <c r="A33">
        <v>2047</v>
      </c>
      <c r="B33">
        <v>384415207</v>
      </c>
      <c r="C33">
        <v>272408108</v>
      </c>
    </row>
    <row r="34" spans="1:3" x14ac:dyDescent="0.2">
      <c r="A34">
        <v>2048</v>
      </c>
      <c r="B34">
        <v>385917628</v>
      </c>
      <c r="C34">
        <v>273752423</v>
      </c>
    </row>
    <row r="35" spans="1:3" x14ac:dyDescent="0.2">
      <c r="A35">
        <v>2049</v>
      </c>
      <c r="B35">
        <v>387418788</v>
      </c>
      <c r="C35">
        <v>275139441</v>
      </c>
    </row>
    <row r="36" spans="1:3" x14ac:dyDescent="0.2">
      <c r="A36">
        <v>2050</v>
      </c>
      <c r="B36">
        <v>388922201</v>
      </c>
      <c r="C36">
        <v>276426984</v>
      </c>
    </row>
    <row r="37" spans="1:3" x14ac:dyDescent="0.2">
      <c r="A37">
        <v>2051</v>
      </c>
      <c r="B37">
        <v>390430803</v>
      </c>
      <c r="C37">
        <v>277801743</v>
      </c>
    </row>
    <row r="38" spans="1:3" x14ac:dyDescent="0.2">
      <c r="A38">
        <v>2052</v>
      </c>
      <c r="B38">
        <v>391947055</v>
      </c>
      <c r="C38">
        <v>279079309</v>
      </c>
    </row>
    <row r="39" spans="1:3" x14ac:dyDescent="0.2">
      <c r="A39">
        <v>2053</v>
      </c>
      <c r="B39">
        <v>393472783</v>
      </c>
      <c r="C39">
        <v>280318714</v>
      </c>
    </row>
    <row r="40" spans="1:3" x14ac:dyDescent="0.2">
      <c r="A40">
        <v>2054</v>
      </c>
      <c r="B40">
        <v>395009307</v>
      </c>
      <c r="C40">
        <v>281489312</v>
      </c>
    </row>
    <row r="41" spans="1:3" x14ac:dyDescent="0.2">
      <c r="A41">
        <v>2055</v>
      </c>
      <c r="B41">
        <v>396557404</v>
      </c>
      <c r="C41">
        <v>282446601</v>
      </c>
    </row>
    <row r="42" spans="1:3" x14ac:dyDescent="0.2">
      <c r="A42">
        <v>2056</v>
      </c>
      <c r="B42">
        <v>398117875</v>
      </c>
      <c r="C42">
        <v>283460268</v>
      </c>
    </row>
    <row r="43" spans="1:3" x14ac:dyDescent="0.2">
      <c r="A43">
        <v>2057</v>
      </c>
      <c r="B43">
        <v>399690963</v>
      </c>
      <c r="C43">
        <v>284429956</v>
      </c>
    </row>
    <row r="44" spans="1:3" x14ac:dyDescent="0.2">
      <c r="A44">
        <v>2058</v>
      </c>
      <c r="B44">
        <v>401276590</v>
      </c>
      <c r="C44">
        <v>285388825</v>
      </c>
    </row>
    <row r="45" spans="1:3" x14ac:dyDescent="0.2">
      <c r="A45">
        <v>2059</v>
      </c>
      <c r="B45">
        <v>402874337</v>
      </c>
      <c r="C45">
        <v>286387830</v>
      </c>
    </row>
    <row r="46" spans="1:3" x14ac:dyDescent="0.2">
      <c r="A46">
        <v>2060</v>
      </c>
      <c r="B46">
        <v>404483055</v>
      </c>
      <c r="C46">
        <v>287265482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D59"/>
  <sheetViews>
    <sheetView zoomScale="70" zoomScaleNormal="70" workbookViewId="0">
      <selection activeCell="D2" sqref="D2"/>
    </sheetView>
  </sheetViews>
  <sheetFormatPr defaultRowHeight="14.25" x14ac:dyDescent="0.2"/>
  <cols>
    <col min="1" max="1" width="12.125" bestFit="1" customWidth="1"/>
    <col min="2" max="42" width="13.5" bestFit="1" customWidth="1"/>
    <col min="43" max="67" width="12.375" bestFit="1" customWidth="1"/>
  </cols>
  <sheetData>
    <row r="1" spans="1:82" x14ac:dyDescent="0.2">
      <c r="A1" t="s">
        <v>126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110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I1" t="s">
        <v>116</v>
      </c>
      <c r="BJ1" t="s">
        <v>117</v>
      </c>
      <c r="BK1" t="s">
        <v>118</v>
      </c>
      <c r="BL1" t="s">
        <v>119</v>
      </c>
      <c r="BM1" t="s">
        <v>120</v>
      </c>
      <c r="BN1" t="s">
        <v>121</v>
      </c>
      <c r="BO1" t="s">
        <v>122</v>
      </c>
    </row>
    <row r="2" spans="1:82" x14ac:dyDescent="0.2">
      <c r="A2" t="s">
        <v>1</v>
      </c>
      <c r="B2" s="1"/>
      <c r="C2" s="1"/>
      <c r="D2" s="7">
        <v>11617623</v>
      </c>
      <c r="E2" s="7">
        <v>11730662</v>
      </c>
      <c r="F2" s="7">
        <v>11789713</v>
      </c>
      <c r="G2" s="7">
        <v>11829411</v>
      </c>
      <c r="H2" s="7">
        <v>11867591</v>
      </c>
      <c r="I2" s="7">
        <v>11904193</v>
      </c>
      <c r="J2" s="7">
        <v>11939128</v>
      </c>
      <c r="K2" s="7">
        <v>11974068</v>
      </c>
      <c r="L2" s="7">
        <v>12009045</v>
      </c>
      <c r="M2" s="7">
        <v>12043620</v>
      </c>
      <c r="N2" s="7">
        <v>12077617</v>
      </c>
      <c r="O2" s="1">
        <v>12111191</v>
      </c>
      <c r="P2" s="1">
        <v>12144363</v>
      </c>
      <c r="Q2" s="1">
        <v>12179830</v>
      </c>
      <c r="R2" s="1">
        <v>12214931</v>
      </c>
      <c r="S2" s="1">
        <v>12248705</v>
      </c>
      <c r="T2" s="1">
        <v>12281680</v>
      </c>
      <c r="U2" s="1">
        <v>12313370</v>
      </c>
      <c r="V2" s="1">
        <v>12343820</v>
      </c>
      <c r="W2" s="1">
        <v>12372923</v>
      </c>
      <c r="X2" s="1">
        <v>12400520</v>
      </c>
      <c r="Y2" s="1">
        <v>12426469</v>
      </c>
      <c r="Z2" s="1">
        <v>12450782</v>
      </c>
      <c r="AA2" s="1">
        <v>12473485</v>
      </c>
      <c r="AB2" s="1">
        <v>12494640</v>
      </c>
      <c r="AC2" s="1">
        <v>12513752</v>
      </c>
      <c r="AD2" s="1">
        <v>12530891</v>
      </c>
      <c r="AE2" s="1">
        <v>12545914</v>
      </c>
      <c r="AF2" s="1">
        <v>12559197</v>
      </c>
      <c r="AG2" s="1">
        <v>12570761</v>
      </c>
      <c r="AH2" s="1">
        <v>12581004</v>
      </c>
      <c r="AI2" s="1">
        <v>12589870</v>
      </c>
      <c r="AJ2" s="1">
        <v>12597856</v>
      </c>
      <c r="AK2" s="1">
        <v>12604824</v>
      </c>
      <c r="AL2" s="1">
        <v>12611231</v>
      </c>
      <c r="AM2" s="1">
        <v>12617107</v>
      </c>
      <c r="AN2" s="1">
        <v>12622480</v>
      </c>
      <c r="AO2" s="1">
        <v>12627303</v>
      </c>
      <c r="AP2" s="1">
        <v>12631664</v>
      </c>
      <c r="AQ2" s="1">
        <v>12636103</v>
      </c>
      <c r="AR2" s="1">
        <v>12640805</v>
      </c>
      <c r="AS2" s="1">
        <v>12645800</v>
      </c>
      <c r="AT2" s="1">
        <v>12650972</v>
      </c>
      <c r="AU2" s="1">
        <v>12656450</v>
      </c>
      <c r="AV2" s="1">
        <v>12662438</v>
      </c>
      <c r="AW2" s="1">
        <v>12668438</v>
      </c>
      <c r="AX2" s="1">
        <v>12674489</v>
      </c>
      <c r="AY2" s="1">
        <v>12680664</v>
      </c>
      <c r="AZ2" s="1">
        <v>12687096</v>
      </c>
      <c r="BA2" s="1">
        <v>12693582</v>
      </c>
      <c r="BB2" s="1">
        <v>12700043</v>
      </c>
      <c r="BC2" s="1">
        <v>12706144</v>
      </c>
      <c r="BD2" s="1">
        <v>12711980</v>
      </c>
      <c r="BE2" s="1">
        <v>12717035</v>
      </c>
      <c r="BF2" s="1">
        <v>12721437</v>
      </c>
      <c r="BG2" s="1">
        <v>12724744</v>
      </c>
      <c r="BH2" s="1">
        <v>12726961</v>
      </c>
      <c r="BI2" s="1">
        <v>12727913</v>
      </c>
      <c r="BJ2" s="1">
        <v>12727839</v>
      </c>
      <c r="BK2" s="1">
        <v>12726444</v>
      </c>
      <c r="BL2" s="1">
        <v>12723966</v>
      </c>
      <c r="BM2" s="1">
        <v>12720261</v>
      </c>
      <c r="BN2" s="1">
        <v>12715529</v>
      </c>
      <c r="BO2" s="1">
        <v>12709791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x14ac:dyDescent="0.2">
      <c r="A3" t="s">
        <v>2</v>
      </c>
      <c r="B3" s="1"/>
      <c r="C3" s="1"/>
      <c r="D3" s="7">
        <v>6838937</v>
      </c>
      <c r="E3" s="7">
        <v>6941042</v>
      </c>
      <c r="F3" s="7">
        <v>6918672</v>
      </c>
      <c r="G3" s="7">
        <v>6860349</v>
      </c>
      <c r="H3" s="7">
        <v>6802438</v>
      </c>
      <c r="I3" s="7">
        <v>6744339</v>
      </c>
      <c r="J3" s="7">
        <v>6685753</v>
      </c>
      <c r="K3" s="7">
        <v>6629192</v>
      </c>
      <c r="L3" s="7">
        <v>6574153</v>
      </c>
      <c r="M3" s="7">
        <v>6520799</v>
      </c>
      <c r="N3" s="7">
        <v>6469093</v>
      </c>
      <c r="O3" s="1">
        <v>6419371</v>
      </c>
      <c r="P3" s="1">
        <v>6372608</v>
      </c>
      <c r="Q3" s="1">
        <v>6333689</v>
      </c>
      <c r="R3" s="1">
        <v>6295791</v>
      </c>
      <c r="S3" s="1">
        <v>6258695</v>
      </c>
      <c r="T3" s="1">
        <v>6222478</v>
      </c>
      <c r="U3" s="1">
        <v>6188057</v>
      </c>
      <c r="V3" s="1">
        <v>6155181</v>
      </c>
      <c r="W3" s="1">
        <v>6123000</v>
      </c>
      <c r="X3" s="1">
        <v>6091727</v>
      </c>
      <c r="Y3" s="1">
        <v>6061097</v>
      </c>
      <c r="Z3" s="1">
        <v>6030905</v>
      </c>
      <c r="AA3" s="1">
        <v>6001378</v>
      </c>
      <c r="AB3" s="1">
        <v>5971941</v>
      </c>
      <c r="AC3" s="1">
        <v>5942884</v>
      </c>
      <c r="AD3" s="1">
        <v>5914113</v>
      </c>
      <c r="AE3" s="1">
        <v>5885720</v>
      </c>
      <c r="AF3" s="1">
        <v>5857619</v>
      </c>
      <c r="AG3" s="1">
        <v>5829653</v>
      </c>
      <c r="AH3" s="1">
        <v>5802057</v>
      </c>
      <c r="AI3" s="1">
        <v>5774417</v>
      </c>
      <c r="AJ3" s="1">
        <v>5747135</v>
      </c>
      <c r="AK3" s="1">
        <v>5719739</v>
      </c>
      <c r="AL3" s="1">
        <v>5692072</v>
      </c>
      <c r="AM3" s="1">
        <v>5663896</v>
      </c>
      <c r="AN3" s="1">
        <v>5635318</v>
      </c>
      <c r="AO3" s="1">
        <v>5606566</v>
      </c>
      <c r="AP3" s="1">
        <v>5577599</v>
      </c>
      <c r="AQ3" s="1">
        <v>5548327</v>
      </c>
      <c r="AR3" s="1">
        <v>5519364</v>
      </c>
      <c r="AS3" s="1">
        <v>5490261</v>
      </c>
      <c r="AT3" s="1">
        <v>5461787</v>
      </c>
      <c r="AU3" s="1">
        <v>5434519</v>
      </c>
      <c r="AV3" s="1">
        <v>5407825</v>
      </c>
      <c r="AW3" s="1">
        <v>5381520</v>
      </c>
      <c r="AX3" s="1">
        <v>5355969</v>
      </c>
      <c r="AY3" s="1">
        <v>5331321</v>
      </c>
      <c r="AZ3" s="1">
        <v>5307774</v>
      </c>
      <c r="BA3" s="1">
        <v>5285325</v>
      </c>
      <c r="BB3" s="1">
        <v>5263974</v>
      </c>
      <c r="BC3" s="1">
        <v>5243725</v>
      </c>
      <c r="BD3" s="1">
        <v>5224730</v>
      </c>
      <c r="BE3" s="1">
        <v>5207097</v>
      </c>
      <c r="BF3" s="1">
        <v>5190244</v>
      </c>
      <c r="BG3" s="1">
        <v>5174411</v>
      </c>
      <c r="BH3" s="1">
        <v>5159594</v>
      </c>
      <c r="BI3" s="1">
        <v>5145717</v>
      </c>
      <c r="BJ3" s="1">
        <v>5133224</v>
      </c>
      <c r="BK3" s="1">
        <v>5121743</v>
      </c>
      <c r="BL3" s="1">
        <v>5111421</v>
      </c>
      <c r="BM3" s="1">
        <v>5102175</v>
      </c>
      <c r="BN3" s="1">
        <v>5093994</v>
      </c>
      <c r="BO3" s="1">
        <v>5086931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x14ac:dyDescent="0.2">
      <c r="A4" t="s">
        <v>3</v>
      </c>
      <c r="B4" s="1"/>
      <c r="C4" s="1"/>
      <c r="D4" s="7">
        <v>10516707</v>
      </c>
      <c r="E4" s="7">
        <v>10963888</v>
      </c>
      <c r="F4" s="7">
        <v>11049464</v>
      </c>
      <c r="G4" s="7">
        <v>11017341</v>
      </c>
      <c r="H4" s="7">
        <v>10984063</v>
      </c>
      <c r="I4" s="7">
        <v>10950186</v>
      </c>
      <c r="J4" s="7">
        <v>10914981</v>
      </c>
      <c r="K4" s="7">
        <v>10882453</v>
      </c>
      <c r="L4" s="7">
        <v>10851301</v>
      </c>
      <c r="M4" s="7">
        <v>10820816</v>
      </c>
      <c r="N4" s="7">
        <v>10791009</v>
      </c>
      <c r="O4" s="1">
        <v>10762565</v>
      </c>
      <c r="P4" s="1">
        <v>10735818</v>
      </c>
      <c r="Q4" s="1">
        <v>10728942</v>
      </c>
      <c r="R4" s="1">
        <v>10723210</v>
      </c>
      <c r="S4" s="1">
        <v>10718041</v>
      </c>
      <c r="T4" s="1">
        <v>10715647</v>
      </c>
      <c r="U4" s="1">
        <v>10715072</v>
      </c>
      <c r="V4" s="1">
        <v>10716445</v>
      </c>
      <c r="W4" s="1">
        <v>10718698</v>
      </c>
      <c r="X4" s="1">
        <v>10721656</v>
      </c>
      <c r="Y4" s="1">
        <v>10725079</v>
      </c>
      <c r="Z4" s="1">
        <v>10729080</v>
      </c>
      <c r="AA4" s="1">
        <v>10733221</v>
      </c>
      <c r="AB4" s="1">
        <v>10736500</v>
      </c>
      <c r="AC4" s="1">
        <v>10739354</v>
      </c>
      <c r="AD4" s="1">
        <v>10742301</v>
      </c>
      <c r="AE4" s="1">
        <v>10744955</v>
      </c>
      <c r="AF4" s="1">
        <v>10747331</v>
      </c>
      <c r="AG4" s="1">
        <v>10749229</v>
      </c>
      <c r="AH4" s="1">
        <v>10750188</v>
      </c>
      <c r="AI4" s="1">
        <v>10750103</v>
      </c>
      <c r="AJ4" s="1">
        <v>10749615</v>
      </c>
      <c r="AK4" s="1">
        <v>10747298</v>
      </c>
      <c r="AL4" s="1">
        <v>10743901</v>
      </c>
      <c r="AM4" s="1">
        <v>10739096</v>
      </c>
      <c r="AN4" s="1">
        <v>10732283</v>
      </c>
      <c r="AO4" s="1">
        <v>10724053</v>
      </c>
      <c r="AP4" s="1">
        <v>10713330</v>
      </c>
      <c r="AQ4" s="1">
        <v>10701227</v>
      </c>
      <c r="AR4" s="1">
        <v>10687990</v>
      </c>
      <c r="AS4" s="1">
        <v>10673795</v>
      </c>
      <c r="AT4" s="1">
        <v>10658868</v>
      </c>
      <c r="AU4" s="1">
        <v>10643474</v>
      </c>
      <c r="AV4" s="1">
        <v>10627866</v>
      </c>
      <c r="AW4" s="1">
        <v>10612344</v>
      </c>
      <c r="AX4" s="1">
        <v>10597167</v>
      </c>
      <c r="AY4" s="1">
        <v>10582613</v>
      </c>
      <c r="AZ4" s="1">
        <v>10568913</v>
      </c>
      <c r="BA4" s="1">
        <v>10556713</v>
      </c>
      <c r="BB4" s="1">
        <v>10546115</v>
      </c>
      <c r="BC4" s="1">
        <v>10537745</v>
      </c>
      <c r="BD4" s="1">
        <v>10531463</v>
      </c>
      <c r="BE4" s="1">
        <v>10526487</v>
      </c>
      <c r="BF4" s="1">
        <v>10523131</v>
      </c>
      <c r="BG4" s="1">
        <v>10520575</v>
      </c>
      <c r="BH4" s="1">
        <v>10519397</v>
      </c>
      <c r="BI4" s="1">
        <v>10519352</v>
      </c>
      <c r="BJ4" s="1">
        <v>10520741</v>
      </c>
      <c r="BK4" s="1">
        <v>10523190</v>
      </c>
      <c r="BL4" s="1">
        <v>10526760</v>
      </c>
      <c r="BM4" s="1">
        <v>10531115</v>
      </c>
      <c r="BN4" s="1">
        <v>10536140</v>
      </c>
      <c r="BO4" s="1">
        <v>10541581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x14ac:dyDescent="0.2">
      <c r="A5" t="s">
        <v>4</v>
      </c>
      <c r="B5" s="1"/>
      <c r="C5" s="1"/>
      <c r="D5" s="7">
        <v>5873420</v>
      </c>
      <c r="E5" s="7">
        <v>5927971</v>
      </c>
      <c r="F5" s="7">
        <v>5959324</v>
      </c>
      <c r="G5" s="7">
        <v>5979924</v>
      </c>
      <c r="H5" s="7">
        <v>5998728</v>
      </c>
      <c r="I5" s="7">
        <v>6015778</v>
      </c>
      <c r="J5" s="7">
        <v>6030799</v>
      </c>
      <c r="K5" s="7">
        <v>6045664</v>
      </c>
      <c r="L5" s="7">
        <v>6059699</v>
      </c>
      <c r="M5" s="7">
        <v>6072787</v>
      </c>
      <c r="N5" s="7">
        <v>6084707</v>
      </c>
      <c r="O5" s="1">
        <v>6094990</v>
      </c>
      <c r="P5" s="1">
        <v>6103659</v>
      </c>
      <c r="Q5" s="1">
        <v>6112281</v>
      </c>
      <c r="R5" s="1">
        <v>6119841</v>
      </c>
      <c r="S5" s="1">
        <v>6126427</v>
      </c>
      <c r="T5" s="1">
        <v>6132658</v>
      </c>
      <c r="U5" s="1">
        <v>6137167</v>
      </c>
      <c r="V5" s="1">
        <v>6140844</v>
      </c>
      <c r="W5" s="1">
        <v>6143867</v>
      </c>
      <c r="X5" s="1">
        <v>6145947</v>
      </c>
      <c r="Y5" s="1">
        <v>6147433</v>
      </c>
      <c r="Z5" s="1">
        <v>6148485</v>
      </c>
      <c r="AA5" s="1">
        <v>6149190</v>
      </c>
      <c r="AB5" s="1">
        <v>6149637</v>
      </c>
      <c r="AC5" s="1">
        <v>6149902</v>
      </c>
      <c r="AD5" s="1">
        <v>6150023</v>
      </c>
      <c r="AE5" s="1">
        <v>6150065</v>
      </c>
      <c r="AF5" s="1">
        <v>6150048</v>
      </c>
      <c r="AG5" s="1">
        <v>6150086</v>
      </c>
      <c r="AH5" s="1">
        <v>6150233</v>
      </c>
      <c r="AI5" s="1">
        <v>6150611</v>
      </c>
      <c r="AJ5" s="1">
        <v>6151463</v>
      </c>
      <c r="AK5" s="1">
        <v>6152708</v>
      </c>
      <c r="AL5" s="1">
        <v>6154374</v>
      </c>
      <c r="AM5" s="1">
        <v>6156225</v>
      </c>
      <c r="AN5" s="1">
        <v>6158510</v>
      </c>
      <c r="AO5" s="1">
        <v>6160870</v>
      </c>
      <c r="AP5" s="1">
        <v>6163606</v>
      </c>
      <c r="AQ5" s="1">
        <v>6166409</v>
      </c>
      <c r="AR5" s="1">
        <v>6169084</v>
      </c>
      <c r="AS5" s="1">
        <v>6171775</v>
      </c>
      <c r="AT5" s="1">
        <v>6174342</v>
      </c>
      <c r="AU5" s="1">
        <v>6176804</v>
      </c>
      <c r="AV5" s="1">
        <v>6179236</v>
      </c>
      <c r="AW5" s="1">
        <v>6181224</v>
      </c>
      <c r="AX5" s="1">
        <v>6182924</v>
      </c>
      <c r="AY5" s="1">
        <v>6184563</v>
      </c>
      <c r="AZ5" s="1">
        <v>6186068</v>
      </c>
      <c r="BA5" s="1">
        <v>6187363</v>
      </c>
      <c r="BB5" s="1">
        <v>6188499</v>
      </c>
      <c r="BC5" s="1">
        <v>6189318</v>
      </c>
      <c r="BD5" s="1">
        <v>6189992</v>
      </c>
      <c r="BE5" s="1">
        <v>6190185</v>
      </c>
      <c r="BF5" s="1">
        <v>6190109</v>
      </c>
      <c r="BG5" s="1">
        <v>6189285</v>
      </c>
      <c r="BH5" s="1">
        <v>6188033</v>
      </c>
      <c r="BI5" s="1">
        <v>6186313</v>
      </c>
      <c r="BJ5" s="1">
        <v>6184150</v>
      </c>
      <c r="BK5" s="1">
        <v>6181613</v>
      </c>
      <c r="BL5" s="1">
        <v>6179001</v>
      </c>
      <c r="BM5" s="1">
        <v>6175968</v>
      </c>
      <c r="BN5" s="1">
        <v>6172601</v>
      </c>
      <c r="BO5" s="1">
        <v>6168918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x14ac:dyDescent="0.2">
      <c r="A6" t="s">
        <v>5</v>
      </c>
      <c r="B6" s="1"/>
      <c r="C6" s="1"/>
      <c r="D6" s="7">
        <v>83237124</v>
      </c>
      <c r="E6" s="7">
        <v>84551929</v>
      </c>
      <c r="F6" s="7">
        <v>85041941</v>
      </c>
      <c r="G6" s="7">
        <v>85207514</v>
      </c>
      <c r="H6" s="7">
        <v>85309747</v>
      </c>
      <c r="I6" s="7">
        <v>85351038</v>
      </c>
      <c r="J6" s="7">
        <v>85324918</v>
      </c>
      <c r="K6" s="7">
        <v>85304262</v>
      </c>
      <c r="L6" s="7">
        <v>85284256</v>
      </c>
      <c r="M6" s="7">
        <v>85263378</v>
      </c>
      <c r="N6" s="7">
        <v>85242159</v>
      </c>
      <c r="O6" s="1">
        <v>85221140</v>
      </c>
      <c r="P6" s="1">
        <v>85200309</v>
      </c>
      <c r="Q6" s="1">
        <v>85216229</v>
      </c>
      <c r="R6" s="1">
        <v>85222956</v>
      </c>
      <c r="S6" s="1">
        <v>85222134</v>
      </c>
      <c r="T6" s="1">
        <v>85214796</v>
      </c>
      <c r="U6" s="1">
        <v>85201421</v>
      </c>
      <c r="V6" s="1">
        <v>85183945</v>
      </c>
      <c r="W6" s="1">
        <v>85161965</v>
      </c>
      <c r="X6" s="1">
        <v>85135219</v>
      </c>
      <c r="Y6" s="1">
        <v>85104193</v>
      </c>
      <c r="Z6" s="1">
        <v>85069388</v>
      </c>
      <c r="AA6" s="1">
        <v>85031168</v>
      </c>
      <c r="AB6" s="1">
        <v>84994058</v>
      </c>
      <c r="AC6" s="1">
        <v>84953444</v>
      </c>
      <c r="AD6" s="1">
        <v>84910816</v>
      </c>
      <c r="AE6" s="1">
        <v>84863602</v>
      </c>
      <c r="AF6" s="1">
        <v>84813866</v>
      </c>
      <c r="AG6" s="1">
        <v>84762803</v>
      </c>
      <c r="AH6" s="1">
        <v>84713028</v>
      </c>
      <c r="AI6" s="1">
        <v>84664073</v>
      </c>
      <c r="AJ6" s="1">
        <v>84617558</v>
      </c>
      <c r="AK6" s="1">
        <v>84569064</v>
      </c>
      <c r="AL6" s="1">
        <v>84523578</v>
      </c>
      <c r="AM6" s="1">
        <v>84472323</v>
      </c>
      <c r="AN6" s="1">
        <v>84421998</v>
      </c>
      <c r="AO6" s="1">
        <v>84375463</v>
      </c>
      <c r="AP6" s="1">
        <v>84332583</v>
      </c>
      <c r="AQ6" s="1">
        <v>84295878</v>
      </c>
      <c r="AR6" s="1">
        <v>84268651</v>
      </c>
      <c r="AS6" s="1">
        <v>84250509</v>
      </c>
      <c r="AT6" s="1">
        <v>84236965</v>
      </c>
      <c r="AU6" s="1">
        <v>84229131</v>
      </c>
      <c r="AV6" s="1">
        <v>84227028</v>
      </c>
      <c r="AW6" s="1">
        <v>84226221</v>
      </c>
      <c r="AX6" s="1">
        <v>84227558</v>
      </c>
      <c r="AY6" s="1">
        <v>84230483</v>
      </c>
      <c r="AZ6" s="1">
        <v>84234786</v>
      </c>
      <c r="BA6" s="1">
        <v>84239057</v>
      </c>
      <c r="BB6" s="1">
        <v>84241672</v>
      </c>
      <c r="BC6" s="1">
        <v>84242757</v>
      </c>
      <c r="BD6" s="1">
        <v>84241664</v>
      </c>
      <c r="BE6" s="1">
        <v>84235857</v>
      </c>
      <c r="BF6" s="1">
        <v>84228074</v>
      </c>
      <c r="BG6" s="1">
        <v>84215797</v>
      </c>
      <c r="BH6" s="1">
        <v>84202668</v>
      </c>
      <c r="BI6" s="1">
        <v>84188020</v>
      </c>
      <c r="BJ6" s="1">
        <v>84174853</v>
      </c>
      <c r="BK6" s="1">
        <v>84161973</v>
      </c>
      <c r="BL6" s="1">
        <v>84151712</v>
      </c>
      <c r="BM6" s="1">
        <v>84141472</v>
      </c>
      <c r="BN6" s="1">
        <v>84131834</v>
      </c>
      <c r="BO6" s="1">
        <v>84122425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2">
      <c r="A7" t="s">
        <v>6</v>
      </c>
      <c r="B7" s="1"/>
      <c r="C7" s="1"/>
      <c r="D7" s="7">
        <v>1331796</v>
      </c>
      <c r="E7" s="7">
        <v>1371817</v>
      </c>
      <c r="F7" s="7">
        <v>1380158</v>
      </c>
      <c r="G7" s="7">
        <v>1377519</v>
      </c>
      <c r="H7" s="7">
        <v>1374354</v>
      </c>
      <c r="I7" s="7">
        <v>1370686</v>
      </c>
      <c r="J7" s="7">
        <v>1366487</v>
      </c>
      <c r="K7" s="7">
        <v>1362440</v>
      </c>
      <c r="L7" s="7">
        <v>1358611</v>
      </c>
      <c r="M7" s="7">
        <v>1354919</v>
      </c>
      <c r="N7" s="7">
        <v>1351464</v>
      </c>
      <c r="O7" s="1">
        <v>1348287</v>
      </c>
      <c r="P7" s="1">
        <v>1345410</v>
      </c>
      <c r="Q7" s="1">
        <v>1344440</v>
      </c>
      <c r="R7" s="1">
        <v>1343742</v>
      </c>
      <c r="S7" s="1">
        <v>1343195</v>
      </c>
      <c r="T7" s="1">
        <v>1342917</v>
      </c>
      <c r="U7" s="1">
        <v>1342596</v>
      </c>
      <c r="V7" s="1">
        <v>1342365</v>
      </c>
      <c r="W7" s="1">
        <v>1342193</v>
      </c>
      <c r="X7" s="1">
        <v>1342075</v>
      </c>
      <c r="Y7" s="1">
        <v>1341983</v>
      </c>
      <c r="Z7" s="1">
        <v>1341849</v>
      </c>
      <c r="AA7" s="1">
        <v>1341698</v>
      </c>
      <c r="AB7" s="1">
        <v>1341520</v>
      </c>
      <c r="AC7" s="1">
        <v>1341293</v>
      </c>
      <c r="AD7" s="1">
        <v>1341001</v>
      </c>
      <c r="AE7" s="1">
        <v>1340698</v>
      </c>
      <c r="AF7" s="1">
        <v>1340292</v>
      </c>
      <c r="AG7" s="1">
        <v>1339770</v>
      </c>
      <c r="AH7" s="1">
        <v>1339162</v>
      </c>
      <c r="AI7" s="1">
        <v>1338517</v>
      </c>
      <c r="AJ7" s="1">
        <v>1337827</v>
      </c>
      <c r="AK7" s="1">
        <v>1336995</v>
      </c>
      <c r="AL7" s="1">
        <v>1335974</v>
      </c>
      <c r="AM7" s="1">
        <v>1334669</v>
      </c>
      <c r="AN7" s="1">
        <v>1333247</v>
      </c>
      <c r="AO7" s="1">
        <v>1331575</v>
      </c>
      <c r="AP7" s="1">
        <v>1329771</v>
      </c>
      <c r="AQ7" s="1">
        <v>1327870</v>
      </c>
      <c r="AR7" s="1">
        <v>1325957</v>
      </c>
      <c r="AS7" s="1">
        <v>1323973</v>
      </c>
      <c r="AT7" s="1">
        <v>1321991</v>
      </c>
      <c r="AU7" s="1">
        <v>1319996</v>
      </c>
      <c r="AV7" s="1">
        <v>1318041</v>
      </c>
      <c r="AW7" s="1">
        <v>1316075</v>
      </c>
      <c r="AX7" s="1">
        <v>1314135</v>
      </c>
      <c r="AY7" s="1">
        <v>1312225</v>
      </c>
      <c r="AZ7" s="1">
        <v>1310424</v>
      </c>
      <c r="BA7" s="1">
        <v>1308733</v>
      </c>
      <c r="BB7" s="1">
        <v>1307120</v>
      </c>
      <c r="BC7" s="1">
        <v>1305614</v>
      </c>
      <c r="BD7" s="1">
        <v>1304183</v>
      </c>
      <c r="BE7" s="1">
        <v>1302767</v>
      </c>
      <c r="BF7" s="1">
        <v>1301406</v>
      </c>
      <c r="BG7" s="1">
        <v>1299986</v>
      </c>
      <c r="BH7" s="1">
        <v>1298562</v>
      </c>
      <c r="BI7" s="1">
        <v>1297149</v>
      </c>
      <c r="BJ7" s="1">
        <v>1295795</v>
      </c>
      <c r="BK7" s="1">
        <v>1294533</v>
      </c>
      <c r="BL7" s="1">
        <v>1293365</v>
      </c>
      <c r="BM7" s="1">
        <v>1292245</v>
      </c>
      <c r="BN7" s="1">
        <v>1291303</v>
      </c>
      <c r="BO7" s="1">
        <v>1290471</v>
      </c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2">
      <c r="A8" t="s">
        <v>7</v>
      </c>
      <c r="B8" s="1"/>
      <c r="C8" s="1"/>
      <c r="D8" s="7">
        <v>5060004</v>
      </c>
      <c r="E8" s="7">
        <v>5174288</v>
      </c>
      <c r="F8" s="7">
        <v>5225872</v>
      </c>
      <c r="G8" s="7">
        <v>5257383</v>
      </c>
      <c r="H8" s="7">
        <v>5289027</v>
      </c>
      <c r="I8" s="7">
        <v>5320882</v>
      </c>
      <c r="J8" s="7">
        <v>5353001</v>
      </c>
      <c r="K8" s="7">
        <v>5384987</v>
      </c>
      <c r="L8" s="7">
        <v>5416927</v>
      </c>
      <c r="M8" s="7">
        <v>5448839</v>
      </c>
      <c r="N8" s="7">
        <v>5480752</v>
      </c>
      <c r="O8" s="1">
        <v>5512649</v>
      </c>
      <c r="P8" s="1">
        <v>5544510</v>
      </c>
      <c r="Q8" s="1">
        <v>5579300</v>
      </c>
      <c r="R8" s="1">
        <v>5613640</v>
      </c>
      <c r="S8" s="1">
        <v>5647461</v>
      </c>
      <c r="T8" s="1">
        <v>5680696</v>
      </c>
      <c r="U8" s="1">
        <v>5713719</v>
      </c>
      <c r="V8" s="1">
        <v>5746237</v>
      </c>
      <c r="W8" s="1">
        <v>5778101</v>
      </c>
      <c r="X8" s="1">
        <v>5809118</v>
      </c>
      <c r="Y8" s="1">
        <v>5839214</v>
      </c>
      <c r="Z8" s="1">
        <v>5868260</v>
      </c>
      <c r="AA8" s="1">
        <v>5896376</v>
      </c>
      <c r="AB8" s="1">
        <v>5922998</v>
      </c>
      <c r="AC8" s="1">
        <v>5947651</v>
      </c>
      <c r="AD8" s="1">
        <v>5970284</v>
      </c>
      <c r="AE8" s="1">
        <v>5990781</v>
      </c>
      <c r="AF8" s="1">
        <v>6009043</v>
      </c>
      <c r="AG8" s="1">
        <v>6025282</v>
      </c>
      <c r="AH8" s="1">
        <v>6039347</v>
      </c>
      <c r="AI8" s="1">
        <v>6051381</v>
      </c>
      <c r="AJ8" s="1">
        <v>6061631</v>
      </c>
      <c r="AK8" s="1">
        <v>6070015</v>
      </c>
      <c r="AL8" s="1">
        <v>6076778</v>
      </c>
      <c r="AM8" s="1">
        <v>6081984</v>
      </c>
      <c r="AN8" s="1">
        <v>6085790</v>
      </c>
      <c r="AO8" s="1">
        <v>6088310</v>
      </c>
      <c r="AP8" s="1">
        <v>6089682</v>
      </c>
      <c r="AQ8" s="1">
        <v>6090048</v>
      </c>
      <c r="AR8" s="1">
        <v>6089576</v>
      </c>
      <c r="AS8" s="1">
        <v>6088758</v>
      </c>
      <c r="AT8" s="1">
        <v>6087491</v>
      </c>
      <c r="AU8" s="1">
        <v>6085867</v>
      </c>
      <c r="AV8" s="1">
        <v>6083927</v>
      </c>
      <c r="AW8" s="1">
        <v>6081835</v>
      </c>
      <c r="AX8" s="1">
        <v>6079653</v>
      </c>
      <c r="AY8" s="1">
        <v>6077389</v>
      </c>
      <c r="AZ8" s="1">
        <v>6075058</v>
      </c>
      <c r="BA8" s="1">
        <v>6072792</v>
      </c>
      <c r="BB8" s="1">
        <v>6070637</v>
      </c>
      <c r="BC8" s="1">
        <v>6068857</v>
      </c>
      <c r="BD8" s="1">
        <v>6067237</v>
      </c>
      <c r="BE8" s="1">
        <v>6065588</v>
      </c>
      <c r="BF8" s="1">
        <v>6063908</v>
      </c>
      <c r="BG8" s="1">
        <v>6062034</v>
      </c>
      <c r="BH8" s="1">
        <v>6059810</v>
      </c>
      <c r="BI8" s="1">
        <v>6057208</v>
      </c>
      <c r="BJ8" s="1">
        <v>6054127</v>
      </c>
      <c r="BK8" s="1">
        <v>6050632</v>
      </c>
      <c r="BL8" s="1">
        <v>6046840</v>
      </c>
      <c r="BM8" s="1">
        <v>6042601</v>
      </c>
      <c r="BN8" s="1">
        <v>6037760</v>
      </c>
      <c r="BO8" s="1">
        <v>6032265</v>
      </c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2">
      <c r="A9" t="s">
        <v>8</v>
      </c>
      <c r="B9" s="1"/>
      <c r="C9" s="1"/>
      <c r="D9" s="7">
        <v>10459782</v>
      </c>
      <c r="E9" s="7">
        <v>10416542</v>
      </c>
      <c r="F9" s="7">
        <v>10371572</v>
      </c>
      <c r="G9" s="7">
        <v>10320364</v>
      </c>
      <c r="H9" s="7">
        <v>10266269</v>
      </c>
      <c r="I9" s="7">
        <v>10209059</v>
      </c>
      <c r="J9" s="7">
        <v>10149281</v>
      </c>
      <c r="K9" s="7">
        <v>10090457</v>
      </c>
      <c r="L9" s="7">
        <v>10032545</v>
      </c>
      <c r="M9" s="7">
        <v>9975534</v>
      </c>
      <c r="N9" s="7">
        <v>9919670</v>
      </c>
      <c r="O9" s="1">
        <v>9865215</v>
      </c>
      <c r="P9" s="1">
        <v>9811524</v>
      </c>
      <c r="Q9" s="1">
        <v>9758893</v>
      </c>
      <c r="R9" s="1">
        <v>9706313</v>
      </c>
      <c r="S9" s="1">
        <v>9653946</v>
      </c>
      <c r="T9" s="1">
        <v>9602624</v>
      </c>
      <c r="U9" s="1">
        <v>9551283</v>
      </c>
      <c r="V9" s="1">
        <v>9500551</v>
      </c>
      <c r="W9" s="1">
        <v>9449830</v>
      </c>
      <c r="X9" s="1">
        <v>9399068</v>
      </c>
      <c r="Y9" s="1">
        <v>9347774</v>
      </c>
      <c r="Z9" s="1">
        <v>9296025</v>
      </c>
      <c r="AA9" s="1">
        <v>9243610</v>
      </c>
      <c r="AB9" s="1">
        <v>9190441</v>
      </c>
      <c r="AC9" s="1">
        <v>9135766</v>
      </c>
      <c r="AD9" s="1">
        <v>9080046</v>
      </c>
      <c r="AE9" s="1">
        <v>9023227</v>
      </c>
      <c r="AF9" s="1">
        <v>8964997</v>
      </c>
      <c r="AG9" s="1">
        <v>8905511</v>
      </c>
      <c r="AH9" s="1">
        <v>8844943</v>
      </c>
      <c r="AI9" s="1">
        <v>8783471</v>
      </c>
      <c r="AJ9" s="1">
        <v>8721823</v>
      </c>
      <c r="AK9" s="1">
        <v>8659463</v>
      </c>
      <c r="AL9" s="1">
        <v>8597149</v>
      </c>
      <c r="AM9" s="1">
        <v>8534668</v>
      </c>
      <c r="AN9" s="1">
        <v>8472324</v>
      </c>
      <c r="AO9" s="1">
        <v>8410131</v>
      </c>
      <c r="AP9" s="1">
        <v>8348550</v>
      </c>
      <c r="AQ9" s="1">
        <v>8287694</v>
      </c>
      <c r="AR9" s="1">
        <v>8227626</v>
      </c>
      <c r="AS9" s="1">
        <v>8168549</v>
      </c>
      <c r="AT9" s="1">
        <v>8110570</v>
      </c>
      <c r="AU9" s="1">
        <v>8053878</v>
      </c>
      <c r="AV9" s="1">
        <v>7998997</v>
      </c>
      <c r="AW9" s="1">
        <v>7945854</v>
      </c>
      <c r="AX9" s="1">
        <v>7894744</v>
      </c>
      <c r="AY9" s="1">
        <v>7845709</v>
      </c>
      <c r="AZ9" s="1">
        <v>7798839</v>
      </c>
      <c r="BA9" s="1">
        <v>7754493</v>
      </c>
      <c r="BB9" s="1">
        <v>7712682</v>
      </c>
      <c r="BC9" s="1">
        <v>7673456</v>
      </c>
      <c r="BD9" s="1">
        <v>7637089</v>
      </c>
      <c r="BE9" s="1">
        <v>7603245</v>
      </c>
      <c r="BF9" s="1">
        <v>7571611</v>
      </c>
      <c r="BG9" s="1">
        <v>7541939</v>
      </c>
      <c r="BH9" s="1">
        <v>7514507</v>
      </c>
      <c r="BI9" s="1">
        <v>7489004</v>
      </c>
      <c r="BJ9" s="1">
        <v>7465776</v>
      </c>
      <c r="BK9" s="1">
        <v>7444785</v>
      </c>
      <c r="BL9" s="1">
        <v>7425902</v>
      </c>
      <c r="BM9" s="1">
        <v>7408778</v>
      </c>
      <c r="BN9" s="1">
        <v>7393506</v>
      </c>
      <c r="BO9" s="1">
        <v>7379838</v>
      </c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x14ac:dyDescent="0.2">
      <c r="A10" t="s">
        <v>9</v>
      </c>
      <c r="B10" s="1"/>
      <c r="C10" s="1"/>
      <c r="D10" s="7">
        <v>47432893</v>
      </c>
      <c r="E10" s="7">
        <v>47980384</v>
      </c>
      <c r="F10" s="7">
        <v>48346319</v>
      </c>
      <c r="G10" s="7">
        <v>48614060</v>
      </c>
      <c r="H10" s="7">
        <v>48822977</v>
      </c>
      <c r="I10" s="7">
        <v>48973279</v>
      </c>
      <c r="J10" s="7">
        <v>49069647</v>
      </c>
      <c r="K10" s="7">
        <v>49167929</v>
      </c>
      <c r="L10" s="7">
        <v>49266930</v>
      </c>
      <c r="M10" s="7">
        <v>49363835</v>
      </c>
      <c r="N10" s="7">
        <v>49460401</v>
      </c>
      <c r="O10" s="1">
        <v>49558800</v>
      </c>
      <c r="P10" s="1">
        <v>49656906</v>
      </c>
      <c r="Q10" s="1">
        <v>49760920</v>
      </c>
      <c r="R10" s="1">
        <v>49863657</v>
      </c>
      <c r="S10" s="1">
        <v>49963357</v>
      </c>
      <c r="T10" s="1">
        <v>50059915</v>
      </c>
      <c r="U10" s="1">
        <v>50151068</v>
      </c>
      <c r="V10" s="1">
        <v>50237193</v>
      </c>
      <c r="W10" s="1">
        <v>50316009</v>
      </c>
      <c r="X10" s="1">
        <v>50386688</v>
      </c>
      <c r="Y10" s="1">
        <v>50446259</v>
      </c>
      <c r="Z10" s="1">
        <v>50494168</v>
      </c>
      <c r="AA10" s="1">
        <v>50527425</v>
      </c>
      <c r="AB10" s="1">
        <v>50546422</v>
      </c>
      <c r="AC10" s="1">
        <v>50549427</v>
      </c>
      <c r="AD10" s="1">
        <v>50536302</v>
      </c>
      <c r="AE10" s="1">
        <v>50506074</v>
      </c>
      <c r="AF10" s="1">
        <v>50460161</v>
      </c>
      <c r="AG10" s="1">
        <v>50398375</v>
      </c>
      <c r="AH10" s="1">
        <v>50321260</v>
      </c>
      <c r="AI10" s="1">
        <v>50229855</v>
      </c>
      <c r="AJ10" s="1">
        <v>50125793</v>
      </c>
      <c r="AK10" s="1">
        <v>50009648</v>
      </c>
      <c r="AL10" s="1">
        <v>49882766</v>
      </c>
      <c r="AM10" s="1">
        <v>49746489</v>
      </c>
      <c r="AN10" s="1">
        <v>49603252</v>
      </c>
      <c r="AO10" s="1">
        <v>49452799</v>
      </c>
      <c r="AP10" s="1">
        <v>49296369</v>
      </c>
      <c r="AQ10" s="1">
        <v>49136315</v>
      </c>
      <c r="AR10" s="1">
        <v>48974497</v>
      </c>
      <c r="AS10" s="1">
        <v>48812479</v>
      </c>
      <c r="AT10" s="1">
        <v>48650472</v>
      </c>
      <c r="AU10" s="1">
        <v>48491039</v>
      </c>
      <c r="AV10" s="1">
        <v>48334959</v>
      </c>
      <c r="AW10" s="1">
        <v>48182062</v>
      </c>
      <c r="AX10" s="1">
        <v>48033330</v>
      </c>
      <c r="AY10" s="1">
        <v>47890985</v>
      </c>
      <c r="AZ10" s="1">
        <v>47754790</v>
      </c>
      <c r="BA10" s="1">
        <v>47624951</v>
      </c>
      <c r="BB10" s="1">
        <v>47502401</v>
      </c>
      <c r="BC10" s="1">
        <v>47386924</v>
      </c>
      <c r="BD10" s="1">
        <v>47280333</v>
      </c>
      <c r="BE10" s="1">
        <v>47178564</v>
      </c>
      <c r="BF10" s="1">
        <v>47083172</v>
      </c>
      <c r="BG10" s="1">
        <v>46994389</v>
      </c>
      <c r="BH10" s="1">
        <v>46910698</v>
      </c>
      <c r="BI10" s="1">
        <v>46830839</v>
      </c>
      <c r="BJ10" s="1">
        <v>46756869</v>
      </c>
      <c r="BK10" s="1">
        <v>46686758</v>
      </c>
      <c r="BL10" s="1">
        <v>46619145</v>
      </c>
      <c r="BM10" s="1">
        <v>46551977</v>
      </c>
      <c r="BN10" s="1">
        <v>46484009</v>
      </c>
      <c r="BO10" s="1">
        <v>46415099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2">
      <c r="A11" t="s">
        <v>10</v>
      </c>
      <c r="B11" s="1"/>
      <c r="C11" s="1"/>
      <c r="D11" s="7">
        <v>67871925</v>
      </c>
      <c r="E11" s="7">
        <v>68227636</v>
      </c>
      <c r="F11" s="7">
        <v>68467799</v>
      </c>
      <c r="G11" s="7">
        <v>68658223</v>
      </c>
      <c r="H11" s="7">
        <v>68828579</v>
      </c>
      <c r="I11" s="7">
        <v>68981139</v>
      </c>
      <c r="J11" s="7">
        <v>69115954</v>
      </c>
      <c r="K11" s="7">
        <v>69251760</v>
      </c>
      <c r="L11" s="7">
        <v>69386211</v>
      </c>
      <c r="M11" s="7">
        <v>69519142</v>
      </c>
      <c r="N11" s="7">
        <v>69650285</v>
      </c>
      <c r="O11" s="1">
        <v>69777352</v>
      </c>
      <c r="P11" s="1">
        <v>69901472</v>
      </c>
      <c r="Q11" s="1">
        <v>70026306</v>
      </c>
      <c r="R11" s="1">
        <v>70146754</v>
      </c>
      <c r="S11" s="1">
        <v>70260672</v>
      </c>
      <c r="T11" s="1">
        <v>70361168</v>
      </c>
      <c r="U11" s="1">
        <v>70451362</v>
      </c>
      <c r="V11" s="1">
        <v>70527060</v>
      </c>
      <c r="W11" s="1">
        <v>70587568</v>
      </c>
      <c r="X11" s="1">
        <v>70634002</v>
      </c>
      <c r="Y11" s="1">
        <v>70670568</v>
      </c>
      <c r="Z11" s="1">
        <v>70695165</v>
      </c>
      <c r="AA11" s="1">
        <v>70709758</v>
      </c>
      <c r="AB11" s="1">
        <v>70717939</v>
      </c>
      <c r="AC11" s="1">
        <v>70714336</v>
      </c>
      <c r="AD11" s="1">
        <v>70700903</v>
      </c>
      <c r="AE11" s="1">
        <v>70674366</v>
      </c>
      <c r="AF11" s="1">
        <v>70641762</v>
      </c>
      <c r="AG11" s="1">
        <v>70603509</v>
      </c>
      <c r="AH11" s="1">
        <v>70560384</v>
      </c>
      <c r="AI11" s="1">
        <v>70511976</v>
      </c>
      <c r="AJ11" s="1">
        <v>70460377</v>
      </c>
      <c r="AK11" s="1">
        <v>70405341</v>
      </c>
      <c r="AL11" s="1">
        <v>70348454</v>
      </c>
      <c r="AM11" s="1">
        <v>70289005</v>
      </c>
      <c r="AN11" s="1">
        <v>70228598</v>
      </c>
      <c r="AO11" s="1">
        <v>70166118</v>
      </c>
      <c r="AP11" s="1">
        <v>70104683</v>
      </c>
      <c r="AQ11" s="1">
        <v>70046545</v>
      </c>
      <c r="AR11" s="1">
        <v>69991349</v>
      </c>
      <c r="AS11" s="1">
        <v>69938547</v>
      </c>
      <c r="AT11" s="1">
        <v>69889952</v>
      </c>
      <c r="AU11" s="1">
        <v>69844912</v>
      </c>
      <c r="AV11" s="1">
        <v>69807421</v>
      </c>
      <c r="AW11" s="1">
        <v>69771572</v>
      </c>
      <c r="AX11" s="1">
        <v>69737651</v>
      </c>
      <c r="AY11" s="1">
        <v>69705215</v>
      </c>
      <c r="AZ11" s="1">
        <v>69674928</v>
      </c>
      <c r="BA11" s="1">
        <v>69645712</v>
      </c>
      <c r="BB11" s="1">
        <v>69618102</v>
      </c>
      <c r="BC11" s="1">
        <v>69588975</v>
      </c>
      <c r="BD11" s="1">
        <v>69559535</v>
      </c>
      <c r="BE11" s="1">
        <v>69528454</v>
      </c>
      <c r="BF11" s="1">
        <v>69496450</v>
      </c>
      <c r="BG11" s="1">
        <v>69460178</v>
      </c>
      <c r="BH11" s="1">
        <v>69420996</v>
      </c>
      <c r="BI11" s="1">
        <v>69377820</v>
      </c>
      <c r="BJ11" s="1">
        <v>69331696</v>
      </c>
      <c r="BK11" s="1">
        <v>69280933</v>
      </c>
      <c r="BL11" s="1">
        <v>69226563</v>
      </c>
      <c r="BM11" s="1">
        <v>69168739</v>
      </c>
      <c r="BN11" s="1">
        <v>69108424</v>
      </c>
      <c r="BO11" s="1">
        <v>69046355</v>
      </c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2">
      <c r="A12" t="s">
        <v>11</v>
      </c>
      <c r="B12" s="1"/>
      <c r="C12" s="1"/>
      <c r="D12" s="7">
        <v>3862305</v>
      </c>
      <c r="E12" s="7">
        <v>3854381</v>
      </c>
      <c r="F12" s="7">
        <v>3834008</v>
      </c>
      <c r="G12" s="7">
        <v>3810628</v>
      </c>
      <c r="H12" s="7">
        <v>3788113</v>
      </c>
      <c r="I12" s="7">
        <v>3766531</v>
      </c>
      <c r="J12" s="7">
        <v>3734553</v>
      </c>
      <c r="K12" s="7">
        <v>3713774</v>
      </c>
      <c r="L12" s="7">
        <v>3693206</v>
      </c>
      <c r="M12" s="7">
        <v>3673118</v>
      </c>
      <c r="N12" s="7">
        <v>3653106</v>
      </c>
      <c r="O12" s="1">
        <v>3633026</v>
      </c>
      <c r="P12" s="1">
        <v>3612777</v>
      </c>
      <c r="Q12" s="1">
        <v>3593292</v>
      </c>
      <c r="R12" s="1">
        <v>3573579</v>
      </c>
      <c r="S12" s="1">
        <v>3553941</v>
      </c>
      <c r="T12" s="1">
        <v>3534199</v>
      </c>
      <c r="U12" s="1">
        <v>3514879</v>
      </c>
      <c r="V12" s="1">
        <v>3495577</v>
      </c>
      <c r="W12" s="1">
        <v>3476348</v>
      </c>
      <c r="X12" s="1">
        <v>3457226</v>
      </c>
      <c r="Y12" s="1">
        <v>3438219</v>
      </c>
      <c r="Z12" s="1">
        <v>3419333</v>
      </c>
      <c r="AA12" s="1">
        <v>3400681</v>
      </c>
      <c r="AB12" s="1">
        <v>3382150</v>
      </c>
      <c r="AC12" s="1">
        <v>3363736</v>
      </c>
      <c r="AD12" s="1">
        <v>3345555</v>
      </c>
      <c r="AE12" s="1">
        <v>3327609</v>
      </c>
      <c r="AF12" s="1">
        <v>3310003</v>
      </c>
      <c r="AG12" s="1">
        <v>3292537</v>
      </c>
      <c r="AH12" s="1">
        <v>3275286</v>
      </c>
      <c r="AI12" s="1">
        <v>3258328</v>
      </c>
      <c r="AJ12" s="1">
        <v>3241722</v>
      </c>
      <c r="AK12" s="1">
        <v>3225297</v>
      </c>
      <c r="AL12" s="1">
        <v>3209234</v>
      </c>
      <c r="AM12" s="1">
        <v>3193560</v>
      </c>
      <c r="AN12" s="1">
        <v>3177954</v>
      </c>
      <c r="AO12" s="1">
        <v>3162822</v>
      </c>
      <c r="AP12" s="1">
        <v>3148039</v>
      </c>
      <c r="AQ12" s="1">
        <v>3133657</v>
      </c>
      <c r="AR12" s="1">
        <v>3119809</v>
      </c>
      <c r="AS12" s="1">
        <v>3106285</v>
      </c>
      <c r="AT12" s="1">
        <v>3092937</v>
      </c>
      <c r="AU12" s="1">
        <v>3079755</v>
      </c>
      <c r="AV12" s="1">
        <v>3066786</v>
      </c>
      <c r="AW12" s="1">
        <v>3053953</v>
      </c>
      <c r="AX12" s="1">
        <v>3041405</v>
      </c>
      <c r="AY12" s="1">
        <v>3029168</v>
      </c>
      <c r="AZ12" s="1">
        <v>3017290</v>
      </c>
      <c r="BA12" s="1">
        <v>3005897</v>
      </c>
      <c r="BB12" s="1">
        <v>2994743</v>
      </c>
      <c r="BC12" s="1">
        <v>2983966</v>
      </c>
      <c r="BD12" s="1">
        <v>2973722</v>
      </c>
      <c r="BE12" s="1">
        <v>2963931</v>
      </c>
      <c r="BF12" s="1">
        <v>2954455</v>
      </c>
      <c r="BG12" s="1">
        <v>2945222</v>
      </c>
      <c r="BH12" s="1">
        <v>2936474</v>
      </c>
      <c r="BI12" s="1">
        <v>2927987</v>
      </c>
      <c r="BJ12" s="1">
        <v>2919932</v>
      </c>
      <c r="BK12" s="1">
        <v>2912165</v>
      </c>
      <c r="BL12" s="1">
        <v>2904851</v>
      </c>
      <c r="BM12" s="1">
        <v>2897877</v>
      </c>
      <c r="BN12" s="1">
        <v>2891372</v>
      </c>
      <c r="BO12" s="1">
        <v>2885156</v>
      </c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2">
      <c r="A13" t="s">
        <v>12</v>
      </c>
      <c r="B13" s="1"/>
      <c r="C13" s="1"/>
      <c r="D13" s="7">
        <v>59030133</v>
      </c>
      <c r="E13" s="7">
        <v>59058615</v>
      </c>
      <c r="F13" s="7">
        <v>59011788</v>
      </c>
      <c r="G13" s="7">
        <v>58951070</v>
      </c>
      <c r="H13" s="7">
        <v>58898864</v>
      </c>
      <c r="I13" s="7">
        <v>58857408</v>
      </c>
      <c r="J13" s="7">
        <v>58825941</v>
      </c>
      <c r="K13" s="7">
        <v>58797473</v>
      </c>
      <c r="L13" s="7">
        <v>58773783</v>
      </c>
      <c r="M13" s="7">
        <v>58748917</v>
      </c>
      <c r="N13" s="7">
        <v>58724221</v>
      </c>
      <c r="O13" s="1">
        <v>58698879</v>
      </c>
      <c r="P13" s="1">
        <v>58673850</v>
      </c>
      <c r="Q13" s="1">
        <v>58655761</v>
      </c>
      <c r="R13" s="1">
        <v>58634551</v>
      </c>
      <c r="S13" s="1">
        <v>58611890</v>
      </c>
      <c r="T13" s="1">
        <v>58585665</v>
      </c>
      <c r="U13" s="1">
        <v>58554890</v>
      </c>
      <c r="V13" s="1">
        <v>58519597</v>
      </c>
      <c r="W13" s="1">
        <v>58474892</v>
      </c>
      <c r="X13" s="1">
        <v>58419277</v>
      </c>
      <c r="Y13" s="1">
        <v>58352120</v>
      </c>
      <c r="Z13" s="1">
        <v>58273305</v>
      </c>
      <c r="AA13" s="1">
        <v>58180562</v>
      </c>
      <c r="AB13" s="1">
        <v>58074759</v>
      </c>
      <c r="AC13" s="1">
        <v>57955574</v>
      </c>
      <c r="AD13" s="1">
        <v>57824037</v>
      </c>
      <c r="AE13" s="1">
        <v>57677994</v>
      </c>
      <c r="AF13" s="1">
        <v>57518500</v>
      </c>
      <c r="AG13" s="1">
        <v>57345588</v>
      </c>
      <c r="AH13" s="1">
        <v>57158971</v>
      </c>
      <c r="AI13" s="1">
        <v>56960929</v>
      </c>
      <c r="AJ13" s="1">
        <v>56754057</v>
      </c>
      <c r="AK13" s="1">
        <v>56536819</v>
      </c>
      <c r="AL13" s="1">
        <v>56312447</v>
      </c>
      <c r="AM13" s="1">
        <v>56081388</v>
      </c>
      <c r="AN13" s="1">
        <v>55846897</v>
      </c>
      <c r="AO13" s="1">
        <v>55608272</v>
      </c>
      <c r="AP13" s="1">
        <v>55368858</v>
      </c>
      <c r="AQ13" s="1">
        <v>55131061</v>
      </c>
      <c r="AR13" s="1">
        <v>54897516</v>
      </c>
      <c r="AS13" s="1">
        <v>54669636</v>
      </c>
      <c r="AT13" s="1">
        <v>54449230</v>
      </c>
      <c r="AU13" s="1">
        <v>54236954</v>
      </c>
      <c r="AV13" s="1">
        <v>54034943</v>
      </c>
      <c r="AW13" s="1">
        <v>53842372</v>
      </c>
      <c r="AX13" s="1">
        <v>53660290</v>
      </c>
      <c r="AY13" s="1">
        <v>53490142</v>
      </c>
      <c r="AZ13" s="1">
        <v>53332659</v>
      </c>
      <c r="BA13" s="1">
        <v>53185807</v>
      </c>
      <c r="BB13" s="1">
        <v>53049977</v>
      </c>
      <c r="BC13" s="1">
        <v>52924263</v>
      </c>
      <c r="BD13" s="1">
        <v>52808211</v>
      </c>
      <c r="BE13" s="1">
        <v>52700144</v>
      </c>
      <c r="BF13" s="1">
        <v>52598911</v>
      </c>
      <c r="BG13" s="1">
        <v>52502707</v>
      </c>
      <c r="BH13" s="1">
        <v>52410959</v>
      </c>
      <c r="BI13" s="1">
        <v>52321192</v>
      </c>
      <c r="BJ13" s="1">
        <v>52233701</v>
      </c>
      <c r="BK13" s="1">
        <v>52146675</v>
      </c>
      <c r="BL13" s="1">
        <v>52059478</v>
      </c>
      <c r="BM13" s="1">
        <v>51971090</v>
      </c>
      <c r="BN13" s="1">
        <v>51880414</v>
      </c>
      <c r="BO13" s="1">
        <v>51787022</v>
      </c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2">
      <c r="A14" t="s">
        <v>13</v>
      </c>
      <c r="B14" s="1"/>
      <c r="C14" s="1"/>
      <c r="D14" s="7">
        <v>904705</v>
      </c>
      <c r="E14" s="7">
        <v>926006</v>
      </c>
      <c r="F14" s="7">
        <v>936083</v>
      </c>
      <c r="G14" s="7">
        <v>941765</v>
      </c>
      <c r="H14" s="7">
        <v>946441</v>
      </c>
      <c r="I14" s="7">
        <v>950152</v>
      </c>
      <c r="J14" s="7">
        <v>952823</v>
      </c>
      <c r="K14" s="7">
        <v>955378</v>
      </c>
      <c r="L14" s="7">
        <v>957744</v>
      </c>
      <c r="M14" s="7">
        <v>959918</v>
      </c>
      <c r="N14" s="7">
        <v>961896</v>
      </c>
      <c r="O14" s="1">
        <v>963699</v>
      </c>
      <c r="P14" s="1">
        <v>965305</v>
      </c>
      <c r="Q14" s="1">
        <v>967207</v>
      </c>
      <c r="R14" s="1">
        <v>968897</v>
      </c>
      <c r="S14" s="1">
        <v>970362</v>
      </c>
      <c r="T14" s="1">
        <v>971662</v>
      </c>
      <c r="U14" s="1">
        <v>972836</v>
      </c>
      <c r="V14" s="1">
        <v>973876</v>
      </c>
      <c r="W14" s="1">
        <v>974818</v>
      </c>
      <c r="X14" s="1">
        <v>975757</v>
      </c>
      <c r="Y14" s="1">
        <v>976601</v>
      </c>
      <c r="Z14" s="1">
        <v>977446</v>
      </c>
      <c r="AA14" s="1">
        <v>978267</v>
      </c>
      <c r="AB14" s="1">
        <v>979100</v>
      </c>
      <c r="AC14" s="1">
        <v>979902</v>
      </c>
      <c r="AD14" s="1">
        <v>980701</v>
      </c>
      <c r="AE14" s="1">
        <v>981552</v>
      </c>
      <c r="AF14" s="1">
        <v>982420</v>
      </c>
      <c r="AG14" s="1">
        <v>983339</v>
      </c>
      <c r="AH14" s="1">
        <v>984294</v>
      </c>
      <c r="AI14" s="1">
        <v>985226</v>
      </c>
      <c r="AJ14" s="1">
        <v>986244</v>
      </c>
      <c r="AK14" s="1">
        <v>987214</v>
      </c>
      <c r="AL14" s="1">
        <v>988211</v>
      </c>
      <c r="AM14" s="1">
        <v>989200</v>
      </c>
      <c r="AN14" s="1">
        <v>990287</v>
      </c>
      <c r="AO14" s="1">
        <v>991281</v>
      </c>
      <c r="AP14" s="1">
        <v>992236</v>
      </c>
      <c r="AQ14" s="1">
        <v>993137</v>
      </c>
      <c r="AR14" s="1">
        <v>993983</v>
      </c>
      <c r="AS14" s="1">
        <v>994728</v>
      </c>
      <c r="AT14" s="1">
        <v>995352</v>
      </c>
      <c r="AU14" s="1">
        <v>995856</v>
      </c>
      <c r="AV14" s="1">
        <v>996274</v>
      </c>
      <c r="AW14" s="1">
        <v>996563</v>
      </c>
      <c r="AX14" s="1">
        <v>996706</v>
      </c>
      <c r="AY14" s="1">
        <v>996761</v>
      </c>
      <c r="AZ14" s="1">
        <v>996715</v>
      </c>
      <c r="BA14" s="1">
        <v>996574</v>
      </c>
      <c r="BB14" s="1">
        <v>996350</v>
      </c>
      <c r="BC14" s="1">
        <v>996049</v>
      </c>
      <c r="BD14" s="1">
        <v>995705</v>
      </c>
      <c r="BE14" s="1">
        <v>995325</v>
      </c>
      <c r="BF14" s="1">
        <v>994933</v>
      </c>
      <c r="BG14" s="1">
        <v>994486</v>
      </c>
      <c r="BH14" s="1">
        <v>994075</v>
      </c>
      <c r="BI14" s="1">
        <v>993599</v>
      </c>
      <c r="BJ14" s="1">
        <v>993163</v>
      </c>
      <c r="BK14" s="1">
        <v>992734</v>
      </c>
      <c r="BL14" s="1">
        <v>992398</v>
      </c>
      <c r="BM14" s="1">
        <v>992099</v>
      </c>
      <c r="BN14" s="1">
        <v>991895</v>
      </c>
      <c r="BO14" s="1">
        <v>991819</v>
      </c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2">
      <c r="A15" t="s">
        <v>14</v>
      </c>
      <c r="B15" s="1"/>
      <c r="C15" s="1"/>
      <c r="D15" s="7">
        <v>1875757</v>
      </c>
      <c r="E15" s="7">
        <v>1894146</v>
      </c>
      <c r="F15" s="7">
        <v>1883405</v>
      </c>
      <c r="G15" s="7">
        <v>1863089</v>
      </c>
      <c r="H15" s="7">
        <v>1842409</v>
      </c>
      <c r="I15" s="7">
        <v>1821191</v>
      </c>
      <c r="J15" s="7">
        <v>1799221</v>
      </c>
      <c r="K15" s="7">
        <v>1777599</v>
      </c>
      <c r="L15" s="7">
        <v>1756334</v>
      </c>
      <c r="M15" s="7">
        <v>1735494</v>
      </c>
      <c r="N15" s="7">
        <v>1715311</v>
      </c>
      <c r="O15" s="1">
        <v>1695872</v>
      </c>
      <c r="P15" s="1">
        <v>1677235</v>
      </c>
      <c r="Q15" s="1">
        <v>1660761</v>
      </c>
      <c r="R15" s="1">
        <v>1644951</v>
      </c>
      <c r="S15" s="1">
        <v>1629686</v>
      </c>
      <c r="T15" s="1">
        <v>1615018</v>
      </c>
      <c r="U15" s="1">
        <v>1600744</v>
      </c>
      <c r="V15" s="1">
        <v>1586936</v>
      </c>
      <c r="W15" s="1">
        <v>1573577</v>
      </c>
      <c r="X15" s="1">
        <v>1560580</v>
      </c>
      <c r="Y15" s="1">
        <v>1547902</v>
      </c>
      <c r="Z15" s="1">
        <v>1535496</v>
      </c>
      <c r="AA15" s="1">
        <v>1523373</v>
      </c>
      <c r="AB15" s="1">
        <v>1511495</v>
      </c>
      <c r="AC15" s="1">
        <v>1499829</v>
      </c>
      <c r="AD15" s="1">
        <v>1488373</v>
      </c>
      <c r="AE15" s="1">
        <v>1477173</v>
      </c>
      <c r="AF15" s="1">
        <v>1466019</v>
      </c>
      <c r="AG15" s="1">
        <v>1454910</v>
      </c>
      <c r="AH15" s="1">
        <v>1443947</v>
      </c>
      <c r="AI15" s="1">
        <v>1433053</v>
      </c>
      <c r="AJ15" s="1">
        <v>1422197</v>
      </c>
      <c r="AK15" s="1">
        <v>1411313</v>
      </c>
      <c r="AL15" s="1">
        <v>1400472</v>
      </c>
      <c r="AM15" s="1">
        <v>1389616</v>
      </c>
      <c r="AN15" s="1">
        <v>1378793</v>
      </c>
      <c r="AO15" s="1">
        <v>1367851</v>
      </c>
      <c r="AP15" s="1">
        <v>1356948</v>
      </c>
      <c r="AQ15" s="1">
        <v>1346109</v>
      </c>
      <c r="AR15" s="1">
        <v>1335369</v>
      </c>
      <c r="AS15" s="1">
        <v>1324822</v>
      </c>
      <c r="AT15" s="1">
        <v>1314550</v>
      </c>
      <c r="AU15" s="1">
        <v>1304642</v>
      </c>
      <c r="AV15" s="1">
        <v>1295140</v>
      </c>
      <c r="AW15" s="1">
        <v>1285927</v>
      </c>
      <c r="AX15" s="1">
        <v>1277070</v>
      </c>
      <c r="AY15" s="1">
        <v>1268630</v>
      </c>
      <c r="AZ15" s="1">
        <v>1260499</v>
      </c>
      <c r="BA15" s="1">
        <v>1252841</v>
      </c>
      <c r="BB15" s="1">
        <v>1245571</v>
      </c>
      <c r="BC15" s="1">
        <v>1238730</v>
      </c>
      <c r="BD15" s="1">
        <v>1232293</v>
      </c>
      <c r="BE15" s="1">
        <v>1225991</v>
      </c>
      <c r="BF15" s="1">
        <v>1219878</v>
      </c>
      <c r="BG15" s="1">
        <v>1214034</v>
      </c>
      <c r="BH15" s="1">
        <v>1208602</v>
      </c>
      <c r="BI15" s="1">
        <v>1203556</v>
      </c>
      <c r="BJ15" s="1">
        <v>1198921</v>
      </c>
      <c r="BK15" s="1">
        <v>1194630</v>
      </c>
      <c r="BL15" s="1">
        <v>1190672</v>
      </c>
      <c r="BM15" s="1">
        <v>1186958</v>
      </c>
      <c r="BN15" s="1">
        <v>1183486</v>
      </c>
      <c r="BO15" s="1">
        <v>1180343</v>
      </c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2">
      <c r="A16" t="s">
        <v>15</v>
      </c>
      <c r="B16" s="1"/>
      <c r="C16" s="1"/>
      <c r="D16" s="7">
        <v>2805998</v>
      </c>
      <c r="E16" s="7">
        <v>2869396</v>
      </c>
      <c r="F16" s="7">
        <v>2875218</v>
      </c>
      <c r="G16" s="7">
        <v>2860472</v>
      </c>
      <c r="H16" s="7">
        <v>2842081</v>
      </c>
      <c r="I16" s="7">
        <v>2819971</v>
      </c>
      <c r="J16" s="7">
        <v>2793634</v>
      </c>
      <c r="K16" s="7">
        <v>2767640</v>
      </c>
      <c r="L16" s="7">
        <v>2741927</v>
      </c>
      <c r="M16" s="7">
        <v>2716418</v>
      </c>
      <c r="N16" s="7">
        <v>2691336</v>
      </c>
      <c r="O16" s="1">
        <v>2666802</v>
      </c>
      <c r="P16" s="1">
        <v>2642838</v>
      </c>
      <c r="Q16" s="1">
        <v>2622099</v>
      </c>
      <c r="R16" s="1">
        <v>2601828</v>
      </c>
      <c r="S16" s="1">
        <v>2581824</v>
      </c>
      <c r="T16" s="1">
        <v>2562095</v>
      </c>
      <c r="U16" s="1">
        <v>2542199</v>
      </c>
      <c r="V16" s="1">
        <v>2522535</v>
      </c>
      <c r="W16" s="1">
        <v>2503131</v>
      </c>
      <c r="X16" s="1">
        <v>2484013</v>
      </c>
      <c r="Y16" s="1">
        <v>2465109</v>
      </c>
      <c r="Z16" s="1">
        <v>2446430</v>
      </c>
      <c r="AA16" s="1">
        <v>2427900</v>
      </c>
      <c r="AB16" s="1">
        <v>2409494</v>
      </c>
      <c r="AC16" s="1">
        <v>2391224</v>
      </c>
      <c r="AD16" s="1">
        <v>2373048</v>
      </c>
      <c r="AE16" s="1">
        <v>2355146</v>
      </c>
      <c r="AF16" s="1">
        <v>2337340</v>
      </c>
      <c r="AG16" s="1">
        <v>2319677</v>
      </c>
      <c r="AH16" s="1">
        <v>2302200</v>
      </c>
      <c r="AI16" s="1">
        <v>2284821</v>
      </c>
      <c r="AJ16" s="1">
        <v>2267483</v>
      </c>
      <c r="AK16" s="1">
        <v>2250264</v>
      </c>
      <c r="AL16" s="1">
        <v>2233403</v>
      </c>
      <c r="AM16" s="1">
        <v>2216714</v>
      </c>
      <c r="AN16" s="1">
        <v>2200244</v>
      </c>
      <c r="AO16" s="1">
        <v>2183723</v>
      </c>
      <c r="AP16" s="1">
        <v>2167236</v>
      </c>
      <c r="AQ16" s="1">
        <v>2151051</v>
      </c>
      <c r="AR16" s="1">
        <v>2135122</v>
      </c>
      <c r="AS16" s="1">
        <v>2119445</v>
      </c>
      <c r="AT16" s="1">
        <v>2104074</v>
      </c>
      <c r="AU16" s="1">
        <v>2088991</v>
      </c>
      <c r="AV16" s="1">
        <v>2074108</v>
      </c>
      <c r="AW16" s="1">
        <v>2059423</v>
      </c>
      <c r="AX16" s="1">
        <v>2044984</v>
      </c>
      <c r="AY16" s="1">
        <v>2030909</v>
      </c>
      <c r="AZ16" s="1">
        <v>2017152</v>
      </c>
      <c r="BA16" s="1">
        <v>2003764</v>
      </c>
      <c r="BB16" s="1">
        <v>1990700</v>
      </c>
      <c r="BC16" s="1">
        <v>1977982</v>
      </c>
      <c r="BD16" s="1">
        <v>1965736</v>
      </c>
      <c r="BE16" s="1">
        <v>1953947</v>
      </c>
      <c r="BF16" s="1">
        <v>1942391</v>
      </c>
      <c r="BG16" s="1">
        <v>1931025</v>
      </c>
      <c r="BH16" s="1">
        <v>1919937</v>
      </c>
      <c r="BI16" s="1">
        <v>1909077</v>
      </c>
      <c r="BJ16" s="1">
        <v>1898580</v>
      </c>
      <c r="BK16" s="1">
        <v>1888525</v>
      </c>
      <c r="BL16" s="1">
        <v>1878803</v>
      </c>
      <c r="BM16" s="1">
        <v>1869334</v>
      </c>
      <c r="BN16" s="1">
        <v>1860193</v>
      </c>
      <c r="BO16" s="1">
        <v>1851346</v>
      </c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2">
      <c r="A17" t="s">
        <v>16</v>
      </c>
      <c r="B17" s="1"/>
      <c r="C17" s="1"/>
      <c r="D17" s="7">
        <v>645397</v>
      </c>
      <c r="E17" s="7">
        <v>662537</v>
      </c>
      <c r="F17" s="7">
        <v>675611</v>
      </c>
      <c r="G17" s="7">
        <v>687081</v>
      </c>
      <c r="H17" s="7">
        <v>698278</v>
      </c>
      <c r="I17" s="7">
        <v>709190</v>
      </c>
      <c r="J17" s="7">
        <v>719777</v>
      </c>
      <c r="K17" s="7">
        <v>730190</v>
      </c>
      <c r="L17" s="7">
        <v>740420</v>
      </c>
      <c r="M17" s="7">
        <v>750434</v>
      </c>
      <c r="N17" s="7">
        <v>760238</v>
      </c>
      <c r="O17" s="1">
        <v>769808</v>
      </c>
      <c r="P17" s="1">
        <v>779131</v>
      </c>
      <c r="Q17" s="1">
        <v>788408</v>
      </c>
      <c r="R17" s="1">
        <v>797419</v>
      </c>
      <c r="S17" s="1">
        <v>806148</v>
      </c>
      <c r="T17" s="1">
        <v>814604</v>
      </c>
      <c r="U17" s="1">
        <v>822803</v>
      </c>
      <c r="V17" s="1">
        <v>830737</v>
      </c>
      <c r="W17" s="1">
        <v>838441</v>
      </c>
      <c r="X17" s="1">
        <v>845886</v>
      </c>
      <c r="Y17" s="1">
        <v>853080</v>
      </c>
      <c r="Z17" s="1">
        <v>860045</v>
      </c>
      <c r="AA17" s="1">
        <v>866782</v>
      </c>
      <c r="AB17" s="1">
        <v>873279</v>
      </c>
      <c r="AC17" s="1">
        <v>879560</v>
      </c>
      <c r="AD17" s="1">
        <v>885608</v>
      </c>
      <c r="AE17" s="1">
        <v>891445</v>
      </c>
      <c r="AF17" s="1">
        <v>897072</v>
      </c>
      <c r="AG17" s="1">
        <v>902482</v>
      </c>
      <c r="AH17" s="1">
        <v>907695</v>
      </c>
      <c r="AI17" s="1">
        <v>912708</v>
      </c>
      <c r="AJ17" s="1">
        <v>917531</v>
      </c>
      <c r="AK17" s="1">
        <v>922195</v>
      </c>
      <c r="AL17" s="1">
        <v>926727</v>
      </c>
      <c r="AM17" s="1">
        <v>931074</v>
      </c>
      <c r="AN17" s="1">
        <v>935311</v>
      </c>
      <c r="AO17" s="1">
        <v>939397</v>
      </c>
      <c r="AP17" s="1">
        <v>943353</v>
      </c>
      <c r="AQ17" s="1">
        <v>947162</v>
      </c>
      <c r="AR17" s="1">
        <v>950836</v>
      </c>
      <c r="AS17" s="1">
        <v>954391</v>
      </c>
      <c r="AT17" s="1">
        <v>957733</v>
      </c>
      <c r="AU17" s="1">
        <v>960940</v>
      </c>
      <c r="AV17" s="1">
        <v>964007</v>
      </c>
      <c r="AW17" s="1">
        <v>966865</v>
      </c>
      <c r="AX17" s="1">
        <v>969562</v>
      </c>
      <c r="AY17" s="1">
        <v>972100</v>
      </c>
      <c r="AZ17" s="1">
        <v>974490</v>
      </c>
      <c r="BA17" s="1">
        <v>976707</v>
      </c>
      <c r="BB17" s="1">
        <v>978767</v>
      </c>
      <c r="BC17" s="1">
        <v>980679</v>
      </c>
      <c r="BD17" s="1">
        <v>982427</v>
      </c>
      <c r="BE17" s="1">
        <v>984031</v>
      </c>
      <c r="BF17" s="1">
        <v>985497</v>
      </c>
      <c r="BG17" s="1">
        <v>986786</v>
      </c>
      <c r="BH17" s="1">
        <v>987950</v>
      </c>
      <c r="BI17" s="1">
        <v>989007</v>
      </c>
      <c r="BJ17" s="1">
        <v>989942</v>
      </c>
      <c r="BK17" s="1">
        <v>990729</v>
      </c>
      <c r="BL17" s="1">
        <v>991409</v>
      </c>
      <c r="BM17" s="1">
        <v>992005</v>
      </c>
      <c r="BN17" s="1">
        <v>992498</v>
      </c>
      <c r="BO17" s="1">
        <v>992914</v>
      </c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2">
      <c r="A18" t="s">
        <v>17</v>
      </c>
      <c r="B18" s="1"/>
      <c r="C18" s="1"/>
      <c r="D18" s="7">
        <v>9689010</v>
      </c>
      <c r="E18" s="7">
        <v>9689361</v>
      </c>
      <c r="F18" s="7">
        <v>9670111</v>
      </c>
      <c r="G18" s="7">
        <v>9644847</v>
      </c>
      <c r="H18" s="7">
        <v>9620993</v>
      </c>
      <c r="I18" s="7">
        <v>9597450</v>
      </c>
      <c r="J18" s="7">
        <v>9573344</v>
      </c>
      <c r="K18" s="7">
        <v>9550024</v>
      </c>
      <c r="L18" s="7">
        <v>9526758</v>
      </c>
      <c r="M18" s="7">
        <v>9503984</v>
      </c>
      <c r="N18" s="7">
        <v>9481533</v>
      </c>
      <c r="O18" s="1">
        <v>9460526</v>
      </c>
      <c r="P18" s="1">
        <v>9440563</v>
      </c>
      <c r="Q18" s="1">
        <v>9422235</v>
      </c>
      <c r="R18" s="1">
        <v>9404184</v>
      </c>
      <c r="S18" s="1">
        <v>9386416</v>
      </c>
      <c r="T18" s="1">
        <v>9369885</v>
      </c>
      <c r="U18" s="1">
        <v>9353603</v>
      </c>
      <c r="V18" s="1">
        <v>9340235</v>
      </c>
      <c r="W18" s="1">
        <v>9328262</v>
      </c>
      <c r="X18" s="1">
        <v>9316439</v>
      </c>
      <c r="Y18" s="1">
        <v>9304835</v>
      </c>
      <c r="Z18" s="1">
        <v>9293432</v>
      </c>
      <c r="AA18" s="1">
        <v>9282370</v>
      </c>
      <c r="AB18" s="1">
        <v>9271432</v>
      </c>
      <c r="AC18" s="1">
        <v>9260881</v>
      </c>
      <c r="AD18" s="1">
        <v>9250492</v>
      </c>
      <c r="AE18" s="1">
        <v>9240332</v>
      </c>
      <c r="AF18" s="1">
        <v>9230736</v>
      </c>
      <c r="AG18" s="1">
        <v>9222166</v>
      </c>
      <c r="AH18" s="1">
        <v>9213947</v>
      </c>
      <c r="AI18" s="1">
        <v>9205917</v>
      </c>
      <c r="AJ18" s="1">
        <v>9198026</v>
      </c>
      <c r="AK18" s="1">
        <v>9190172</v>
      </c>
      <c r="AL18" s="1">
        <v>9182524</v>
      </c>
      <c r="AM18" s="1">
        <v>9174795</v>
      </c>
      <c r="AN18" s="1">
        <v>9166404</v>
      </c>
      <c r="AO18" s="1">
        <v>9157365</v>
      </c>
      <c r="AP18" s="1">
        <v>9147771</v>
      </c>
      <c r="AQ18" s="1">
        <v>9137504</v>
      </c>
      <c r="AR18" s="1">
        <v>9126265</v>
      </c>
      <c r="AS18" s="1">
        <v>9114003</v>
      </c>
      <c r="AT18" s="1">
        <v>9101148</v>
      </c>
      <c r="AU18" s="1">
        <v>9087927</v>
      </c>
      <c r="AV18" s="1">
        <v>9075069</v>
      </c>
      <c r="AW18" s="1">
        <v>9062309</v>
      </c>
      <c r="AX18" s="1">
        <v>9049883</v>
      </c>
      <c r="AY18" s="1">
        <v>9037733</v>
      </c>
      <c r="AZ18" s="1">
        <v>9026308</v>
      </c>
      <c r="BA18" s="1">
        <v>9016034</v>
      </c>
      <c r="BB18" s="1">
        <v>9006989</v>
      </c>
      <c r="BC18" s="1">
        <v>8998624</v>
      </c>
      <c r="BD18" s="1">
        <v>8991464</v>
      </c>
      <c r="BE18" s="1">
        <v>8985052</v>
      </c>
      <c r="BF18" s="1">
        <v>8979072</v>
      </c>
      <c r="BG18" s="1">
        <v>8974026</v>
      </c>
      <c r="BH18" s="1">
        <v>8970245</v>
      </c>
      <c r="BI18" s="1">
        <v>8967357</v>
      </c>
      <c r="BJ18" s="1">
        <v>8965750</v>
      </c>
      <c r="BK18" s="1">
        <v>8964918</v>
      </c>
      <c r="BL18" s="1">
        <v>8965211</v>
      </c>
      <c r="BM18" s="1">
        <v>8966181</v>
      </c>
      <c r="BN18" s="1">
        <v>8967765</v>
      </c>
      <c r="BO18" s="1">
        <v>8969975</v>
      </c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2">
      <c r="A19" t="s">
        <v>18</v>
      </c>
      <c r="B19" s="1"/>
      <c r="C19" s="1"/>
      <c r="D19" s="7">
        <v>520971</v>
      </c>
      <c r="E19" s="7">
        <v>532640</v>
      </c>
      <c r="F19" s="7">
        <v>543300</v>
      </c>
      <c r="G19" s="7">
        <v>553623</v>
      </c>
      <c r="H19" s="7">
        <v>563990</v>
      </c>
      <c r="I19" s="7">
        <v>574387</v>
      </c>
      <c r="J19" s="7">
        <v>584802</v>
      </c>
      <c r="K19" s="7">
        <v>594914</v>
      </c>
      <c r="L19" s="7">
        <v>604727</v>
      </c>
      <c r="M19" s="7">
        <v>614208</v>
      </c>
      <c r="N19" s="7">
        <v>623383</v>
      </c>
      <c r="O19" s="1">
        <v>632220</v>
      </c>
      <c r="P19" s="1">
        <v>640733</v>
      </c>
      <c r="Q19" s="1">
        <v>649012</v>
      </c>
      <c r="R19" s="1">
        <v>656974</v>
      </c>
      <c r="S19" s="1">
        <v>664638</v>
      </c>
      <c r="T19" s="1">
        <v>672008</v>
      </c>
      <c r="U19" s="1">
        <v>679139</v>
      </c>
      <c r="V19" s="1">
        <v>686011</v>
      </c>
      <c r="W19" s="1">
        <v>692663</v>
      </c>
      <c r="X19" s="1">
        <v>699110</v>
      </c>
      <c r="Y19" s="1">
        <v>705362</v>
      </c>
      <c r="Z19" s="1">
        <v>711429</v>
      </c>
      <c r="AA19" s="1">
        <v>717332</v>
      </c>
      <c r="AB19" s="1">
        <v>723062</v>
      </c>
      <c r="AC19" s="1">
        <v>728624</v>
      </c>
      <c r="AD19" s="1">
        <v>734023</v>
      </c>
      <c r="AE19" s="1">
        <v>739276</v>
      </c>
      <c r="AF19" s="1">
        <v>744353</v>
      </c>
      <c r="AG19" s="1">
        <v>749309</v>
      </c>
      <c r="AH19" s="1">
        <v>754127</v>
      </c>
      <c r="AI19" s="1">
        <v>758834</v>
      </c>
      <c r="AJ19" s="1">
        <v>763450</v>
      </c>
      <c r="AK19" s="1">
        <v>767977</v>
      </c>
      <c r="AL19" s="1">
        <v>772336</v>
      </c>
      <c r="AM19" s="1">
        <v>776577</v>
      </c>
      <c r="AN19" s="1">
        <v>780660</v>
      </c>
      <c r="AO19" s="1">
        <v>784543</v>
      </c>
      <c r="AP19" s="1">
        <v>788211</v>
      </c>
      <c r="AQ19" s="1">
        <v>791675</v>
      </c>
      <c r="AR19" s="1">
        <v>794910</v>
      </c>
      <c r="AS19" s="1">
        <v>797882</v>
      </c>
      <c r="AT19" s="1">
        <v>800573</v>
      </c>
      <c r="AU19" s="1">
        <v>802973</v>
      </c>
      <c r="AV19" s="1">
        <v>805102</v>
      </c>
      <c r="AW19" s="1">
        <v>806919</v>
      </c>
      <c r="AX19" s="1">
        <v>808444</v>
      </c>
      <c r="AY19" s="1">
        <v>809696</v>
      </c>
      <c r="AZ19" s="1">
        <v>810646</v>
      </c>
      <c r="BA19" s="1">
        <v>811316</v>
      </c>
      <c r="BB19" s="1">
        <v>811693</v>
      </c>
      <c r="BC19" s="1">
        <v>811795</v>
      </c>
      <c r="BD19" s="1">
        <v>811655</v>
      </c>
      <c r="BE19" s="1">
        <v>811265</v>
      </c>
      <c r="BF19" s="1">
        <v>810601</v>
      </c>
      <c r="BG19" s="1">
        <v>809733</v>
      </c>
      <c r="BH19" s="1">
        <v>808621</v>
      </c>
      <c r="BI19" s="1">
        <v>807288</v>
      </c>
      <c r="BJ19" s="1">
        <v>805749</v>
      </c>
      <c r="BK19" s="1">
        <v>804040</v>
      </c>
      <c r="BL19" s="1">
        <v>802161</v>
      </c>
      <c r="BM19" s="1">
        <v>800116</v>
      </c>
      <c r="BN19" s="1">
        <v>797927</v>
      </c>
      <c r="BO19" s="1">
        <v>795592</v>
      </c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2">
      <c r="A20" t="s">
        <v>19</v>
      </c>
      <c r="B20" s="1"/>
      <c r="C20" s="1"/>
      <c r="D20" s="7">
        <v>17590672</v>
      </c>
      <c r="E20" s="7">
        <v>17823388</v>
      </c>
      <c r="F20" s="7">
        <v>17957617</v>
      </c>
      <c r="G20" s="7">
        <v>18048588</v>
      </c>
      <c r="H20" s="7">
        <v>18125648</v>
      </c>
      <c r="I20" s="7">
        <v>18189995</v>
      </c>
      <c r="J20" s="7">
        <v>18240986</v>
      </c>
      <c r="K20" s="7">
        <v>18291923</v>
      </c>
      <c r="L20" s="7">
        <v>18341701</v>
      </c>
      <c r="M20" s="7">
        <v>18389941</v>
      </c>
      <c r="N20" s="7">
        <v>18435815</v>
      </c>
      <c r="O20" s="1">
        <v>18479524</v>
      </c>
      <c r="P20" s="1">
        <v>18520900</v>
      </c>
      <c r="Q20" s="1">
        <v>18564556</v>
      </c>
      <c r="R20" s="1">
        <v>18604107</v>
      </c>
      <c r="S20" s="1">
        <v>18637676</v>
      </c>
      <c r="T20" s="1">
        <v>18667393</v>
      </c>
      <c r="U20" s="1">
        <v>18690922</v>
      </c>
      <c r="V20" s="1">
        <v>18710299</v>
      </c>
      <c r="W20" s="1">
        <v>18726069</v>
      </c>
      <c r="X20" s="1">
        <v>18738454</v>
      </c>
      <c r="Y20" s="1">
        <v>18747662</v>
      </c>
      <c r="Z20" s="1">
        <v>18753952</v>
      </c>
      <c r="AA20" s="1">
        <v>18757547</v>
      </c>
      <c r="AB20" s="1">
        <v>18758715</v>
      </c>
      <c r="AC20" s="1">
        <v>18757672</v>
      </c>
      <c r="AD20" s="1">
        <v>18754687</v>
      </c>
      <c r="AE20" s="1">
        <v>18750011</v>
      </c>
      <c r="AF20" s="1">
        <v>18743896</v>
      </c>
      <c r="AG20" s="1">
        <v>18736758</v>
      </c>
      <c r="AH20" s="1">
        <v>18729344</v>
      </c>
      <c r="AI20" s="1">
        <v>18721666</v>
      </c>
      <c r="AJ20" s="1">
        <v>18714219</v>
      </c>
      <c r="AK20" s="1">
        <v>18707257</v>
      </c>
      <c r="AL20" s="1">
        <v>18701660</v>
      </c>
      <c r="AM20" s="1">
        <v>18696936</v>
      </c>
      <c r="AN20" s="1">
        <v>18693115</v>
      </c>
      <c r="AO20" s="1">
        <v>18690447</v>
      </c>
      <c r="AP20" s="1">
        <v>18689242</v>
      </c>
      <c r="AQ20" s="1">
        <v>18688979</v>
      </c>
      <c r="AR20" s="1">
        <v>18690238</v>
      </c>
      <c r="AS20" s="1">
        <v>18693129</v>
      </c>
      <c r="AT20" s="1">
        <v>18698112</v>
      </c>
      <c r="AU20" s="1">
        <v>18704517</v>
      </c>
      <c r="AV20" s="1">
        <v>18712508</v>
      </c>
      <c r="AW20" s="1">
        <v>18720909</v>
      </c>
      <c r="AX20" s="1">
        <v>18729713</v>
      </c>
      <c r="AY20" s="1">
        <v>18738308</v>
      </c>
      <c r="AZ20" s="1">
        <v>18745716</v>
      </c>
      <c r="BA20" s="1">
        <v>18751875</v>
      </c>
      <c r="BB20" s="1">
        <v>18756808</v>
      </c>
      <c r="BC20" s="1">
        <v>18760066</v>
      </c>
      <c r="BD20" s="1">
        <v>18762054</v>
      </c>
      <c r="BE20" s="1">
        <v>18762166</v>
      </c>
      <c r="BF20" s="1">
        <v>18760236</v>
      </c>
      <c r="BG20" s="1">
        <v>18755740</v>
      </c>
      <c r="BH20" s="1">
        <v>18748724</v>
      </c>
      <c r="BI20" s="1">
        <v>18739080</v>
      </c>
      <c r="BJ20" s="1">
        <v>18727710</v>
      </c>
      <c r="BK20" s="1">
        <v>18713891</v>
      </c>
      <c r="BL20" s="1">
        <v>18698313</v>
      </c>
      <c r="BM20" s="1">
        <v>18680748</v>
      </c>
      <c r="BN20" s="1">
        <v>18661542</v>
      </c>
      <c r="BO20" s="1">
        <v>18641039</v>
      </c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2">
      <c r="A21" t="s">
        <v>20</v>
      </c>
      <c r="B21" s="1"/>
      <c r="C21" s="1"/>
      <c r="D21" s="7">
        <v>8978929</v>
      </c>
      <c r="E21" s="7">
        <v>9073118</v>
      </c>
      <c r="F21" s="7">
        <v>9101003</v>
      </c>
      <c r="G21" s="7">
        <v>9111243</v>
      </c>
      <c r="H21" s="7">
        <v>9125881</v>
      </c>
      <c r="I21" s="7">
        <v>9145233</v>
      </c>
      <c r="J21" s="7">
        <v>9168872</v>
      </c>
      <c r="K21" s="7">
        <v>9192199</v>
      </c>
      <c r="L21" s="7">
        <v>9214690</v>
      </c>
      <c r="M21" s="7">
        <v>9236319</v>
      </c>
      <c r="N21" s="7">
        <v>9256949</v>
      </c>
      <c r="O21" s="1">
        <v>9276987</v>
      </c>
      <c r="P21" s="1">
        <v>9296664</v>
      </c>
      <c r="Q21" s="1">
        <v>9319086</v>
      </c>
      <c r="R21" s="1">
        <v>9340056</v>
      </c>
      <c r="S21" s="1">
        <v>9359874</v>
      </c>
      <c r="T21" s="1">
        <v>9378624</v>
      </c>
      <c r="U21" s="1">
        <v>9396223</v>
      </c>
      <c r="V21" s="1">
        <v>9413009</v>
      </c>
      <c r="W21" s="1">
        <v>9428870</v>
      </c>
      <c r="X21" s="1">
        <v>9443688</v>
      </c>
      <c r="Y21" s="1">
        <v>9457548</v>
      </c>
      <c r="Z21" s="1">
        <v>9470356</v>
      </c>
      <c r="AA21" s="1">
        <v>9482146</v>
      </c>
      <c r="AB21" s="1">
        <v>9493401</v>
      </c>
      <c r="AC21" s="1">
        <v>9503774</v>
      </c>
      <c r="AD21" s="1">
        <v>9512982</v>
      </c>
      <c r="AE21" s="1">
        <v>9520666</v>
      </c>
      <c r="AF21" s="1">
        <v>9527146</v>
      </c>
      <c r="AG21" s="1">
        <v>9532325</v>
      </c>
      <c r="AH21" s="1">
        <v>9536299</v>
      </c>
      <c r="AI21" s="1">
        <v>9539157</v>
      </c>
      <c r="AJ21" s="1">
        <v>9541221</v>
      </c>
      <c r="AK21" s="1">
        <v>9542363</v>
      </c>
      <c r="AL21" s="1">
        <v>9542859</v>
      </c>
      <c r="AM21" s="1">
        <v>9542910</v>
      </c>
      <c r="AN21" s="1">
        <v>9542460</v>
      </c>
      <c r="AO21" s="1">
        <v>9541677</v>
      </c>
      <c r="AP21" s="1">
        <v>9540690</v>
      </c>
      <c r="AQ21" s="1">
        <v>9539576</v>
      </c>
      <c r="AR21" s="1">
        <v>9538863</v>
      </c>
      <c r="AS21" s="1">
        <v>9538233</v>
      </c>
      <c r="AT21" s="1">
        <v>9537844</v>
      </c>
      <c r="AU21" s="1">
        <v>9537703</v>
      </c>
      <c r="AV21" s="1">
        <v>9538176</v>
      </c>
      <c r="AW21" s="1">
        <v>9538823</v>
      </c>
      <c r="AX21" s="1">
        <v>9540164</v>
      </c>
      <c r="AY21" s="1">
        <v>9541780</v>
      </c>
      <c r="AZ21" s="1">
        <v>9543884</v>
      </c>
      <c r="BA21" s="1">
        <v>9546169</v>
      </c>
      <c r="BB21" s="1">
        <v>9548392</v>
      </c>
      <c r="BC21" s="1">
        <v>9550355</v>
      </c>
      <c r="BD21" s="1">
        <v>9552281</v>
      </c>
      <c r="BE21" s="1">
        <v>9553802</v>
      </c>
      <c r="BF21" s="1">
        <v>9555257</v>
      </c>
      <c r="BG21" s="1">
        <v>9556312</v>
      </c>
      <c r="BH21" s="1">
        <v>9557094</v>
      </c>
      <c r="BI21" s="1">
        <v>9557550</v>
      </c>
      <c r="BJ21" s="1">
        <v>9557919</v>
      </c>
      <c r="BK21" s="1">
        <v>9558098</v>
      </c>
      <c r="BL21" s="1">
        <v>9558372</v>
      </c>
      <c r="BM21" s="1">
        <v>9558466</v>
      </c>
      <c r="BN21" s="1">
        <v>9558379</v>
      </c>
      <c r="BO21" s="1">
        <v>9558180</v>
      </c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2">
      <c r="A22" t="s">
        <v>21</v>
      </c>
      <c r="B22" s="1"/>
      <c r="C22" s="1"/>
      <c r="D22" s="7">
        <v>37654247</v>
      </c>
      <c r="E22" s="7">
        <v>38482931</v>
      </c>
      <c r="F22" s="7">
        <v>38557391</v>
      </c>
      <c r="G22" s="7">
        <v>38381332</v>
      </c>
      <c r="H22" s="7">
        <v>38197684</v>
      </c>
      <c r="I22" s="7">
        <v>38007503</v>
      </c>
      <c r="J22" s="7">
        <v>37809068</v>
      </c>
      <c r="K22" s="7">
        <v>37614410</v>
      </c>
      <c r="L22" s="7">
        <v>37420524</v>
      </c>
      <c r="M22" s="7">
        <v>37228439</v>
      </c>
      <c r="N22" s="7">
        <v>37036948</v>
      </c>
      <c r="O22" s="1">
        <v>36846211</v>
      </c>
      <c r="P22" s="1">
        <v>36660125</v>
      </c>
      <c r="Q22" s="1">
        <v>36517358</v>
      </c>
      <c r="R22" s="1">
        <v>36377404</v>
      </c>
      <c r="S22" s="1">
        <v>36241091</v>
      </c>
      <c r="T22" s="1">
        <v>36108607</v>
      </c>
      <c r="U22" s="1">
        <v>35975684</v>
      </c>
      <c r="V22" s="1">
        <v>35844414</v>
      </c>
      <c r="W22" s="1">
        <v>35715523</v>
      </c>
      <c r="X22" s="1">
        <v>35589043</v>
      </c>
      <c r="Y22" s="1">
        <v>35463083</v>
      </c>
      <c r="Z22" s="1">
        <v>35338376</v>
      </c>
      <c r="AA22" s="1">
        <v>35216016</v>
      </c>
      <c r="AB22" s="1">
        <v>35094972</v>
      </c>
      <c r="AC22" s="1">
        <v>34973754</v>
      </c>
      <c r="AD22" s="1">
        <v>34855698</v>
      </c>
      <c r="AE22" s="1">
        <v>34740098</v>
      </c>
      <c r="AF22" s="1">
        <v>34623544</v>
      </c>
      <c r="AG22" s="1">
        <v>34505931</v>
      </c>
      <c r="AH22" s="1">
        <v>34385749</v>
      </c>
      <c r="AI22" s="1">
        <v>34263819</v>
      </c>
      <c r="AJ22" s="1">
        <v>34142051</v>
      </c>
      <c r="AK22" s="1">
        <v>34018603</v>
      </c>
      <c r="AL22" s="1">
        <v>33894677</v>
      </c>
      <c r="AM22" s="1">
        <v>33769360</v>
      </c>
      <c r="AN22" s="1">
        <v>33640902</v>
      </c>
      <c r="AO22" s="1">
        <v>33510000</v>
      </c>
      <c r="AP22" s="1">
        <v>33376446</v>
      </c>
      <c r="AQ22" s="1">
        <v>33239377</v>
      </c>
      <c r="AR22" s="1">
        <v>33100128</v>
      </c>
      <c r="AS22" s="1">
        <v>32958294</v>
      </c>
      <c r="AT22" s="1">
        <v>32813891</v>
      </c>
      <c r="AU22" s="1">
        <v>32667496</v>
      </c>
      <c r="AV22" s="1">
        <v>32520037</v>
      </c>
      <c r="AW22" s="1">
        <v>32371145</v>
      </c>
      <c r="AX22" s="1">
        <v>32220852</v>
      </c>
      <c r="AY22" s="1">
        <v>32070166</v>
      </c>
      <c r="AZ22" s="1">
        <v>31920633</v>
      </c>
      <c r="BA22" s="1">
        <v>31774142</v>
      </c>
      <c r="BB22" s="1">
        <v>31630046</v>
      </c>
      <c r="BC22" s="1">
        <v>31489676</v>
      </c>
      <c r="BD22" s="1">
        <v>31354591</v>
      </c>
      <c r="BE22" s="1">
        <v>31223065</v>
      </c>
      <c r="BF22" s="1">
        <v>31093799</v>
      </c>
      <c r="BG22" s="1">
        <v>30966336</v>
      </c>
      <c r="BH22" s="1">
        <v>30843469</v>
      </c>
      <c r="BI22" s="1">
        <v>30724019</v>
      </c>
      <c r="BJ22" s="1">
        <v>30610714</v>
      </c>
      <c r="BK22" s="1">
        <v>30502895</v>
      </c>
      <c r="BL22" s="1">
        <v>30402572</v>
      </c>
      <c r="BM22" s="1">
        <v>30310236</v>
      </c>
      <c r="BN22" s="1">
        <v>30223216</v>
      </c>
      <c r="BO22" s="1">
        <v>30141798</v>
      </c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2">
      <c r="A23" t="s">
        <v>22</v>
      </c>
      <c r="B23" s="1"/>
      <c r="C23" s="1"/>
      <c r="D23" s="7">
        <v>10352042</v>
      </c>
      <c r="E23" s="7">
        <v>10392897</v>
      </c>
      <c r="F23" s="7">
        <v>10390841</v>
      </c>
      <c r="G23" s="7">
        <v>10372141</v>
      </c>
      <c r="H23" s="7">
        <v>10350500</v>
      </c>
      <c r="I23" s="7">
        <v>10326352</v>
      </c>
      <c r="J23" s="7">
        <v>10300157</v>
      </c>
      <c r="K23" s="7">
        <v>10274413</v>
      </c>
      <c r="L23" s="7">
        <v>10249138</v>
      </c>
      <c r="M23" s="7">
        <v>10223387</v>
      </c>
      <c r="N23" s="7">
        <v>10197460</v>
      </c>
      <c r="O23" s="1">
        <v>10171453</v>
      </c>
      <c r="P23" s="1">
        <v>10145136</v>
      </c>
      <c r="Q23" s="1">
        <v>10120798</v>
      </c>
      <c r="R23" s="1">
        <v>10096093</v>
      </c>
      <c r="S23" s="1">
        <v>10070804</v>
      </c>
      <c r="T23" s="1">
        <v>10044258</v>
      </c>
      <c r="U23" s="1">
        <v>10016892</v>
      </c>
      <c r="V23" s="1">
        <v>9988936</v>
      </c>
      <c r="W23" s="1">
        <v>9960186</v>
      </c>
      <c r="X23" s="1">
        <v>9930602</v>
      </c>
      <c r="Y23" s="1">
        <v>9899604</v>
      </c>
      <c r="Z23" s="1">
        <v>9866750</v>
      </c>
      <c r="AA23" s="1">
        <v>9832722</v>
      </c>
      <c r="AB23" s="1">
        <v>9797803</v>
      </c>
      <c r="AC23" s="1">
        <v>9761875</v>
      </c>
      <c r="AD23" s="1">
        <v>9725375</v>
      </c>
      <c r="AE23" s="1">
        <v>9687977</v>
      </c>
      <c r="AF23" s="1">
        <v>9650059</v>
      </c>
      <c r="AG23" s="1">
        <v>9611231</v>
      </c>
      <c r="AH23" s="1">
        <v>9572193</v>
      </c>
      <c r="AI23" s="1">
        <v>9533102</v>
      </c>
      <c r="AJ23" s="1">
        <v>9494402</v>
      </c>
      <c r="AK23" s="1">
        <v>9455780</v>
      </c>
      <c r="AL23" s="1">
        <v>9417604</v>
      </c>
      <c r="AM23" s="1">
        <v>9380037</v>
      </c>
      <c r="AN23" s="1">
        <v>9342949</v>
      </c>
      <c r="AO23" s="1">
        <v>9306503</v>
      </c>
      <c r="AP23" s="1">
        <v>9270463</v>
      </c>
      <c r="AQ23" s="1">
        <v>9235099</v>
      </c>
      <c r="AR23" s="1">
        <v>9200911</v>
      </c>
      <c r="AS23" s="1">
        <v>9167744</v>
      </c>
      <c r="AT23" s="1">
        <v>9135648</v>
      </c>
      <c r="AU23" s="1">
        <v>9104871</v>
      </c>
      <c r="AV23" s="1">
        <v>9075484</v>
      </c>
      <c r="AW23" s="1">
        <v>9046505</v>
      </c>
      <c r="AX23" s="1">
        <v>9018950</v>
      </c>
      <c r="AY23" s="1">
        <v>8992753</v>
      </c>
      <c r="AZ23" s="1">
        <v>8967921</v>
      </c>
      <c r="BA23" s="1">
        <v>8944802</v>
      </c>
      <c r="BB23" s="1">
        <v>8923240</v>
      </c>
      <c r="BC23" s="1">
        <v>8903367</v>
      </c>
      <c r="BD23" s="1">
        <v>8885745</v>
      </c>
      <c r="BE23" s="1">
        <v>8869895</v>
      </c>
      <c r="BF23" s="1">
        <v>8856374</v>
      </c>
      <c r="BG23" s="1">
        <v>8844675</v>
      </c>
      <c r="BH23" s="1">
        <v>8834837</v>
      </c>
      <c r="BI23" s="1">
        <v>8827113</v>
      </c>
      <c r="BJ23" s="1">
        <v>8821390</v>
      </c>
      <c r="BK23" s="1">
        <v>8817545</v>
      </c>
      <c r="BL23" s="1">
        <v>8815453</v>
      </c>
      <c r="BM23" s="1">
        <v>8814963</v>
      </c>
      <c r="BN23" s="1">
        <v>8815983</v>
      </c>
      <c r="BO23" s="1">
        <v>8818359</v>
      </c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2">
      <c r="A24" t="s">
        <v>23</v>
      </c>
      <c r="B24" s="1"/>
      <c r="C24" s="1"/>
      <c r="D24" s="7">
        <v>19042455</v>
      </c>
      <c r="E24" s="7">
        <v>19030292</v>
      </c>
      <c r="F24" s="7">
        <v>18943880</v>
      </c>
      <c r="G24" s="7">
        <v>18831698</v>
      </c>
      <c r="H24" s="7">
        <v>18714611</v>
      </c>
      <c r="I24" s="7">
        <v>18593302</v>
      </c>
      <c r="J24" s="7">
        <v>18466574</v>
      </c>
      <c r="K24" s="7">
        <v>18341717</v>
      </c>
      <c r="L24" s="7">
        <v>18218553</v>
      </c>
      <c r="M24" s="7">
        <v>18097342</v>
      </c>
      <c r="N24" s="7">
        <v>17977840</v>
      </c>
      <c r="O24" s="1">
        <v>17875172</v>
      </c>
      <c r="P24" s="1">
        <v>17777648</v>
      </c>
      <c r="Q24" s="1">
        <v>17683694</v>
      </c>
      <c r="R24" s="1">
        <v>17590272</v>
      </c>
      <c r="S24" s="1">
        <v>17498925</v>
      </c>
      <c r="T24" s="1">
        <v>17408234</v>
      </c>
      <c r="U24" s="1">
        <v>17317999</v>
      </c>
      <c r="V24" s="1">
        <v>17232578</v>
      </c>
      <c r="W24" s="1">
        <v>17148508</v>
      </c>
      <c r="X24" s="1">
        <v>17066206</v>
      </c>
      <c r="Y24" s="1">
        <v>16986004</v>
      </c>
      <c r="Z24" s="1">
        <v>16906759</v>
      </c>
      <c r="AA24" s="1">
        <v>16828669</v>
      </c>
      <c r="AB24" s="1">
        <v>16751351</v>
      </c>
      <c r="AC24" s="1">
        <v>16673983</v>
      </c>
      <c r="AD24" s="1">
        <v>16595522</v>
      </c>
      <c r="AE24" s="1">
        <v>16516100</v>
      </c>
      <c r="AF24" s="1">
        <v>16439020</v>
      </c>
      <c r="AG24" s="1">
        <v>16363363</v>
      </c>
      <c r="AH24" s="1">
        <v>16288949</v>
      </c>
      <c r="AI24" s="1">
        <v>16215713</v>
      </c>
      <c r="AJ24" s="1">
        <v>16142936</v>
      </c>
      <c r="AK24" s="1">
        <v>16069750</v>
      </c>
      <c r="AL24" s="1">
        <v>15994691</v>
      </c>
      <c r="AM24" s="1">
        <v>15917591</v>
      </c>
      <c r="AN24" s="1">
        <v>15840959</v>
      </c>
      <c r="AO24" s="1">
        <v>15764492</v>
      </c>
      <c r="AP24" s="1">
        <v>15689153</v>
      </c>
      <c r="AQ24" s="1">
        <v>15614711</v>
      </c>
      <c r="AR24" s="1">
        <v>15541762</v>
      </c>
      <c r="AS24" s="1">
        <v>15471017</v>
      </c>
      <c r="AT24" s="1">
        <v>15402601</v>
      </c>
      <c r="AU24" s="1">
        <v>15336213</v>
      </c>
      <c r="AV24" s="1">
        <v>15272112</v>
      </c>
      <c r="AW24" s="1">
        <v>15209592</v>
      </c>
      <c r="AX24" s="1">
        <v>15149046</v>
      </c>
      <c r="AY24" s="1">
        <v>15092637</v>
      </c>
      <c r="AZ24" s="1">
        <v>15039871</v>
      </c>
      <c r="BA24" s="1">
        <v>14991021</v>
      </c>
      <c r="BB24" s="1">
        <v>14945179</v>
      </c>
      <c r="BC24" s="1">
        <v>14902462</v>
      </c>
      <c r="BD24" s="1">
        <v>14863440</v>
      </c>
      <c r="BE24" s="1">
        <v>14827444</v>
      </c>
      <c r="BF24" s="1">
        <v>14793717</v>
      </c>
      <c r="BG24" s="1">
        <v>14761523</v>
      </c>
      <c r="BH24" s="1">
        <v>14732239</v>
      </c>
      <c r="BI24" s="1">
        <v>14705342</v>
      </c>
      <c r="BJ24" s="1">
        <v>14681481</v>
      </c>
      <c r="BK24" s="1">
        <v>14660636</v>
      </c>
      <c r="BL24" s="1">
        <v>14642872</v>
      </c>
      <c r="BM24" s="1">
        <v>14628004</v>
      </c>
      <c r="BN24" s="1">
        <v>14615339</v>
      </c>
      <c r="BO24" s="1">
        <v>14604453</v>
      </c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2">
      <c r="A25" t="s">
        <v>24</v>
      </c>
      <c r="B25" s="1"/>
      <c r="C25" s="1"/>
      <c r="D25" s="7">
        <v>2107180</v>
      </c>
      <c r="E25" s="7">
        <v>2116709</v>
      </c>
      <c r="F25" s="7">
        <v>2119872</v>
      </c>
      <c r="G25" s="7">
        <v>2120770</v>
      </c>
      <c r="H25" s="7">
        <v>2121073</v>
      </c>
      <c r="I25" s="7">
        <v>2120985</v>
      </c>
      <c r="J25" s="7">
        <v>2120443</v>
      </c>
      <c r="K25" s="7">
        <v>2119727</v>
      </c>
      <c r="L25" s="7">
        <v>2118806</v>
      </c>
      <c r="M25" s="7">
        <v>2117905</v>
      </c>
      <c r="N25" s="7">
        <v>2116911</v>
      </c>
      <c r="O25" s="1">
        <v>2115767</v>
      </c>
      <c r="P25" s="1">
        <v>2114580</v>
      </c>
      <c r="Q25" s="1">
        <v>2113672</v>
      </c>
      <c r="R25" s="1">
        <v>2112749</v>
      </c>
      <c r="S25" s="1">
        <v>2111904</v>
      </c>
      <c r="T25" s="1">
        <v>2111254</v>
      </c>
      <c r="U25" s="1">
        <v>2110568</v>
      </c>
      <c r="V25" s="1">
        <v>2109858</v>
      </c>
      <c r="W25" s="1">
        <v>2109151</v>
      </c>
      <c r="X25" s="1">
        <v>2108419</v>
      </c>
      <c r="Y25" s="1">
        <v>2107501</v>
      </c>
      <c r="Z25" s="1">
        <v>2106413</v>
      </c>
      <c r="AA25" s="1">
        <v>2105158</v>
      </c>
      <c r="AB25" s="1">
        <v>2103646</v>
      </c>
      <c r="AC25" s="1">
        <v>2101793</v>
      </c>
      <c r="AD25" s="1">
        <v>2099563</v>
      </c>
      <c r="AE25" s="1">
        <v>2096954</v>
      </c>
      <c r="AF25" s="1">
        <v>2094023</v>
      </c>
      <c r="AG25" s="1">
        <v>2090766</v>
      </c>
      <c r="AH25" s="1">
        <v>2087153</v>
      </c>
      <c r="AI25" s="1">
        <v>2083345</v>
      </c>
      <c r="AJ25" s="1">
        <v>2079285</v>
      </c>
      <c r="AK25" s="1">
        <v>2074845</v>
      </c>
      <c r="AL25" s="1">
        <v>2070152</v>
      </c>
      <c r="AM25" s="1">
        <v>2065289</v>
      </c>
      <c r="AN25" s="1">
        <v>2060202</v>
      </c>
      <c r="AO25" s="1">
        <v>2055040</v>
      </c>
      <c r="AP25" s="1">
        <v>2049857</v>
      </c>
      <c r="AQ25" s="1">
        <v>2044667</v>
      </c>
      <c r="AR25" s="1">
        <v>2039561</v>
      </c>
      <c r="AS25" s="1">
        <v>2034475</v>
      </c>
      <c r="AT25" s="1">
        <v>2029465</v>
      </c>
      <c r="AU25" s="1">
        <v>2024543</v>
      </c>
      <c r="AV25" s="1">
        <v>2019807</v>
      </c>
      <c r="AW25" s="1">
        <v>2015146</v>
      </c>
      <c r="AX25" s="1">
        <v>2010639</v>
      </c>
      <c r="AY25" s="1">
        <v>2006269</v>
      </c>
      <c r="AZ25" s="1">
        <v>2002145</v>
      </c>
      <c r="BA25" s="1">
        <v>1998235</v>
      </c>
      <c r="BB25" s="1">
        <v>1994580</v>
      </c>
      <c r="BC25" s="1">
        <v>1991223</v>
      </c>
      <c r="BD25" s="1">
        <v>1988211</v>
      </c>
      <c r="BE25" s="1">
        <v>1985383</v>
      </c>
      <c r="BF25" s="1">
        <v>1982804</v>
      </c>
      <c r="BG25" s="1">
        <v>1980358</v>
      </c>
      <c r="BH25" s="1">
        <v>1978110</v>
      </c>
      <c r="BI25" s="1">
        <v>1975964</v>
      </c>
      <c r="BJ25" s="1">
        <v>1974016</v>
      </c>
      <c r="BK25" s="1">
        <v>1972178</v>
      </c>
      <c r="BL25" s="1">
        <v>1970508</v>
      </c>
      <c r="BM25" s="1">
        <v>1968965</v>
      </c>
      <c r="BN25" s="1">
        <v>1967524</v>
      </c>
      <c r="BO25" s="1">
        <v>1966177</v>
      </c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2">
      <c r="A26" t="s">
        <v>25</v>
      </c>
      <c r="B26" s="1"/>
      <c r="C26" s="1"/>
      <c r="D26" s="7">
        <v>5434712</v>
      </c>
      <c r="E26" s="7">
        <v>5523904</v>
      </c>
      <c r="F26" s="7">
        <v>5534826</v>
      </c>
      <c r="G26" s="7">
        <v>5521368</v>
      </c>
      <c r="H26" s="7">
        <v>5507802</v>
      </c>
      <c r="I26" s="7">
        <v>5494075</v>
      </c>
      <c r="J26" s="7">
        <v>5479845</v>
      </c>
      <c r="K26" s="7">
        <v>5465314</v>
      </c>
      <c r="L26" s="7">
        <v>5450183</v>
      </c>
      <c r="M26" s="7">
        <v>5434204</v>
      </c>
      <c r="N26" s="7">
        <v>5417409</v>
      </c>
      <c r="O26" s="1">
        <v>5399970</v>
      </c>
      <c r="P26" s="1">
        <v>5382262</v>
      </c>
      <c r="Q26" s="1">
        <v>5368574</v>
      </c>
      <c r="R26" s="1">
        <v>5354716</v>
      </c>
      <c r="S26" s="1">
        <v>5340757</v>
      </c>
      <c r="T26" s="1">
        <v>5327352</v>
      </c>
      <c r="U26" s="1">
        <v>5314252</v>
      </c>
      <c r="V26" s="1">
        <v>5301530</v>
      </c>
      <c r="W26" s="1">
        <v>5288892</v>
      </c>
      <c r="X26" s="1">
        <v>5276552</v>
      </c>
      <c r="Y26" s="1">
        <v>5264374</v>
      </c>
      <c r="Z26" s="1">
        <v>5252388</v>
      </c>
      <c r="AA26" s="1">
        <v>5240579</v>
      </c>
      <c r="AB26" s="1">
        <v>5228487</v>
      </c>
      <c r="AC26" s="1">
        <v>5216339</v>
      </c>
      <c r="AD26" s="1">
        <v>5204216</v>
      </c>
      <c r="AE26" s="1">
        <v>5192004</v>
      </c>
      <c r="AF26" s="1">
        <v>5179658</v>
      </c>
      <c r="AG26" s="1">
        <v>5167102</v>
      </c>
      <c r="AH26" s="1">
        <v>5154028</v>
      </c>
      <c r="AI26" s="1">
        <v>5140421</v>
      </c>
      <c r="AJ26" s="1">
        <v>5126489</v>
      </c>
      <c r="AK26" s="1">
        <v>5111829</v>
      </c>
      <c r="AL26" s="1">
        <v>5096743</v>
      </c>
      <c r="AM26" s="1">
        <v>5081077</v>
      </c>
      <c r="AN26" s="1">
        <v>5064618</v>
      </c>
      <c r="AO26" s="1">
        <v>5047577</v>
      </c>
      <c r="AP26" s="1">
        <v>5029491</v>
      </c>
      <c r="AQ26" s="1">
        <v>5010512</v>
      </c>
      <c r="AR26" s="1">
        <v>4991017</v>
      </c>
      <c r="AS26" s="1">
        <v>4971110</v>
      </c>
      <c r="AT26" s="1">
        <v>4950797</v>
      </c>
      <c r="AU26" s="1">
        <v>4930199</v>
      </c>
      <c r="AV26" s="1">
        <v>4909453</v>
      </c>
      <c r="AW26" s="1">
        <v>4888418</v>
      </c>
      <c r="AX26" s="1">
        <v>4867465</v>
      </c>
      <c r="AY26" s="1">
        <v>4846838</v>
      </c>
      <c r="AZ26" s="1">
        <v>4826694</v>
      </c>
      <c r="BA26" s="1">
        <v>4807099</v>
      </c>
      <c r="BB26" s="1">
        <v>4787894</v>
      </c>
      <c r="BC26" s="1">
        <v>4769261</v>
      </c>
      <c r="BD26" s="1">
        <v>4751485</v>
      </c>
      <c r="BE26" s="1">
        <v>4734565</v>
      </c>
      <c r="BF26" s="1">
        <v>4718318</v>
      </c>
      <c r="BG26" s="1">
        <v>4702737</v>
      </c>
      <c r="BH26" s="1">
        <v>4688011</v>
      </c>
      <c r="BI26" s="1">
        <v>4674050</v>
      </c>
      <c r="BJ26" s="1">
        <v>4660973</v>
      </c>
      <c r="BK26" s="1">
        <v>4648833</v>
      </c>
      <c r="BL26" s="1">
        <v>4637731</v>
      </c>
      <c r="BM26" s="1">
        <v>4627530</v>
      </c>
      <c r="BN26" s="1">
        <v>4618148</v>
      </c>
      <c r="BO26" s="1">
        <v>4609553</v>
      </c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2">
      <c r="A27" t="s">
        <v>26</v>
      </c>
      <c r="B27" s="1"/>
      <c r="C27" s="1"/>
      <c r="D27" s="7">
        <v>5548241</v>
      </c>
      <c r="E27" s="7">
        <v>5608235</v>
      </c>
      <c r="F27" s="7">
        <v>5632559</v>
      </c>
      <c r="G27" s="7">
        <v>5640423</v>
      </c>
      <c r="H27" s="7">
        <v>5644445</v>
      </c>
      <c r="I27" s="7">
        <v>5644503</v>
      </c>
      <c r="J27" s="7">
        <v>5640624</v>
      </c>
      <c r="K27" s="7">
        <v>5636361</v>
      </c>
      <c r="L27" s="7">
        <v>5631487</v>
      </c>
      <c r="M27" s="7">
        <v>5626065</v>
      </c>
      <c r="N27" s="7">
        <v>5620191</v>
      </c>
      <c r="O27" s="1">
        <v>5613925</v>
      </c>
      <c r="P27" s="1">
        <v>5607204</v>
      </c>
      <c r="Q27" s="1">
        <v>5601455</v>
      </c>
      <c r="R27" s="1">
        <v>5594852</v>
      </c>
      <c r="S27" s="1">
        <v>5587089</v>
      </c>
      <c r="T27" s="1">
        <v>5579021</v>
      </c>
      <c r="U27" s="1">
        <v>5569993</v>
      </c>
      <c r="V27" s="1">
        <v>5561029</v>
      </c>
      <c r="W27" s="1">
        <v>5551957</v>
      </c>
      <c r="X27" s="1">
        <v>5542672</v>
      </c>
      <c r="Y27" s="1">
        <v>5533053</v>
      </c>
      <c r="Z27" s="1">
        <v>5523070</v>
      </c>
      <c r="AA27" s="1">
        <v>5512800</v>
      </c>
      <c r="AB27" s="1">
        <v>5502322</v>
      </c>
      <c r="AC27" s="1">
        <v>5491643</v>
      </c>
      <c r="AD27" s="1">
        <v>5480999</v>
      </c>
      <c r="AE27" s="1">
        <v>5470198</v>
      </c>
      <c r="AF27" s="1">
        <v>5459062</v>
      </c>
      <c r="AG27" s="1">
        <v>5447581</v>
      </c>
      <c r="AH27" s="1">
        <v>5435770</v>
      </c>
      <c r="AI27" s="1">
        <v>5423773</v>
      </c>
      <c r="AJ27" s="1">
        <v>5412116</v>
      </c>
      <c r="AK27" s="1">
        <v>5400464</v>
      </c>
      <c r="AL27" s="1">
        <v>5389061</v>
      </c>
      <c r="AM27" s="1">
        <v>5377726</v>
      </c>
      <c r="AN27" s="1">
        <v>5366682</v>
      </c>
      <c r="AO27" s="1">
        <v>5355619</v>
      </c>
      <c r="AP27" s="1">
        <v>5344791</v>
      </c>
      <c r="AQ27" s="1">
        <v>5334027</v>
      </c>
      <c r="AR27" s="1">
        <v>5323263</v>
      </c>
      <c r="AS27" s="1">
        <v>5312575</v>
      </c>
      <c r="AT27" s="1">
        <v>5301825</v>
      </c>
      <c r="AU27" s="1">
        <v>5291261</v>
      </c>
      <c r="AV27" s="1">
        <v>5280643</v>
      </c>
      <c r="AW27" s="1">
        <v>5269909</v>
      </c>
      <c r="AX27" s="1">
        <v>5259020</v>
      </c>
      <c r="AY27" s="1">
        <v>5248030</v>
      </c>
      <c r="AZ27" s="1">
        <v>5236910</v>
      </c>
      <c r="BA27" s="1">
        <v>5225464</v>
      </c>
      <c r="BB27" s="1">
        <v>5213776</v>
      </c>
      <c r="BC27" s="1">
        <v>5201654</v>
      </c>
      <c r="BD27" s="1">
        <v>5189155</v>
      </c>
      <c r="BE27" s="1">
        <v>5176288</v>
      </c>
      <c r="BF27" s="1">
        <v>5163027</v>
      </c>
      <c r="BG27" s="1">
        <v>5149245</v>
      </c>
      <c r="BH27" s="1">
        <v>5135026</v>
      </c>
      <c r="BI27" s="1">
        <v>5120305</v>
      </c>
      <c r="BJ27" s="1">
        <v>5105181</v>
      </c>
      <c r="BK27" s="1">
        <v>5089538</v>
      </c>
      <c r="BL27" s="1">
        <v>5073422</v>
      </c>
      <c r="BM27" s="1">
        <v>5056823</v>
      </c>
      <c r="BN27" s="1">
        <v>5039792</v>
      </c>
      <c r="BO27" s="1">
        <v>5022471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2">
      <c r="A28" t="s">
        <v>27</v>
      </c>
      <c r="B28" s="1"/>
      <c r="C28" s="1"/>
      <c r="D28" s="7">
        <v>10452326</v>
      </c>
      <c r="E28" s="7">
        <v>10561077</v>
      </c>
      <c r="F28" s="7">
        <v>10640372</v>
      </c>
      <c r="G28" s="7">
        <v>10705814</v>
      </c>
      <c r="H28" s="7">
        <v>10770866</v>
      </c>
      <c r="I28" s="7">
        <v>10835254</v>
      </c>
      <c r="J28" s="7">
        <v>10898809</v>
      </c>
      <c r="K28" s="7">
        <v>10960521</v>
      </c>
      <c r="L28" s="7">
        <v>11020442</v>
      </c>
      <c r="M28" s="7">
        <v>11078730</v>
      </c>
      <c r="N28" s="7">
        <v>11135601</v>
      </c>
      <c r="O28" s="1">
        <v>11191339</v>
      </c>
      <c r="P28" s="1">
        <v>11246226</v>
      </c>
      <c r="Q28" s="1">
        <v>11302547</v>
      </c>
      <c r="R28" s="1">
        <v>11358405</v>
      </c>
      <c r="S28" s="1">
        <v>11414057</v>
      </c>
      <c r="T28" s="1">
        <v>11469696</v>
      </c>
      <c r="U28" s="1">
        <v>11525438</v>
      </c>
      <c r="V28" s="1">
        <v>11581390</v>
      </c>
      <c r="W28" s="1">
        <v>11637509</v>
      </c>
      <c r="X28" s="1">
        <v>11693771</v>
      </c>
      <c r="Y28" s="1">
        <v>11750034</v>
      </c>
      <c r="Z28" s="1">
        <v>11806183</v>
      </c>
      <c r="AA28" s="1">
        <v>11862065</v>
      </c>
      <c r="AB28" s="1">
        <v>11917473</v>
      </c>
      <c r="AC28" s="1">
        <v>11972194</v>
      </c>
      <c r="AD28" s="1">
        <v>12026025</v>
      </c>
      <c r="AE28" s="1">
        <v>12078774</v>
      </c>
      <c r="AF28" s="1">
        <v>12130240</v>
      </c>
      <c r="AG28" s="1">
        <v>12180268</v>
      </c>
      <c r="AH28" s="1">
        <v>12228784</v>
      </c>
      <c r="AI28" s="1">
        <v>12275697</v>
      </c>
      <c r="AJ28" s="1">
        <v>12321107</v>
      </c>
      <c r="AK28" s="1">
        <v>12365036</v>
      </c>
      <c r="AL28" s="1">
        <v>12408042</v>
      </c>
      <c r="AM28" s="1">
        <v>12449352</v>
      </c>
      <c r="AN28" s="1">
        <v>12488967</v>
      </c>
      <c r="AO28" s="1">
        <v>12526881</v>
      </c>
      <c r="AP28" s="1">
        <v>12563488</v>
      </c>
      <c r="AQ28" s="1">
        <v>12598963</v>
      </c>
      <c r="AR28" s="1">
        <v>12633438</v>
      </c>
      <c r="AS28" s="1">
        <v>12667044</v>
      </c>
      <c r="AT28" s="1">
        <v>12699881</v>
      </c>
      <c r="AU28" s="1">
        <v>12732058</v>
      </c>
      <c r="AV28" s="1">
        <v>12763656</v>
      </c>
      <c r="AW28" s="1">
        <v>12794708</v>
      </c>
      <c r="AX28" s="1">
        <v>12825244</v>
      </c>
      <c r="AY28" s="1">
        <v>12855228</v>
      </c>
      <c r="AZ28" s="1">
        <v>12884585</v>
      </c>
      <c r="BA28" s="1">
        <v>12913241</v>
      </c>
      <c r="BB28" s="1">
        <v>12941201</v>
      </c>
      <c r="BC28" s="1">
        <v>12968420</v>
      </c>
      <c r="BD28" s="1">
        <v>12994875</v>
      </c>
      <c r="BE28" s="1">
        <v>13020332</v>
      </c>
      <c r="BF28" s="1">
        <v>13044915</v>
      </c>
      <c r="BG28" s="1">
        <v>13067683</v>
      </c>
      <c r="BH28" s="1">
        <v>13089091</v>
      </c>
      <c r="BI28" s="1">
        <v>13108827</v>
      </c>
      <c r="BJ28" s="1">
        <v>13127074</v>
      </c>
      <c r="BK28" s="1">
        <v>13143596</v>
      </c>
      <c r="BL28" s="1">
        <v>13158787</v>
      </c>
      <c r="BM28" s="1">
        <v>13172124</v>
      </c>
      <c r="BN28" s="1">
        <v>13184043</v>
      </c>
      <c r="BO28" s="1">
        <v>13194563</v>
      </c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s="3" customFormat="1" x14ac:dyDescent="0.2">
      <c r="A29" s="3" t="s">
        <v>28</v>
      </c>
      <c r="B29" s="4"/>
      <c r="C29" s="4"/>
      <c r="D29" s="4"/>
      <c r="E29" s="4">
        <v>68350236</v>
      </c>
      <c r="F29" s="4">
        <v>69025203</v>
      </c>
      <c r="G29" s="4">
        <v>69630376</v>
      </c>
      <c r="H29" s="4">
        <v>70160187</v>
      </c>
      <c r="I29" s="4">
        <v>70612833</v>
      </c>
      <c r="J29" s="4">
        <v>70985959</v>
      </c>
      <c r="K29" s="4">
        <v>71350151</v>
      </c>
      <c r="L29" s="4">
        <v>71705282</v>
      </c>
      <c r="M29" s="4">
        <v>72051458</v>
      </c>
      <c r="N29" s="4">
        <v>72388988</v>
      </c>
      <c r="O29" s="4">
        <v>72717937</v>
      </c>
      <c r="P29" s="4">
        <v>73038609</v>
      </c>
      <c r="Q29" s="4">
        <v>73351615</v>
      </c>
      <c r="R29" s="4">
        <v>73658795</v>
      </c>
      <c r="S29" s="4">
        <v>73962122</v>
      </c>
      <c r="T29" s="4">
        <v>74262408</v>
      </c>
      <c r="U29" s="4">
        <v>74560211</v>
      </c>
      <c r="V29" s="4">
        <v>74855850</v>
      </c>
      <c r="W29" s="4">
        <v>75148911</v>
      </c>
      <c r="X29" s="4">
        <v>75438895</v>
      </c>
      <c r="Y29" s="4">
        <v>75725757</v>
      </c>
      <c r="Z29" s="4">
        <v>76009334</v>
      </c>
      <c r="AA29" s="4">
        <v>76288178</v>
      </c>
      <c r="AB29" s="4">
        <v>76560631</v>
      </c>
      <c r="AC29" s="4">
        <v>76826213</v>
      </c>
      <c r="AD29" s="4">
        <v>77084491</v>
      </c>
      <c r="AE29" s="4">
        <v>77334961</v>
      </c>
      <c r="AF29" s="4">
        <v>77577467</v>
      </c>
      <c r="AG29" s="4">
        <v>77812181</v>
      </c>
      <c r="AH29" s="4">
        <v>78039348</v>
      </c>
      <c r="AI29" s="4">
        <v>78259294</v>
      </c>
      <c r="AJ29" s="4">
        <v>78472657</v>
      </c>
      <c r="AK29" s="4">
        <v>78680453</v>
      </c>
      <c r="AL29" s="4">
        <v>78883741</v>
      </c>
      <c r="AM29" s="4">
        <v>79083702</v>
      </c>
      <c r="AN29" s="4">
        <v>79281150</v>
      </c>
      <c r="AO29" s="4">
        <v>79477080</v>
      </c>
      <c r="AP29" s="4">
        <v>79672491</v>
      </c>
      <c r="AQ29" s="4">
        <v>79867988</v>
      </c>
      <c r="AR29" s="4">
        <v>80064118</v>
      </c>
      <c r="AS29" s="4">
        <v>80261160</v>
      </c>
      <c r="AT29" s="4">
        <v>80459378</v>
      </c>
      <c r="AU29" s="4">
        <v>80659071</v>
      </c>
      <c r="AV29" s="4">
        <v>80859998</v>
      </c>
      <c r="AW29" s="4">
        <v>81061772</v>
      </c>
      <c r="AX29" s="4">
        <v>81263927</v>
      </c>
      <c r="AY29" s="4">
        <v>81465839</v>
      </c>
      <c r="AZ29" s="4">
        <v>81666879</v>
      </c>
      <c r="BA29" s="4">
        <v>81866259</v>
      </c>
      <c r="BB29" s="4">
        <v>82063118</v>
      </c>
      <c r="BC29" s="4">
        <v>82256657</v>
      </c>
      <c r="BD29" s="4">
        <v>82446074</v>
      </c>
      <c r="BE29" s="4">
        <v>82630720</v>
      </c>
      <c r="BF29" s="4">
        <v>82809953</v>
      </c>
      <c r="BG29" s="4">
        <v>82983359</v>
      </c>
      <c r="BH29" s="4">
        <v>83150611</v>
      </c>
      <c r="BI29" s="4">
        <v>83311560</v>
      </c>
      <c r="BJ29" s="4">
        <v>83466167</v>
      </c>
      <c r="BK29" s="4">
        <v>83614660</v>
      </c>
      <c r="BL29" s="4">
        <v>83757210</v>
      </c>
      <c r="BM29" s="4">
        <v>83894174</v>
      </c>
      <c r="BN29" s="4">
        <v>84026020</v>
      </c>
      <c r="BO29" s="4">
        <v>84153250</v>
      </c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spans="1:82" x14ac:dyDescent="0.2">
      <c r="A30" t="s">
        <v>29</v>
      </c>
      <c r="B30" s="1"/>
      <c r="C30" s="1"/>
      <c r="D30">
        <v>6837668</v>
      </c>
      <c r="E30">
        <v>6884008</v>
      </c>
      <c r="F30">
        <v>6890532</v>
      </c>
      <c r="G30">
        <v>6888193</v>
      </c>
      <c r="H30">
        <v>6894192</v>
      </c>
      <c r="I30">
        <v>6906336</v>
      </c>
      <c r="J30">
        <v>6920644</v>
      </c>
      <c r="K30">
        <v>6934297</v>
      </c>
      <c r="L30">
        <v>6947847</v>
      </c>
      <c r="M30">
        <v>6957388</v>
      </c>
      <c r="N30">
        <v>6963136</v>
      </c>
      <c r="O30" s="1">
        <v>6966648</v>
      </c>
      <c r="P30" s="1">
        <v>6966279</v>
      </c>
      <c r="Q30" s="1">
        <v>6963053</v>
      </c>
      <c r="R30" s="1">
        <v>6954376</v>
      </c>
      <c r="S30" s="1">
        <v>6941532</v>
      </c>
      <c r="T30" s="1">
        <v>6924718</v>
      </c>
      <c r="U30" s="1">
        <v>6905049</v>
      </c>
      <c r="V30" s="1">
        <v>6884333</v>
      </c>
      <c r="W30" s="1">
        <v>6863664</v>
      </c>
      <c r="X30" s="1">
        <v>6842876</v>
      </c>
      <c r="Y30" s="1">
        <v>6821666</v>
      </c>
      <c r="Z30" s="1">
        <v>6799625</v>
      </c>
      <c r="AA30" s="1">
        <v>6780274</v>
      </c>
      <c r="AB30" s="1">
        <v>6767638</v>
      </c>
      <c r="AC30" s="1">
        <v>6757394</v>
      </c>
      <c r="AD30" s="1">
        <v>6750017</v>
      </c>
      <c r="AE30" s="1">
        <v>6747524</v>
      </c>
      <c r="AF30" s="1">
        <v>6744479</v>
      </c>
      <c r="AG30" s="1">
        <v>6743121</v>
      </c>
      <c r="AH30" s="1">
        <v>6744861</v>
      </c>
      <c r="AI30" s="1">
        <v>6746817</v>
      </c>
      <c r="AJ30" s="1">
        <v>6747912</v>
      </c>
      <c r="AK30" s="1">
        <v>6747125</v>
      </c>
      <c r="AL30" s="1">
        <v>6740614</v>
      </c>
      <c r="AM30" s="1">
        <v>6731070</v>
      </c>
      <c r="AN30" s="1">
        <v>6720536</v>
      </c>
      <c r="AO30" s="1">
        <v>6712268</v>
      </c>
      <c r="AP30" s="1">
        <v>6703061</v>
      </c>
      <c r="AQ30" s="1">
        <v>6693792</v>
      </c>
      <c r="AR30" s="1">
        <v>6684356</v>
      </c>
      <c r="AS30" s="1">
        <v>6674157</v>
      </c>
      <c r="AT30" s="1">
        <v>6661440</v>
      </c>
      <c r="AU30" s="1">
        <v>6648499</v>
      </c>
      <c r="AV30" s="1">
        <v>6634555</v>
      </c>
      <c r="AW30" s="1">
        <v>6619195</v>
      </c>
      <c r="AX30" s="1">
        <v>6604991</v>
      </c>
      <c r="AY30" s="1">
        <v>6591852</v>
      </c>
      <c r="AZ30" s="1">
        <v>6580420</v>
      </c>
      <c r="BA30" s="1">
        <v>6571310</v>
      </c>
      <c r="BB30" s="1">
        <v>6560773</v>
      </c>
      <c r="BC30" s="1">
        <v>6552768</v>
      </c>
      <c r="BD30" s="1">
        <v>6546787</v>
      </c>
      <c r="BE30" s="1">
        <v>6542890</v>
      </c>
      <c r="BF30" s="1">
        <v>6538096</v>
      </c>
      <c r="BG30" s="1">
        <v>6535898</v>
      </c>
      <c r="BH30" s="1">
        <v>6531019</v>
      </c>
      <c r="BI30" s="1">
        <v>6526720</v>
      </c>
      <c r="BJ30" s="1">
        <v>6520299</v>
      </c>
      <c r="BK30" s="1">
        <v>6513551</v>
      </c>
      <c r="BL30" s="1">
        <v>6507759</v>
      </c>
      <c r="BM30" s="1">
        <v>6503589</v>
      </c>
      <c r="BN30" s="1">
        <v>6498049</v>
      </c>
      <c r="BO30" s="1">
        <v>6493838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2">
      <c r="A31" t="s">
        <v>30</v>
      </c>
      <c r="B31" s="1"/>
      <c r="C31" s="1"/>
      <c r="D31">
        <v>8620913</v>
      </c>
      <c r="E31">
        <v>8700781</v>
      </c>
      <c r="F31">
        <v>8745294</v>
      </c>
      <c r="G31">
        <v>8777211</v>
      </c>
      <c r="H31">
        <v>8809345</v>
      </c>
      <c r="I31">
        <v>8839596</v>
      </c>
      <c r="J31">
        <v>8863414</v>
      </c>
      <c r="K31">
        <v>8884048</v>
      </c>
      <c r="L31">
        <v>8902370</v>
      </c>
      <c r="M31">
        <v>8915326</v>
      </c>
      <c r="N31">
        <v>8925632</v>
      </c>
      <c r="O31" s="1">
        <v>8931044</v>
      </c>
      <c r="P31" s="1">
        <v>8932208</v>
      </c>
      <c r="Q31" s="1">
        <v>8931546</v>
      </c>
      <c r="R31" s="1">
        <v>8927990</v>
      </c>
      <c r="S31" s="1">
        <v>8926072</v>
      </c>
      <c r="T31" s="1">
        <v>8919742</v>
      </c>
      <c r="U31" s="1">
        <v>8910053</v>
      </c>
      <c r="V31" s="1">
        <v>8897737</v>
      </c>
      <c r="W31" s="1">
        <v>8888916</v>
      </c>
      <c r="X31" s="1">
        <v>8882734</v>
      </c>
      <c r="Y31" s="1">
        <v>8879622</v>
      </c>
      <c r="Z31" s="1">
        <v>8876445</v>
      </c>
      <c r="AA31" s="1">
        <v>8872965</v>
      </c>
      <c r="AB31" s="1">
        <v>8868129</v>
      </c>
      <c r="AC31" s="1">
        <v>8864333</v>
      </c>
      <c r="AD31" s="1">
        <v>8862986</v>
      </c>
      <c r="AE31" s="1">
        <v>8865212</v>
      </c>
      <c r="AF31" s="1">
        <v>8870026</v>
      </c>
      <c r="AG31" s="1">
        <v>8878108</v>
      </c>
      <c r="AH31" s="1">
        <v>8884620</v>
      </c>
      <c r="AI31" s="1">
        <v>8889420</v>
      </c>
      <c r="AJ31" s="1">
        <v>8892907</v>
      </c>
      <c r="AK31" s="1">
        <v>8894577</v>
      </c>
      <c r="AL31" s="1">
        <v>8893769</v>
      </c>
      <c r="AM31" s="1">
        <v>8894287</v>
      </c>
      <c r="AN31" s="1">
        <v>8895176</v>
      </c>
      <c r="AO31" s="1">
        <v>8897635</v>
      </c>
      <c r="AP31" s="1">
        <v>8898714</v>
      </c>
      <c r="AQ31" s="1">
        <v>8899331</v>
      </c>
      <c r="AR31" s="1">
        <v>8896340</v>
      </c>
      <c r="AS31" s="1">
        <v>8891743</v>
      </c>
      <c r="AT31" s="1">
        <v>8882680</v>
      </c>
      <c r="AU31" s="1">
        <v>8872449</v>
      </c>
      <c r="AV31" s="1">
        <v>8858874</v>
      </c>
      <c r="AW31" s="1">
        <v>8843509</v>
      </c>
      <c r="AX31" s="1">
        <v>8828032</v>
      </c>
      <c r="AY31" s="1">
        <v>8814977</v>
      </c>
      <c r="AZ31" s="1">
        <v>8804948</v>
      </c>
      <c r="BA31" s="1">
        <v>8794530</v>
      </c>
      <c r="BB31" s="1">
        <v>8782990</v>
      </c>
      <c r="BC31" s="1">
        <v>8770884</v>
      </c>
      <c r="BD31" s="1">
        <v>8759789</v>
      </c>
      <c r="BE31" s="1">
        <v>8748184</v>
      </c>
      <c r="BF31" s="1">
        <v>8734708</v>
      </c>
      <c r="BG31" s="1">
        <v>8722996</v>
      </c>
      <c r="BH31" s="1">
        <v>8712103</v>
      </c>
      <c r="BI31" s="1">
        <v>8700112</v>
      </c>
      <c r="BJ31" s="1">
        <v>8685138</v>
      </c>
      <c r="BK31" s="1">
        <v>8667613</v>
      </c>
      <c r="BL31" s="1">
        <v>8647230</v>
      </c>
      <c r="BM31" s="1">
        <v>8625782</v>
      </c>
      <c r="BN31" s="1">
        <v>8601471</v>
      </c>
      <c r="BO31" s="1">
        <v>8577613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2">
      <c r="A32" t="s">
        <v>31</v>
      </c>
      <c r="B32" s="1"/>
      <c r="C32" s="1"/>
      <c r="D32">
        <v>5225350</v>
      </c>
      <c r="E32">
        <v>5276346</v>
      </c>
      <c r="F32">
        <v>5248276</v>
      </c>
      <c r="G32">
        <v>5198698</v>
      </c>
      <c r="H32">
        <v>5144388</v>
      </c>
      <c r="I32">
        <v>5099573</v>
      </c>
      <c r="J32">
        <v>5051513</v>
      </c>
      <c r="K32">
        <v>5002429</v>
      </c>
      <c r="L32">
        <v>4958488</v>
      </c>
      <c r="M32">
        <v>4912939</v>
      </c>
      <c r="N32">
        <v>4868583</v>
      </c>
      <c r="O32" s="1">
        <v>4827204</v>
      </c>
      <c r="P32" s="1">
        <v>4786176</v>
      </c>
      <c r="Q32" s="1">
        <v>4751956</v>
      </c>
      <c r="R32" s="1">
        <v>4715001</v>
      </c>
      <c r="S32" s="1">
        <v>4677908</v>
      </c>
      <c r="T32" s="1">
        <v>4642327</v>
      </c>
      <c r="U32" s="1">
        <v>4606429</v>
      </c>
      <c r="V32" s="1">
        <v>4571967</v>
      </c>
      <c r="W32" s="1">
        <v>4539055</v>
      </c>
      <c r="X32" s="1">
        <v>4507048</v>
      </c>
      <c r="Y32" s="1">
        <v>4473537</v>
      </c>
      <c r="Z32" s="1">
        <v>4430829</v>
      </c>
      <c r="AA32" s="1">
        <v>4386515</v>
      </c>
      <c r="AB32" s="1">
        <v>4343815</v>
      </c>
      <c r="AC32" s="1">
        <v>4303327</v>
      </c>
      <c r="AD32" s="1">
        <v>4264719</v>
      </c>
      <c r="AE32" s="1">
        <v>4221808</v>
      </c>
      <c r="AF32" s="1">
        <v>4174603</v>
      </c>
      <c r="AG32" s="1">
        <v>4130551</v>
      </c>
      <c r="AH32" s="1">
        <v>4087440</v>
      </c>
      <c r="AI32" s="1">
        <v>4046412</v>
      </c>
      <c r="AJ32" s="1">
        <v>4008955</v>
      </c>
      <c r="AK32" s="1">
        <v>3971913</v>
      </c>
      <c r="AL32" s="1">
        <v>3939112</v>
      </c>
      <c r="AM32" s="1">
        <v>3907097</v>
      </c>
      <c r="AN32" s="1">
        <v>3875914</v>
      </c>
      <c r="AO32" s="1">
        <v>3844335</v>
      </c>
      <c r="AP32" s="1">
        <v>3812404</v>
      </c>
      <c r="AQ32" s="1">
        <v>3780743</v>
      </c>
      <c r="AR32" s="1">
        <v>3747479</v>
      </c>
      <c r="AS32" s="1">
        <v>3715319</v>
      </c>
      <c r="AT32" s="1">
        <v>3681338</v>
      </c>
      <c r="AU32" s="1">
        <v>3649923</v>
      </c>
      <c r="AV32" s="1">
        <v>3621779</v>
      </c>
      <c r="AW32" s="1">
        <v>3598865</v>
      </c>
      <c r="AX32" s="1">
        <v>3580946</v>
      </c>
      <c r="AY32" s="1">
        <v>3566124</v>
      </c>
      <c r="AZ32" s="1">
        <v>3555179</v>
      </c>
      <c r="BA32" s="1">
        <v>3549574</v>
      </c>
      <c r="BB32" s="1">
        <v>3544155</v>
      </c>
      <c r="BC32" s="1">
        <v>3543933</v>
      </c>
      <c r="BD32" s="1">
        <v>3542140</v>
      </c>
      <c r="BE32" s="1">
        <v>3534806</v>
      </c>
      <c r="BF32" s="1">
        <v>3527736</v>
      </c>
      <c r="BG32" s="1">
        <v>3523675</v>
      </c>
      <c r="BH32" s="1">
        <v>3519651</v>
      </c>
      <c r="BI32" s="1">
        <v>3514814</v>
      </c>
      <c r="BJ32" s="1">
        <v>3508572</v>
      </c>
      <c r="BK32" s="1">
        <v>3500863</v>
      </c>
      <c r="BL32" s="1">
        <v>3492243</v>
      </c>
      <c r="BM32" s="1">
        <v>3482916</v>
      </c>
      <c r="BN32" s="1">
        <v>3471371</v>
      </c>
      <c r="BO32" s="1">
        <v>3457073</v>
      </c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2">
      <c r="A33" t="s">
        <v>32</v>
      </c>
      <c r="B33" s="1"/>
      <c r="C33" s="1"/>
      <c r="D33">
        <v>695462</v>
      </c>
      <c r="E33">
        <v>709371</v>
      </c>
      <c r="F33">
        <v>715171</v>
      </c>
      <c r="G33">
        <v>717843</v>
      </c>
      <c r="H33">
        <v>719941</v>
      </c>
      <c r="I33">
        <v>720955</v>
      </c>
      <c r="J33">
        <v>721689</v>
      </c>
      <c r="K33">
        <v>721931</v>
      </c>
      <c r="L33">
        <v>722274</v>
      </c>
      <c r="M33">
        <v>722402</v>
      </c>
      <c r="N33">
        <v>722469</v>
      </c>
      <c r="O33" s="1">
        <v>722030</v>
      </c>
      <c r="P33" s="1">
        <v>721325</v>
      </c>
      <c r="Q33" s="1">
        <v>721002</v>
      </c>
      <c r="R33" s="1">
        <v>720851</v>
      </c>
      <c r="S33" s="1">
        <v>721001</v>
      </c>
      <c r="T33" s="1">
        <v>721076</v>
      </c>
      <c r="U33" s="1">
        <v>721233</v>
      </c>
      <c r="V33" s="1">
        <v>721523</v>
      </c>
      <c r="W33" s="1">
        <v>721940</v>
      </c>
      <c r="X33" s="1">
        <v>722371</v>
      </c>
      <c r="Y33" s="1">
        <v>722807</v>
      </c>
      <c r="Z33" s="1">
        <v>723204</v>
      </c>
      <c r="AA33" s="1">
        <v>723645</v>
      </c>
      <c r="AB33" s="1">
        <v>723979</v>
      </c>
      <c r="AC33" s="1">
        <v>724327</v>
      </c>
      <c r="AD33" s="1">
        <v>724073</v>
      </c>
      <c r="AE33" s="1">
        <v>723904</v>
      </c>
      <c r="AF33" s="1">
        <v>724127</v>
      </c>
      <c r="AG33" s="1">
        <v>724514</v>
      </c>
      <c r="AH33" s="1">
        <v>723825</v>
      </c>
      <c r="AI33" s="1">
        <v>723374</v>
      </c>
      <c r="AJ33" s="1">
        <v>722372</v>
      </c>
      <c r="AK33" s="1">
        <v>721322</v>
      </c>
      <c r="AL33" s="1">
        <v>719721</v>
      </c>
      <c r="AM33" s="1">
        <v>718089</v>
      </c>
      <c r="AN33" s="1">
        <v>716695</v>
      </c>
      <c r="AO33" s="1">
        <v>714606</v>
      </c>
      <c r="AP33" s="1">
        <v>712302</v>
      </c>
      <c r="AQ33" s="1">
        <v>709798</v>
      </c>
      <c r="AR33" s="1">
        <v>707034</v>
      </c>
      <c r="AS33" s="1">
        <v>704511</v>
      </c>
      <c r="AT33" s="1">
        <v>701422</v>
      </c>
      <c r="AU33" s="1">
        <v>698962</v>
      </c>
      <c r="AV33" s="1">
        <v>696424</v>
      </c>
      <c r="AW33" s="1">
        <v>693976</v>
      </c>
      <c r="AX33" s="1">
        <v>690804</v>
      </c>
      <c r="AY33" s="1">
        <v>688263</v>
      </c>
      <c r="AZ33" s="1">
        <v>686135</v>
      </c>
      <c r="BA33" s="1">
        <v>684098</v>
      </c>
      <c r="BB33" s="1">
        <v>682237</v>
      </c>
      <c r="BC33" s="1">
        <v>680832</v>
      </c>
      <c r="BD33" s="1">
        <v>680015</v>
      </c>
      <c r="BE33" s="1">
        <v>679638</v>
      </c>
      <c r="BF33" s="1">
        <v>679338</v>
      </c>
      <c r="BG33" s="1">
        <v>679233</v>
      </c>
      <c r="BH33" s="1">
        <v>679762</v>
      </c>
      <c r="BI33" s="1">
        <v>680325</v>
      </c>
      <c r="BJ33" s="1">
        <v>680854</v>
      </c>
      <c r="BK33" s="1">
        <v>681553</v>
      </c>
      <c r="BL33" s="1">
        <v>682018</v>
      </c>
      <c r="BM33" s="1">
        <v>682631</v>
      </c>
      <c r="BN33" s="1">
        <v>682695</v>
      </c>
      <c r="BO33" s="1">
        <v>682479</v>
      </c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2">
      <c r="A34" t="s">
        <v>33</v>
      </c>
      <c r="B34" s="1"/>
      <c r="C34" s="1"/>
      <c r="D34">
        <v>7929063</v>
      </c>
      <c r="E34">
        <v>8224322</v>
      </c>
      <c r="F34">
        <v>8269181</v>
      </c>
      <c r="G34">
        <v>8231638</v>
      </c>
      <c r="H34">
        <v>8191300</v>
      </c>
      <c r="I34">
        <v>8142550</v>
      </c>
      <c r="J34">
        <v>8094870</v>
      </c>
      <c r="K34">
        <v>8051773</v>
      </c>
      <c r="L34">
        <v>8015470</v>
      </c>
      <c r="M34">
        <v>7982455</v>
      </c>
      <c r="N34">
        <v>7954188</v>
      </c>
      <c r="O34" s="1">
        <v>7931820</v>
      </c>
      <c r="P34" s="1">
        <v>7914840</v>
      </c>
      <c r="Q34" s="1">
        <v>7921203</v>
      </c>
      <c r="R34" s="1">
        <v>7925238</v>
      </c>
      <c r="S34" s="1">
        <v>7932616</v>
      </c>
      <c r="T34" s="1">
        <v>7927257</v>
      </c>
      <c r="U34" s="1">
        <v>7917210</v>
      </c>
      <c r="V34" s="1">
        <v>7904503</v>
      </c>
      <c r="W34" s="1">
        <v>7894439</v>
      </c>
      <c r="X34" s="1">
        <v>7886413</v>
      </c>
      <c r="Y34" s="1">
        <v>7877638</v>
      </c>
      <c r="Z34" s="1">
        <v>7867238</v>
      </c>
      <c r="AA34" s="1">
        <v>7850001</v>
      </c>
      <c r="AB34" s="1">
        <v>7826270</v>
      </c>
      <c r="AC34" s="1">
        <v>7796843</v>
      </c>
      <c r="AD34" s="1">
        <v>7760095</v>
      </c>
      <c r="AE34" s="1">
        <v>7710522</v>
      </c>
      <c r="AF34" s="1">
        <v>7652462</v>
      </c>
      <c r="AG34" s="1">
        <v>7597383</v>
      </c>
      <c r="AH34" s="1">
        <v>7546187</v>
      </c>
      <c r="AI34" s="1">
        <v>7500058</v>
      </c>
      <c r="AJ34" s="1">
        <v>7457977</v>
      </c>
      <c r="AK34" s="1">
        <v>7421270</v>
      </c>
      <c r="AL34" s="1">
        <v>7398201</v>
      </c>
      <c r="AM34" s="1">
        <v>7382451</v>
      </c>
      <c r="AN34" s="1">
        <v>7367151</v>
      </c>
      <c r="AO34" s="1">
        <v>7354427</v>
      </c>
      <c r="AP34" s="1">
        <v>7340761</v>
      </c>
      <c r="AQ34" s="1">
        <v>7326744</v>
      </c>
      <c r="AR34" s="1">
        <v>7314697</v>
      </c>
      <c r="AS34" s="1">
        <v>7303647</v>
      </c>
      <c r="AT34" s="1">
        <v>7286368</v>
      </c>
      <c r="AU34" s="1">
        <v>7274269</v>
      </c>
      <c r="AV34" s="1">
        <v>7259677</v>
      </c>
      <c r="AW34" s="1">
        <v>7244710</v>
      </c>
      <c r="AX34" s="1">
        <v>7234320</v>
      </c>
      <c r="AY34" s="1">
        <v>7223166</v>
      </c>
      <c r="AZ34" s="1">
        <v>7221746</v>
      </c>
      <c r="BA34" s="1">
        <v>7228201</v>
      </c>
      <c r="BB34" s="1">
        <v>7238509</v>
      </c>
      <c r="BC34" s="1">
        <v>7248415</v>
      </c>
      <c r="BD34" s="1">
        <v>7258290</v>
      </c>
      <c r="BE34" s="1">
        <v>7268598</v>
      </c>
      <c r="BF34" s="1">
        <v>7276248</v>
      </c>
      <c r="BG34" s="1">
        <v>7282672</v>
      </c>
      <c r="BH34" s="1">
        <v>7286904</v>
      </c>
      <c r="BI34" s="1">
        <v>7290829</v>
      </c>
      <c r="BJ34" s="1">
        <v>7292263</v>
      </c>
      <c r="BK34" s="1">
        <v>7287438</v>
      </c>
      <c r="BL34" s="1">
        <v>7280751</v>
      </c>
      <c r="BM34" s="1">
        <v>7267176</v>
      </c>
      <c r="BN34" s="1">
        <v>7249359</v>
      </c>
      <c r="BO34" s="1">
        <v>7234509</v>
      </c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2">
      <c r="A35" t="s">
        <v>34</v>
      </c>
      <c r="B35" s="1"/>
      <c r="C35" s="1"/>
      <c r="D35">
        <v>62334912</v>
      </c>
      <c r="E35">
        <v>63278314</v>
      </c>
      <c r="F35">
        <v>63587857</v>
      </c>
      <c r="G35">
        <v>63590437</v>
      </c>
      <c r="H35">
        <v>63540350</v>
      </c>
      <c r="I35">
        <v>63436754</v>
      </c>
      <c r="J35">
        <v>63290512</v>
      </c>
      <c r="K35">
        <v>63162756</v>
      </c>
      <c r="L35">
        <v>63047503</v>
      </c>
      <c r="M35">
        <v>62935081</v>
      </c>
      <c r="N35">
        <v>62830308</v>
      </c>
      <c r="O35" s="1">
        <v>62703145</v>
      </c>
      <c r="P35" s="1">
        <v>62551585</v>
      </c>
      <c r="Q35" s="1">
        <v>62372775</v>
      </c>
      <c r="R35" s="1">
        <v>62160562</v>
      </c>
      <c r="S35" s="1">
        <v>61928904</v>
      </c>
      <c r="T35" s="1">
        <v>61633810</v>
      </c>
      <c r="U35" s="1">
        <v>61332230</v>
      </c>
      <c r="V35" s="1">
        <v>61024896</v>
      </c>
      <c r="W35" s="1">
        <v>60736830</v>
      </c>
      <c r="X35" s="1">
        <v>60449802</v>
      </c>
      <c r="Y35" s="1">
        <v>60189024</v>
      </c>
      <c r="Z35" s="1">
        <v>59952165</v>
      </c>
      <c r="AA35" s="1">
        <v>59760081</v>
      </c>
      <c r="AB35" s="1">
        <v>59636777</v>
      </c>
      <c r="AC35" s="1">
        <v>59541849</v>
      </c>
      <c r="AD35" s="1">
        <v>59523904</v>
      </c>
      <c r="AE35" s="1">
        <v>59561990</v>
      </c>
      <c r="AF35" s="1">
        <v>59598927</v>
      </c>
      <c r="AG35" s="1">
        <v>59639850</v>
      </c>
      <c r="AH35" s="1">
        <v>59655422</v>
      </c>
      <c r="AI35" s="1">
        <v>59651931</v>
      </c>
      <c r="AJ35" s="1">
        <v>59637584</v>
      </c>
      <c r="AK35" s="1">
        <v>59605907</v>
      </c>
      <c r="AL35" s="1">
        <v>59528924</v>
      </c>
      <c r="AM35" s="1">
        <v>59447072</v>
      </c>
      <c r="AN35" s="1">
        <v>59353215</v>
      </c>
      <c r="AO35" s="1">
        <v>59274831</v>
      </c>
      <c r="AP35" s="1">
        <v>59194283</v>
      </c>
      <c r="AQ35" s="1">
        <v>59105030</v>
      </c>
      <c r="AR35" s="1">
        <v>58989512</v>
      </c>
      <c r="AS35" s="1">
        <v>58856408</v>
      </c>
      <c r="AT35" s="1">
        <v>58693587</v>
      </c>
      <c r="AU35" s="1">
        <v>58550224</v>
      </c>
      <c r="AV35" s="1">
        <v>58390298</v>
      </c>
      <c r="AW35" s="1">
        <v>58300923</v>
      </c>
      <c r="AX35" s="1">
        <v>58231025</v>
      </c>
      <c r="AY35" s="1">
        <v>58165136</v>
      </c>
      <c r="AZ35" s="1">
        <v>58114123</v>
      </c>
      <c r="BA35" s="1">
        <v>58061931</v>
      </c>
      <c r="BB35" s="1">
        <v>57982556</v>
      </c>
      <c r="BC35" s="1">
        <v>57883485</v>
      </c>
      <c r="BD35" s="1">
        <v>57805046</v>
      </c>
      <c r="BE35" s="1">
        <v>57731345</v>
      </c>
      <c r="BF35" s="1">
        <v>57658032</v>
      </c>
      <c r="BG35" s="1">
        <v>57614766</v>
      </c>
      <c r="BH35" s="1">
        <v>57585424</v>
      </c>
      <c r="BI35" s="1">
        <v>57562427</v>
      </c>
      <c r="BJ35" s="1">
        <v>57538283</v>
      </c>
      <c r="BK35" s="1">
        <v>57518043</v>
      </c>
      <c r="BL35" s="1">
        <v>57507522</v>
      </c>
      <c r="BM35" s="1">
        <v>57482108</v>
      </c>
      <c r="BN35" s="1">
        <v>57448174</v>
      </c>
      <c r="BO35" s="1">
        <v>57429632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x14ac:dyDescent="0.2">
      <c r="A36" t="s">
        <v>35</v>
      </c>
      <c r="B36" s="1"/>
      <c r="C36" s="1"/>
      <c r="D36">
        <v>4361591</v>
      </c>
      <c r="E36">
        <v>4387415</v>
      </c>
      <c r="F36">
        <v>4399159</v>
      </c>
      <c r="G36">
        <v>4404628</v>
      </c>
      <c r="H36">
        <v>4409246</v>
      </c>
      <c r="I36">
        <v>4410313</v>
      </c>
      <c r="J36">
        <v>4408425</v>
      </c>
      <c r="K36">
        <v>4403999</v>
      </c>
      <c r="L36">
        <v>4401391</v>
      </c>
      <c r="M36">
        <v>4398811</v>
      </c>
      <c r="N36">
        <v>4398674</v>
      </c>
      <c r="O36" s="1">
        <v>4398115</v>
      </c>
      <c r="P36" s="1">
        <v>4396602</v>
      </c>
      <c r="Q36" s="1">
        <v>4396271</v>
      </c>
      <c r="R36" s="1">
        <v>4393437</v>
      </c>
      <c r="S36" s="1">
        <v>4392850</v>
      </c>
      <c r="T36" s="1">
        <v>4386105</v>
      </c>
      <c r="U36" s="1">
        <v>4380371</v>
      </c>
      <c r="V36" s="1">
        <v>4373910</v>
      </c>
      <c r="W36" s="1">
        <v>4366187</v>
      </c>
      <c r="X36" s="1">
        <v>4356140</v>
      </c>
      <c r="Y36" s="1">
        <v>4350866</v>
      </c>
      <c r="Z36" s="1">
        <v>4349778</v>
      </c>
      <c r="AA36" s="1">
        <v>4350569</v>
      </c>
      <c r="AB36" s="1">
        <v>4350506</v>
      </c>
      <c r="AC36" s="1">
        <v>4347108</v>
      </c>
      <c r="AD36" s="1">
        <v>4342089</v>
      </c>
      <c r="AE36" s="1">
        <v>4339287</v>
      </c>
      <c r="AF36" s="1">
        <v>4335480</v>
      </c>
      <c r="AG36" s="1">
        <v>4330089</v>
      </c>
      <c r="AH36" s="1">
        <v>4328952</v>
      </c>
      <c r="AI36" s="1">
        <v>4329502</v>
      </c>
      <c r="AJ36" s="1">
        <v>4329213</v>
      </c>
      <c r="AK36" s="1">
        <v>4329959</v>
      </c>
      <c r="AL36" s="1">
        <v>4331047</v>
      </c>
      <c r="AM36" s="1">
        <v>4334503</v>
      </c>
      <c r="AN36" s="1">
        <v>4337114</v>
      </c>
      <c r="AO36" s="1">
        <v>4340243</v>
      </c>
      <c r="AP36" s="1">
        <v>4341797</v>
      </c>
      <c r="AQ36" s="1">
        <v>4340749</v>
      </c>
      <c r="AR36" s="1">
        <v>4337672</v>
      </c>
      <c r="AS36" s="1">
        <v>4333501</v>
      </c>
      <c r="AT36" s="1">
        <v>4326088</v>
      </c>
      <c r="AU36" s="1">
        <v>4316705</v>
      </c>
      <c r="AV36" s="1">
        <v>4305268</v>
      </c>
      <c r="AW36" s="1">
        <v>4293528</v>
      </c>
      <c r="AX36" s="1">
        <v>4279297</v>
      </c>
      <c r="AY36" s="1">
        <v>4266067</v>
      </c>
      <c r="AZ36" s="1">
        <v>4250753</v>
      </c>
      <c r="BA36" s="1">
        <v>4236098</v>
      </c>
      <c r="BB36" s="1">
        <v>4223647</v>
      </c>
      <c r="BC36" s="1">
        <v>4211646</v>
      </c>
      <c r="BD36" s="1">
        <v>4201306</v>
      </c>
      <c r="BE36" s="1">
        <v>4191836</v>
      </c>
      <c r="BF36" s="1">
        <v>4182583</v>
      </c>
      <c r="BG36" s="1">
        <v>4176567</v>
      </c>
      <c r="BH36" s="1">
        <v>4172214</v>
      </c>
      <c r="BI36" s="1">
        <v>4167020</v>
      </c>
      <c r="BJ36" s="1">
        <v>4161556</v>
      </c>
      <c r="BK36" s="1">
        <v>4155795</v>
      </c>
      <c r="BL36" s="1">
        <v>4149484</v>
      </c>
      <c r="BM36" s="1">
        <v>4143578</v>
      </c>
      <c r="BN36" s="1">
        <v>4136482</v>
      </c>
      <c r="BO36" s="1">
        <v>4131073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2">
      <c r="A37" t="s">
        <v>36</v>
      </c>
      <c r="B37" s="1"/>
      <c r="C37" s="1"/>
      <c r="D37">
        <v>989033</v>
      </c>
      <c r="E37">
        <v>1018630</v>
      </c>
      <c r="F37">
        <v>1025981</v>
      </c>
      <c r="G37">
        <v>1024751</v>
      </c>
      <c r="H37">
        <v>1024234</v>
      </c>
      <c r="I37">
        <v>1021734</v>
      </c>
      <c r="J37">
        <v>1018390</v>
      </c>
      <c r="K37">
        <v>1015255</v>
      </c>
      <c r="L37">
        <v>1011695</v>
      </c>
      <c r="M37">
        <v>1008258</v>
      </c>
      <c r="N37">
        <v>1005414</v>
      </c>
      <c r="O37" s="1">
        <v>1002164</v>
      </c>
      <c r="P37" s="1">
        <v>999467</v>
      </c>
      <c r="Q37" s="1">
        <v>997730</v>
      </c>
      <c r="R37" s="1">
        <v>995198</v>
      </c>
      <c r="S37" s="1">
        <v>992759</v>
      </c>
      <c r="T37" s="1">
        <v>989330</v>
      </c>
      <c r="U37" s="1">
        <v>987354</v>
      </c>
      <c r="V37" s="1">
        <v>985358</v>
      </c>
      <c r="W37" s="1">
        <v>983678</v>
      </c>
      <c r="X37" s="1">
        <v>981938</v>
      </c>
      <c r="Y37" s="1">
        <v>980112</v>
      </c>
      <c r="Z37" s="1">
        <v>977454</v>
      </c>
      <c r="AA37" s="1">
        <v>974159</v>
      </c>
      <c r="AB37" s="1">
        <v>970433</v>
      </c>
      <c r="AC37" s="1">
        <v>966479</v>
      </c>
      <c r="AD37" s="1">
        <v>962710</v>
      </c>
      <c r="AE37" s="1">
        <v>959453</v>
      </c>
      <c r="AF37" s="1">
        <v>956147</v>
      </c>
      <c r="AG37" s="1">
        <v>953056</v>
      </c>
      <c r="AH37" s="1">
        <v>949952</v>
      </c>
      <c r="AI37" s="1">
        <v>946953</v>
      </c>
      <c r="AJ37" s="1">
        <v>944430</v>
      </c>
      <c r="AK37" s="1">
        <v>941818</v>
      </c>
      <c r="AL37" s="1">
        <v>938945</v>
      </c>
      <c r="AM37" s="1">
        <v>935804</v>
      </c>
      <c r="AN37" s="1">
        <v>932434</v>
      </c>
      <c r="AO37" s="1">
        <v>928264</v>
      </c>
      <c r="AP37" s="1">
        <v>923858</v>
      </c>
      <c r="AQ37" s="1">
        <v>919466</v>
      </c>
      <c r="AR37" s="1">
        <v>914846</v>
      </c>
      <c r="AS37" s="1">
        <v>909414</v>
      </c>
      <c r="AT37" s="1">
        <v>903389</v>
      </c>
      <c r="AU37" s="1">
        <v>897703</v>
      </c>
      <c r="AV37" s="1">
        <v>892837</v>
      </c>
      <c r="AW37" s="1">
        <v>889576</v>
      </c>
      <c r="AX37" s="1">
        <v>886526</v>
      </c>
      <c r="AY37" s="1">
        <v>885130</v>
      </c>
      <c r="AZ37" s="1">
        <v>884415</v>
      </c>
      <c r="BA37" s="1">
        <v>884152</v>
      </c>
      <c r="BB37" s="1">
        <v>883867</v>
      </c>
      <c r="BC37" s="1">
        <v>884297</v>
      </c>
      <c r="BD37" s="1">
        <v>884955</v>
      </c>
      <c r="BE37" s="1">
        <v>885424</v>
      </c>
      <c r="BF37" s="1">
        <v>885224</v>
      </c>
      <c r="BG37" s="1">
        <v>885233</v>
      </c>
      <c r="BH37" s="1">
        <v>884902</v>
      </c>
      <c r="BI37" s="1">
        <v>884506</v>
      </c>
      <c r="BJ37" s="1">
        <v>883455</v>
      </c>
      <c r="BK37" s="1">
        <v>881824</v>
      </c>
      <c r="BL37" s="1">
        <v>879918</v>
      </c>
      <c r="BM37" s="1">
        <v>877280</v>
      </c>
      <c r="BN37" s="1">
        <v>874365</v>
      </c>
      <c r="BO37" s="1">
        <v>871696</v>
      </c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x14ac:dyDescent="0.2">
      <c r="A38" t="s">
        <v>37</v>
      </c>
      <c r="B38" s="1"/>
      <c r="C38" s="1"/>
      <c r="D38">
        <v>7834213</v>
      </c>
      <c r="E38">
        <v>7804526</v>
      </c>
      <c r="F38">
        <v>7779706</v>
      </c>
      <c r="G38">
        <v>7752511</v>
      </c>
      <c r="H38">
        <v>7713396</v>
      </c>
      <c r="I38">
        <v>7662866</v>
      </c>
      <c r="J38">
        <v>7608885</v>
      </c>
      <c r="K38">
        <v>7551457</v>
      </c>
      <c r="L38">
        <v>7489857</v>
      </c>
      <c r="M38">
        <v>7426102</v>
      </c>
      <c r="N38">
        <v>7361199</v>
      </c>
      <c r="O38" s="1">
        <v>7295767</v>
      </c>
      <c r="P38" s="1">
        <v>7228336</v>
      </c>
      <c r="Q38" s="1">
        <v>7155821</v>
      </c>
      <c r="R38" s="1">
        <v>7085448</v>
      </c>
      <c r="S38" s="1">
        <v>7021650</v>
      </c>
      <c r="T38" s="1">
        <v>6950446</v>
      </c>
      <c r="U38" s="1">
        <v>6881887</v>
      </c>
      <c r="V38" s="1">
        <v>6810140</v>
      </c>
      <c r="W38" s="1">
        <v>6735198</v>
      </c>
      <c r="X38" s="1">
        <v>6655648</v>
      </c>
      <c r="Y38" s="1">
        <v>6571533</v>
      </c>
      <c r="Z38" s="1">
        <v>6486532</v>
      </c>
      <c r="AA38" s="1">
        <v>6406916</v>
      </c>
      <c r="AB38" s="1">
        <v>6329956</v>
      </c>
      <c r="AC38" s="1">
        <v>6254175</v>
      </c>
      <c r="AD38" s="1">
        <v>6179391</v>
      </c>
      <c r="AE38" s="1">
        <v>6105306</v>
      </c>
      <c r="AF38" s="1">
        <v>6028255</v>
      </c>
      <c r="AG38" s="1">
        <v>5952833</v>
      </c>
      <c r="AH38" s="1">
        <v>5878328</v>
      </c>
      <c r="AI38" s="1">
        <v>5807018</v>
      </c>
      <c r="AJ38" s="1">
        <v>5736846</v>
      </c>
      <c r="AK38" s="1">
        <v>5667254</v>
      </c>
      <c r="AL38" s="1">
        <v>5599000</v>
      </c>
      <c r="AM38" s="1">
        <v>5538096</v>
      </c>
      <c r="AN38" s="1">
        <v>5480762</v>
      </c>
      <c r="AO38" s="1">
        <v>5427905</v>
      </c>
      <c r="AP38" s="1">
        <v>5382953</v>
      </c>
      <c r="AQ38" s="1">
        <v>5344557</v>
      </c>
      <c r="AR38" s="1">
        <v>5311584</v>
      </c>
      <c r="AS38" s="1">
        <v>5283776</v>
      </c>
      <c r="AT38" s="1">
        <v>5255285</v>
      </c>
      <c r="AU38" s="1">
        <v>5231880</v>
      </c>
      <c r="AV38" s="1">
        <v>5208265</v>
      </c>
      <c r="AW38" s="1">
        <v>5187467</v>
      </c>
      <c r="AX38" s="1">
        <v>5168177</v>
      </c>
      <c r="AY38" s="1">
        <v>5151603</v>
      </c>
      <c r="AZ38" s="1">
        <v>5135014</v>
      </c>
      <c r="BA38" s="1">
        <v>5119215</v>
      </c>
      <c r="BB38" s="1">
        <v>5105156</v>
      </c>
      <c r="BC38" s="1">
        <v>5092500</v>
      </c>
      <c r="BD38" s="1">
        <v>5081539</v>
      </c>
      <c r="BE38" s="1">
        <v>5071716</v>
      </c>
      <c r="BF38" s="1">
        <v>5059105</v>
      </c>
      <c r="BG38" s="1">
        <v>5045792</v>
      </c>
      <c r="BH38" s="1">
        <v>5030590</v>
      </c>
      <c r="BI38" s="1">
        <v>5014725</v>
      </c>
      <c r="BJ38" s="1">
        <v>4999031</v>
      </c>
      <c r="BK38" s="1">
        <v>4981465</v>
      </c>
      <c r="BL38" s="1">
        <v>4962553</v>
      </c>
      <c r="BM38" s="1">
        <v>4942385</v>
      </c>
      <c r="BN38" s="1">
        <v>4918929</v>
      </c>
      <c r="BO38" s="1">
        <v>4895454</v>
      </c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x14ac:dyDescent="0.2">
      <c r="A39" t="s">
        <v>38</v>
      </c>
      <c r="B39" s="1"/>
      <c r="C39" s="1"/>
      <c r="D39">
        <v>36069646</v>
      </c>
      <c r="E39">
        <v>36574611</v>
      </c>
      <c r="F39">
        <v>36928514</v>
      </c>
      <c r="G39">
        <v>37204985</v>
      </c>
      <c r="H39">
        <v>37444610</v>
      </c>
      <c r="I39">
        <v>37626201</v>
      </c>
      <c r="J39">
        <v>37721644</v>
      </c>
      <c r="K39">
        <v>37795859</v>
      </c>
      <c r="L39">
        <v>37878077</v>
      </c>
      <c r="M39">
        <v>37932661</v>
      </c>
      <c r="N39">
        <v>37962593</v>
      </c>
      <c r="O39" s="1">
        <v>37939343</v>
      </c>
      <c r="P39" s="1">
        <v>37880087</v>
      </c>
      <c r="Q39" s="1">
        <v>37799883</v>
      </c>
      <c r="R39" s="1">
        <v>37687162</v>
      </c>
      <c r="S39" s="1">
        <v>37573290</v>
      </c>
      <c r="T39" s="1">
        <v>37438534</v>
      </c>
      <c r="U39" s="1">
        <v>37281191</v>
      </c>
      <c r="V39" s="1">
        <v>37094416</v>
      </c>
      <c r="W39" s="1">
        <v>36914749</v>
      </c>
      <c r="X39" s="1">
        <v>36730769</v>
      </c>
      <c r="Y39" s="1">
        <v>36530701</v>
      </c>
      <c r="Z39" s="1">
        <v>36334646</v>
      </c>
      <c r="AA39" s="1">
        <v>36131751</v>
      </c>
      <c r="AB39" s="1">
        <v>35922836</v>
      </c>
      <c r="AC39" s="1">
        <v>35704211</v>
      </c>
      <c r="AD39" s="1">
        <v>35475693</v>
      </c>
      <c r="AE39" s="1">
        <v>35244568</v>
      </c>
      <c r="AF39" s="1">
        <v>34998546</v>
      </c>
      <c r="AG39" s="1">
        <v>34749032</v>
      </c>
      <c r="AH39" s="1">
        <v>34495999</v>
      </c>
      <c r="AI39" s="1">
        <v>34257352</v>
      </c>
      <c r="AJ39" s="1">
        <v>34029573</v>
      </c>
      <c r="AK39" s="1">
        <v>33831903</v>
      </c>
      <c r="AL39" s="1">
        <v>33652975</v>
      </c>
      <c r="AM39" s="1">
        <v>33502394</v>
      </c>
      <c r="AN39" s="1">
        <v>33376025</v>
      </c>
      <c r="AO39" s="1">
        <v>33276973</v>
      </c>
      <c r="AP39" s="1">
        <v>33190144</v>
      </c>
      <c r="AQ39" s="1">
        <v>33117502</v>
      </c>
      <c r="AR39" s="1">
        <v>33055777</v>
      </c>
      <c r="AS39" s="1">
        <v>32999497</v>
      </c>
      <c r="AT39" s="1">
        <v>32939846</v>
      </c>
      <c r="AU39" s="1">
        <v>32881275</v>
      </c>
      <c r="AV39" s="1">
        <v>32821200</v>
      </c>
      <c r="AW39" s="1">
        <v>32758063</v>
      </c>
      <c r="AX39" s="1">
        <v>32681971</v>
      </c>
      <c r="AY39" s="1">
        <v>32610153</v>
      </c>
      <c r="AZ39" s="1">
        <v>32543628</v>
      </c>
      <c r="BA39" s="1">
        <v>32473294</v>
      </c>
      <c r="BB39" s="1">
        <v>32394852</v>
      </c>
      <c r="BC39" s="1">
        <v>32305217</v>
      </c>
      <c r="BD39" s="1">
        <v>32214951</v>
      </c>
      <c r="BE39" s="1">
        <v>32107068</v>
      </c>
      <c r="BF39" s="1">
        <v>31986790</v>
      </c>
      <c r="BG39" s="1">
        <v>31865026</v>
      </c>
      <c r="BH39" s="1">
        <v>31740127</v>
      </c>
      <c r="BI39" s="1">
        <v>31598349</v>
      </c>
      <c r="BJ39" s="1">
        <v>31451118</v>
      </c>
      <c r="BK39" s="1">
        <v>31301092</v>
      </c>
      <c r="BL39" s="1">
        <v>31143874</v>
      </c>
      <c r="BM39" s="1">
        <v>30984156</v>
      </c>
      <c r="BN39" s="1">
        <v>30807299</v>
      </c>
      <c r="BO39" s="1">
        <v>30652837</v>
      </c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2">
      <c r="A40" t="s">
        <v>39</v>
      </c>
      <c r="B40" s="1"/>
      <c r="C40" s="1"/>
      <c r="D40">
        <v>4120392</v>
      </c>
      <c r="E40">
        <v>4153337</v>
      </c>
      <c r="F40">
        <v>4158243</v>
      </c>
      <c r="G40">
        <v>4154219</v>
      </c>
      <c r="H40">
        <v>4150766</v>
      </c>
      <c r="I40">
        <v>4146272</v>
      </c>
      <c r="J40">
        <v>4137211</v>
      </c>
      <c r="K40">
        <v>4129702</v>
      </c>
      <c r="L40">
        <v>4121059</v>
      </c>
      <c r="M40">
        <v>4110970</v>
      </c>
      <c r="N40">
        <v>4098631</v>
      </c>
      <c r="O40" s="1">
        <v>4085737</v>
      </c>
      <c r="P40" s="1">
        <v>4072495</v>
      </c>
      <c r="Q40" s="1">
        <v>4057213</v>
      </c>
      <c r="R40" s="1">
        <v>4042293</v>
      </c>
      <c r="S40" s="1">
        <v>4029861</v>
      </c>
      <c r="T40" s="1">
        <v>4013146</v>
      </c>
      <c r="U40" s="1">
        <v>3997985</v>
      </c>
      <c r="V40" s="1">
        <v>3984115</v>
      </c>
      <c r="W40" s="1">
        <v>3971527</v>
      </c>
      <c r="X40" s="1">
        <v>3959278</v>
      </c>
      <c r="Y40" s="1">
        <v>3947172</v>
      </c>
      <c r="Z40" s="1">
        <v>3936278</v>
      </c>
      <c r="AA40" s="1">
        <v>3929213</v>
      </c>
      <c r="AB40" s="1">
        <v>3923017</v>
      </c>
      <c r="AC40" s="1">
        <v>3918369</v>
      </c>
      <c r="AD40" s="1">
        <v>3915172</v>
      </c>
      <c r="AE40" s="1">
        <v>3913541</v>
      </c>
      <c r="AF40" s="1">
        <v>3906722</v>
      </c>
      <c r="AG40" s="1">
        <v>3897010</v>
      </c>
      <c r="AH40" s="1">
        <v>3885756</v>
      </c>
      <c r="AI40" s="1">
        <v>3874634</v>
      </c>
      <c r="AJ40" s="1">
        <v>3864094</v>
      </c>
      <c r="AK40" s="1">
        <v>3853396</v>
      </c>
      <c r="AL40" s="1">
        <v>3841992</v>
      </c>
      <c r="AM40" s="1">
        <v>3829596</v>
      </c>
      <c r="AN40" s="1">
        <v>3814244</v>
      </c>
      <c r="AO40" s="1">
        <v>3797587</v>
      </c>
      <c r="AP40" s="1">
        <v>3781311</v>
      </c>
      <c r="AQ40" s="1">
        <v>3765950</v>
      </c>
      <c r="AR40" s="1">
        <v>3751314</v>
      </c>
      <c r="AS40" s="1">
        <v>3736556</v>
      </c>
      <c r="AT40" s="1">
        <v>3717353</v>
      </c>
      <c r="AU40" s="1">
        <v>3697728</v>
      </c>
      <c r="AV40" s="1">
        <v>3675785</v>
      </c>
      <c r="AW40" s="1">
        <v>3653881</v>
      </c>
      <c r="AX40" s="1">
        <v>3630486</v>
      </c>
      <c r="AY40" s="1">
        <v>3608884</v>
      </c>
      <c r="AZ40" s="1">
        <v>3586929</v>
      </c>
      <c r="BA40" s="1">
        <v>3566386</v>
      </c>
      <c r="BB40" s="1">
        <v>3547684</v>
      </c>
      <c r="BC40" s="1">
        <v>3530158</v>
      </c>
      <c r="BD40" s="1">
        <v>3514563</v>
      </c>
      <c r="BE40" s="1">
        <v>3498154</v>
      </c>
      <c r="BF40" s="1">
        <v>3482683</v>
      </c>
      <c r="BG40" s="1">
        <v>3467890</v>
      </c>
      <c r="BH40" s="1">
        <v>3453439</v>
      </c>
      <c r="BI40" s="1">
        <v>3437963</v>
      </c>
      <c r="BJ40" s="1">
        <v>3421466</v>
      </c>
      <c r="BK40" s="1">
        <v>3404702</v>
      </c>
      <c r="BL40" s="1">
        <v>3386534</v>
      </c>
      <c r="BM40" s="1">
        <v>3368311</v>
      </c>
      <c r="BN40" s="1">
        <v>3349193</v>
      </c>
      <c r="BO40" s="1">
        <v>3329154</v>
      </c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x14ac:dyDescent="0.2">
      <c r="A41" t="s">
        <v>40</v>
      </c>
      <c r="B41" s="1"/>
      <c r="C41" s="1"/>
      <c r="D41">
        <v>49384199</v>
      </c>
      <c r="E41">
        <v>49519112</v>
      </c>
      <c r="F41">
        <v>49586835</v>
      </c>
      <c r="G41">
        <v>49627382</v>
      </c>
      <c r="H41">
        <v>49659296</v>
      </c>
      <c r="I41">
        <v>49691311</v>
      </c>
      <c r="J41">
        <v>49696281</v>
      </c>
      <c r="K41">
        <v>49708077</v>
      </c>
      <c r="L41">
        <v>49707992</v>
      </c>
      <c r="M41">
        <v>49686693</v>
      </c>
      <c r="N41">
        <v>49644897</v>
      </c>
      <c r="O41" s="1">
        <v>49580350</v>
      </c>
      <c r="P41" s="1">
        <v>49504300</v>
      </c>
      <c r="Q41" s="1">
        <v>49411432</v>
      </c>
      <c r="R41" s="1">
        <v>49304636</v>
      </c>
      <c r="S41" s="1">
        <v>49202779</v>
      </c>
      <c r="T41" s="1">
        <v>49148035</v>
      </c>
      <c r="U41" s="1">
        <v>49051394</v>
      </c>
      <c r="V41" s="1">
        <v>48941609</v>
      </c>
      <c r="W41" s="1">
        <v>48836971</v>
      </c>
      <c r="X41" s="1">
        <v>48734115</v>
      </c>
      <c r="Y41" s="1">
        <v>48653826</v>
      </c>
      <c r="Z41" s="1">
        <v>48572025</v>
      </c>
      <c r="AA41" s="1">
        <v>48484593</v>
      </c>
      <c r="AB41" s="1">
        <v>48394122</v>
      </c>
      <c r="AC41" s="1">
        <v>48287754</v>
      </c>
      <c r="AD41" s="1">
        <v>48179495</v>
      </c>
      <c r="AE41" s="1">
        <v>48089020</v>
      </c>
      <c r="AF41" s="1">
        <v>48037105</v>
      </c>
      <c r="AG41" s="1">
        <v>48023422</v>
      </c>
      <c r="AH41" s="1">
        <v>48032316</v>
      </c>
      <c r="AI41" s="1">
        <v>48021090</v>
      </c>
      <c r="AJ41" s="1">
        <v>48009518</v>
      </c>
      <c r="AK41" s="1">
        <v>47980388</v>
      </c>
      <c r="AL41" s="1">
        <v>47905033</v>
      </c>
      <c r="AM41" s="1">
        <v>47836688</v>
      </c>
      <c r="AN41" s="1">
        <v>47766447</v>
      </c>
      <c r="AO41" s="1">
        <v>47731512</v>
      </c>
      <c r="AP41" s="1">
        <v>47677578</v>
      </c>
      <c r="AQ41" s="1">
        <v>47611211</v>
      </c>
      <c r="AR41" s="1">
        <v>47534133</v>
      </c>
      <c r="AS41" s="1">
        <v>47458578</v>
      </c>
      <c r="AT41" s="1">
        <v>47375666</v>
      </c>
      <c r="AU41" s="1">
        <v>47296217</v>
      </c>
      <c r="AV41" s="1">
        <v>47217251</v>
      </c>
      <c r="AW41" s="1">
        <v>47149376</v>
      </c>
      <c r="AX41" s="1">
        <v>47085998</v>
      </c>
      <c r="AY41" s="1">
        <v>47046501</v>
      </c>
      <c r="AZ41" s="1">
        <v>47006365</v>
      </c>
      <c r="BA41" s="1">
        <v>46951042</v>
      </c>
      <c r="BB41" s="1">
        <v>46890675</v>
      </c>
      <c r="BC41" s="1">
        <v>46831543</v>
      </c>
      <c r="BD41" s="1">
        <v>46759781</v>
      </c>
      <c r="BE41" s="1">
        <v>46682253</v>
      </c>
      <c r="BF41" s="1">
        <v>46562621</v>
      </c>
      <c r="BG41" s="1">
        <v>46452817</v>
      </c>
      <c r="BH41" s="1">
        <v>46348176</v>
      </c>
      <c r="BI41" s="1">
        <v>46247560</v>
      </c>
      <c r="BJ41" s="1">
        <v>46140631</v>
      </c>
      <c r="BK41" s="1">
        <v>46030755</v>
      </c>
      <c r="BL41" s="1">
        <v>45907280</v>
      </c>
      <c r="BM41" s="1">
        <v>45794199</v>
      </c>
      <c r="BN41" s="1">
        <v>45674902</v>
      </c>
      <c r="BO41" s="1">
        <v>45557111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x14ac:dyDescent="0.2">
      <c r="A42" t="s">
        <v>41</v>
      </c>
      <c r="B42" s="1"/>
      <c r="C42" s="1"/>
      <c r="D42">
        <v>2949577</v>
      </c>
      <c r="E42">
        <v>2937916</v>
      </c>
      <c r="F42">
        <v>2920764</v>
      </c>
      <c r="G42">
        <v>2898715</v>
      </c>
      <c r="H42">
        <v>2876241</v>
      </c>
      <c r="I42">
        <v>2854875</v>
      </c>
      <c r="J42">
        <v>2821507</v>
      </c>
      <c r="K42">
        <v>2796060</v>
      </c>
      <c r="L42">
        <v>2769725</v>
      </c>
      <c r="M42">
        <v>2742455</v>
      </c>
      <c r="N42">
        <v>2716019</v>
      </c>
      <c r="O42" s="1">
        <v>2691439</v>
      </c>
      <c r="P42" s="1">
        <v>2667989</v>
      </c>
      <c r="Q42" s="1">
        <v>2644685</v>
      </c>
      <c r="R42" s="1">
        <v>2622034</v>
      </c>
      <c r="S42" s="1">
        <v>2601639</v>
      </c>
      <c r="T42" s="1">
        <v>2583499</v>
      </c>
      <c r="U42" s="1">
        <v>2563222</v>
      </c>
      <c r="V42" s="1">
        <v>2543559</v>
      </c>
      <c r="W42" s="1">
        <v>2522369</v>
      </c>
      <c r="X42" s="1">
        <v>2501651</v>
      </c>
      <c r="Y42" s="1">
        <v>2482931</v>
      </c>
      <c r="Z42" s="1">
        <v>2465698</v>
      </c>
      <c r="AA42" s="1">
        <v>2449566</v>
      </c>
      <c r="AB42" s="1">
        <v>2435201</v>
      </c>
      <c r="AC42" s="1">
        <v>2419129</v>
      </c>
      <c r="AD42" s="1">
        <v>2402854</v>
      </c>
      <c r="AE42" s="1">
        <v>2386666</v>
      </c>
      <c r="AF42" s="1">
        <v>2370645</v>
      </c>
      <c r="AG42" s="1">
        <v>2354259</v>
      </c>
      <c r="AH42" s="1">
        <v>2337447</v>
      </c>
      <c r="AI42" s="1">
        <v>2320363</v>
      </c>
      <c r="AJ42" s="1">
        <v>2303142</v>
      </c>
      <c r="AK42" s="1">
        <v>2284983</v>
      </c>
      <c r="AL42" s="1">
        <v>2267266</v>
      </c>
      <c r="AM42" s="1">
        <v>2250454</v>
      </c>
      <c r="AN42" s="1">
        <v>2233631</v>
      </c>
      <c r="AO42" s="1">
        <v>2217584</v>
      </c>
      <c r="AP42" s="1">
        <v>2201462</v>
      </c>
      <c r="AQ42" s="1">
        <v>2187202</v>
      </c>
      <c r="AR42" s="1">
        <v>2174543</v>
      </c>
      <c r="AS42" s="1">
        <v>2162564</v>
      </c>
      <c r="AT42" s="1">
        <v>2150587</v>
      </c>
      <c r="AU42" s="1">
        <v>2140045</v>
      </c>
      <c r="AV42" s="1">
        <v>2129467</v>
      </c>
      <c r="AW42" s="1">
        <v>2118592</v>
      </c>
      <c r="AX42" s="1">
        <v>2110141</v>
      </c>
      <c r="AY42" s="1">
        <v>2100310</v>
      </c>
      <c r="AZ42" s="1">
        <v>2090533</v>
      </c>
      <c r="BA42" s="1">
        <v>2080126</v>
      </c>
      <c r="BB42" s="1">
        <v>2067776</v>
      </c>
      <c r="BC42" s="1">
        <v>2055405</v>
      </c>
      <c r="BD42" s="1">
        <v>2044391</v>
      </c>
      <c r="BE42" s="1">
        <v>2034793</v>
      </c>
      <c r="BF42" s="1">
        <v>2025783</v>
      </c>
      <c r="BG42" s="1">
        <v>2018237</v>
      </c>
      <c r="BH42" s="1">
        <v>2010878</v>
      </c>
      <c r="BI42" s="1">
        <v>2003351</v>
      </c>
      <c r="BJ42" s="1">
        <v>1995500</v>
      </c>
      <c r="BK42" s="1">
        <v>1986112</v>
      </c>
      <c r="BL42" s="1">
        <v>1977826</v>
      </c>
      <c r="BM42" s="1">
        <v>1969325</v>
      </c>
      <c r="BN42" s="1">
        <v>1959637</v>
      </c>
      <c r="BO42" s="1">
        <v>1949485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x14ac:dyDescent="0.2">
      <c r="A43" t="s">
        <v>42</v>
      </c>
      <c r="B43" s="1"/>
      <c r="C43" s="1"/>
      <c r="D43">
        <v>7464606</v>
      </c>
      <c r="E43">
        <v>7447795</v>
      </c>
      <c r="F43">
        <v>7416298</v>
      </c>
      <c r="G43">
        <v>7378125</v>
      </c>
      <c r="H43">
        <v>7331843</v>
      </c>
      <c r="I43">
        <v>7286478</v>
      </c>
      <c r="J43">
        <v>7246038</v>
      </c>
      <c r="K43">
        <v>7195908</v>
      </c>
      <c r="L43">
        <v>7141249</v>
      </c>
      <c r="M43">
        <v>7091926</v>
      </c>
      <c r="N43">
        <v>7055281</v>
      </c>
      <c r="O43" s="1">
        <v>7031602</v>
      </c>
      <c r="P43" s="1">
        <v>7010936</v>
      </c>
      <c r="Q43" s="1">
        <v>6995459</v>
      </c>
      <c r="R43" s="1">
        <v>6981564</v>
      </c>
      <c r="S43" s="1">
        <v>6971554</v>
      </c>
      <c r="T43" s="1">
        <v>6961996</v>
      </c>
      <c r="U43" s="1">
        <v>6954646</v>
      </c>
      <c r="V43" s="1">
        <v>6948105</v>
      </c>
      <c r="W43" s="1">
        <v>6940375</v>
      </c>
      <c r="X43" s="1">
        <v>6928422</v>
      </c>
      <c r="Y43" s="1">
        <v>6906713</v>
      </c>
      <c r="Z43" s="1">
        <v>6879628</v>
      </c>
      <c r="AA43" s="1">
        <v>6851543</v>
      </c>
      <c r="AB43" s="1">
        <v>6822615</v>
      </c>
      <c r="AC43" s="1">
        <v>6794070</v>
      </c>
      <c r="AD43" s="1">
        <v>6762956</v>
      </c>
      <c r="AE43" s="1">
        <v>6729737</v>
      </c>
      <c r="AF43" s="1">
        <v>6677359</v>
      </c>
      <c r="AG43" s="1">
        <v>6620098</v>
      </c>
      <c r="AH43" s="1">
        <v>6568328</v>
      </c>
      <c r="AI43" s="1">
        <v>6522032</v>
      </c>
      <c r="AJ43" s="1">
        <v>6481743</v>
      </c>
      <c r="AK43" s="1">
        <v>6446624</v>
      </c>
      <c r="AL43" s="1">
        <v>6419072</v>
      </c>
      <c r="AM43" s="1">
        <v>6396522</v>
      </c>
      <c r="AN43" s="1">
        <v>6379995</v>
      </c>
      <c r="AO43" s="1">
        <v>6368101</v>
      </c>
      <c r="AP43" s="1">
        <v>6357378</v>
      </c>
      <c r="AQ43" s="1">
        <v>6342577</v>
      </c>
      <c r="AR43" s="1">
        <v>6327999</v>
      </c>
      <c r="AS43" s="1">
        <v>6313764</v>
      </c>
      <c r="AT43" s="1">
        <v>6298901</v>
      </c>
      <c r="AU43" s="1">
        <v>6283153</v>
      </c>
      <c r="AV43" s="1">
        <v>6264571</v>
      </c>
      <c r="AW43" s="1">
        <v>6244444</v>
      </c>
      <c r="AX43" s="1">
        <v>6227244</v>
      </c>
      <c r="AY43" s="1">
        <v>6211908</v>
      </c>
      <c r="AZ43" s="1">
        <v>6197383</v>
      </c>
      <c r="BA43" s="1">
        <v>6184778</v>
      </c>
      <c r="BB43" s="1">
        <v>6176965</v>
      </c>
      <c r="BC43" s="1">
        <v>6174545</v>
      </c>
      <c r="BD43" s="1">
        <v>6174581</v>
      </c>
      <c r="BE43" s="1">
        <v>6175835</v>
      </c>
      <c r="BF43" s="1">
        <v>6172933</v>
      </c>
      <c r="BG43" s="1">
        <v>6170016</v>
      </c>
      <c r="BH43" s="1">
        <v>6166859</v>
      </c>
      <c r="BI43" s="1">
        <v>6165066</v>
      </c>
      <c r="BJ43" s="1">
        <v>6162808</v>
      </c>
      <c r="BK43" s="1">
        <v>6156924</v>
      </c>
      <c r="BL43" s="1">
        <v>6148426</v>
      </c>
      <c r="BM43" s="1">
        <v>6142729</v>
      </c>
      <c r="BN43" s="1">
        <v>6135057</v>
      </c>
      <c r="BO43" s="1">
        <v>6129639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x14ac:dyDescent="0.2">
      <c r="A44" t="s">
        <v>43</v>
      </c>
      <c r="B44" s="1"/>
      <c r="C44" s="1"/>
      <c r="D44">
        <v>3732190</v>
      </c>
      <c r="E44">
        <v>3824993</v>
      </c>
      <c r="F44">
        <v>3878241</v>
      </c>
      <c r="G44">
        <v>3917885</v>
      </c>
      <c r="H44">
        <v>3957435</v>
      </c>
      <c r="I44">
        <v>3995806</v>
      </c>
      <c r="J44">
        <v>4030501</v>
      </c>
      <c r="K44">
        <v>4063326</v>
      </c>
      <c r="L44">
        <v>4092057</v>
      </c>
      <c r="M44">
        <v>4119006</v>
      </c>
      <c r="N44">
        <v>4145216</v>
      </c>
      <c r="O44" s="1">
        <v>4169431</v>
      </c>
      <c r="P44" s="1">
        <v>4190083</v>
      </c>
      <c r="Q44" s="1">
        <v>4210513</v>
      </c>
      <c r="R44" s="1">
        <v>4224705</v>
      </c>
      <c r="S44" s="1">
        <v>4240805</v>
      </c>
      <c r="T44" s="1">
        <v>4255036</v>
      </c>
      <c r="U44" s="1">
        <v>4262764</v>
      </c>
      <c r="V44" s="1">
        <v>4269199</v>
      </c>
      <c r="W44" s="1">
        <v>4275092</v>
      </c>
      <c r="X44" s="1">
        <v>4280825</v>
      </c>
      <c r="Y44" s="1">
        <v>4285797</v>
      </c>
      <c r="Z44" s="1">
        <v>4290115</v>
      </c>
      <c r="AA44" s="1">
        <v>4292635</v>
      </c>
      <c r="AB44" s="1">
        <v>4292842</v>
      </c>
      <c r="AC44" s="1">
        <v>4293066</v>
      </c>
      <c r="AD44" s="1">
        <v>4291794</v>
      </c>
      <c r="AE44" s="1">
        <v>4290076</v>
      </c>
      <c r="AF44" s="1">
        <v>4286846</v>
      </c>
      <c r="AG44" s="1">
        <v>4282994</v>
      </c>
      <c r="AH44" s="1">
        <v>4278788</v>
      </c>
      <c r="AI44" s="1">
        <v>4273505</v>
      </c>
      <c r="AJ44" s="1">
        <v>4266915</v>
      </c>
      <c r="AK44" s="1">
        <v>4256074</v>
      </c>
      <c r="AL44" s="1">
        <v>4244764</v>
      </c>
      <c r="AM44" s="1">
        <v>4235845</v>
      </c>
      <c r="AN44" s="1">
        <v>4228555</v>
      </c>
      <c r="AO44" s="1">
        <v>4223228</v>
      </c>
      <c r="AP44" s="1">
        <v>4220138</v>
      </c>
      <c r="AQ44" s="1">
        <v>4217059</v>
      </c>
      <c r="AR44" s="1">
        <v>4215803</v>
      </c>
      <c r="AS44" s="1">
        <v>4216761</v>
      </c>
      <c r="AT44" s="1">
        <v>4215568</v>
      </c>
      <c r="AU44" s="1">
        <v>4215972</v>
      </c>
      <c r="AV44" s="1">
        <v>4215368</v>
      </c>
      <c r="AW44" s="1">
        <v>4214443</v>
      </c>
      <c r="AX44" s="1">
        <v>4213430</v>
      </c>
      <c r="AY44" s="1">
        <v>4211433</v>
      </c>
      <c r="AZ44" s="1">
        <v>4208182</v>
      </c>
      <c r="BA44" s="1">
        <v>4203741</v>
      </c>
      <c r="BB44" s="1">
        <v>4197644</v>
      </c>
      <c r="BC44" s="1">
        <v>4187883</v>
      </c>
      <c r="BD44" s="1">
        <v>4177128</v>
      </c>
      <c r="BE44" s="1">
        <v>4165254</v>
      </c>
      <c r="BF44" s="1">
        <v>4153240</v>
      </c>
      <c r="BG44" s="1">
        <v>4140138</v>
      </c>
      <c r="BH44" s="1">
        <v>4126092</v>
      </c>
      <c r="BI44" s="1">
        <v>4111484</v>
      </c>
      <c r="BJ44" s="1">
        <v>4096615</v>
      </c>
      <c r="BK44" s="1">
        <v>4080613</v>
      </c>
      <c r="BL44" s="1">
        <v>4063514</v>
      </c>
      <c r="BM44" s="1">
        <v>4042872</v>
      </c>
      <c r="BN44" s="1">
        <v>4020973</v>
      </c>
      <c r="BO44" s="1">
        <v>3999111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1:82" x14ac:dyDescent="0.2">
      <c r="A45" t="s">
        <v>44</v>
      </c>
      <c r="B45" s="1"/>
      <c r="C45" s="1"/>
      <c r="D45">
        <v>44385295</v>
      </c>
      <c r="E45">
        <v>44402616</v>
      </c>
      <c r="F45">
        <v>44357450</v>
      </c>
      <c r="G45">
        <v>44330443</v>
      </c>
      <c r="H45">
        <v>44314296</v>
      </c>
      <c r="I45">
        <v>44320889</v>
      </c>
      <c r="J45">
        <v>44330787</v>
      </c>
      <c r="K45">
        <v>44316190</v>
      </c>
      <c r="L45">
        <v>44274194</v>
      </c>
      <c r="M45">
        <v>44209946</v>
      </c>
      <c r="N45">
        <v>44124931</v>
      </c>
      <c r="O45" s="1">
        <v>44015002</v>
      </c>
      <c r="P45" s="1">
        <v>43880990</v>
      </c>
      <c r="Q45" s="1">
        <v>43705263</v>
      </c>
      <c r="R45" s="1">
        <v>43495694</v>
      </c>
      <c r="S45" s="1">
        <v>43259176</v>
      </c>
      <c r="T45" s="1">
        <v>42999972</v>
      </c>
      <c r="U45" s="1">
        <v>42708567</v>
      </c>
      <c r="V45" s="1">
        <v>42366102</v>
      </c>
      <c r="W45" s="1">
        <v>42032888</v>
      </c>
      <c r="X45" s="1">
        <v>41696058</v>
      </c>
      <c r="Y45" s="1">
        <v>41365976</v>
      </c>
      <c r="Z45" s="1">
        <v>41039459</v>
      </c>
      <c r="AA45" s="1">
        <v>40705690</v>
      </c>
      <c r="AB45" s="1">
        <v>40394429</v>
      </c>
      <c r="AC45" s="1">
        <v>40077013</v>
      </c>
      <c r="AD45" s="1">
        <v>39770145</v>
      </c>
      <c r="AE45" s="1">
        <v>39471883</v>
      </c>
      <c r="AF45" s="1">
        <v>39170833</v>
      </c>
      <c r="AG45" s="1">
        <v>38902795</v>
      </c>
      <c r="AH45" s="1">
        <v>38670832</v>
      </c>
      <c r="AI45" s="1">
        <v>38470896</v>
      </c>
      <c r="AJ45" s="1">
        <v>38295315</v>
      </c>
      <c r="AK45" s="1">
        <v>38152984</v>
      </c>
      <c r="AL45" s="1">
        <v>38029074</v>
      </c>
      <c r="AM45" s="1">
        <v>37917241</v>
      </c>
      <c r="AN45" s="1">
        <v>37805447</v>
      </c>
      <c r="AO45" s="1">
        <v>37708014</v>
      </c>
      <c r="AP45" s="1">
        <v>37614559</v>
      </c>
      <c r="AQ45" s="1">
        <v>37525327</v>
      </c>
      <c r="AR45" s="1">
        <v>37446536</v>
      </c>
      <c r="AS45" s="1">
        <v>37362312</v>
      </c>
      <c r="AT45" s="1">
        <v>37257693</v>
      </c>
      <c r="AU45" s="1">
        <v>37158326</v>
      </c>
      <c r="AV45" s="1">
        <v>37048959</v>
      </c>
      <c r="AW45" s="1">
        <v>36940212</v>
      </c>
      <c r="AX45" s="1">
        <v>36819484</v>
      </c>
      <c r="AY45" s="1">
        <v>36712231</v>
      </c>
      <c r="AZ45" s="1">
        <v>36605545</v>
      </c>
      <c r="BA45" s="1">
        <v>36493929</v>
      </c>
      <c r="BB45" s="1">
        <v>36370900</v>
      </c>
      <c r="BC45" s="1">
        <v>36239887</v>
      </c>
      <c r="BD45" s="1">
        <v>36098778</v>
      </c>
      <c r="BE45" s="1">
        <v>35953916</v>
      </c>
      <c r="BF45" s="1">
        <v>35796923</v>
      </c>
      <c r="BG45" s="1">
        <v>35643551</v>
      </c>
      <c r="BH45" s="1">
        <v>35490567</v>
      </c>
      <c r="BI45" s="1">
        <v>35326679</v>
      </c>
      <c r="BJ45" s="1">
        <v>35147403</v>
      </c>
      <c r="BK45" s="1">
        <v>34971230</v>
      </c>
      <c r="BL45" s="1">
        <v>34791137</v>
      </c>
      <c r="BM45" s="1">
        <v>34610961</v>
      </c>
      <c r="BN45" s="1">
        <v>34427921</v>
      </c>
      <c r="BO45" s="1">
        <v>34249297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1:82" x14ac:dyDescent="0.2">
      <c r="A46" t="s">
        <v>45</v>
      </c>
      <c r="B46" s="1"/>
      <c r="C46" s="1"/>
      <c r="D46">
        <v>2125613</v>
      </c>
      <c r="E46">
        <v>2172542</v>
      </c>
      <c r="F46">
        <v>2179072</v>
      </c>
      <c r="G46">
        <v>2170499</v>
      </c>
      <c r="H46">
        <v>2158935</v>
      </c>
      <c r="I46">
        <v>2143249</v>
      </c>
      <c r="J46">
        <v>2124033</v>
      </c>
      <c r="K46">
        <v>2105527</v>
      </c>
      <c r="L46">
        <v>2086805</v>
      </c>
      <c r="M46">
        <v>2068004</v>
      </c>
      <c r="N46">
        <v>2049146</v>
      </c>
      <c r="O46" s="1">
        <v>2026917</v>
      </c>
      <c r="P46" s="1">
        <v>2001842</v>
      </c>
      <c r="Q46" s="1">
        <v>1977534</v>
      </c>
      <c r="R46" s="1">
        <v>1951904</v>
      </c>
      <c r="S46" s="1">
        <v>1925921</v>
      </c>
      <c r="T46" s="1">
        <v>1900520</v>
      </c>
      <c r="U46" s="1">
        <v>1879065</v>
      </c>
      <c r="V46" s="1">
        <v>1858687</v>
      </c>
      <c r="W46" s="1">
        <v>1839219</v>
      </c>
      <c r="X46" s="1">
        <v>1819653</v>
      </c>
      <c r="Y46" s="1">
        <v>1800083</v>
      </c>
      <c r="Z46" s="1">
        <v>1780176</v>
      </c>
      <c r="AA46" s="1">
        <v>1760347</v>
      </c>
      <c r="AB46" s="1">
        <v>1739915</v>
      </c>
      <c r="AC46" s="1">
        <v>1719425</v>
      </c>
      <c r="AD46" s="1">
        <v>1700066</v>
      </c>
      <c r="AE46" s="1">
        <v>1682372</v>
      </c>
      <c r="AF46" s="1">
        <v>1665031</v>
      </c>
      <c r="AG46" s="1">
        <v>1648284</v>
      </c>
      <c r="AH46" s="1">
        <v>1631717</v>
      </c>
      <c r="AI46" s="1">
        <v>1615765</v>
      </c>
      <c r="AJ46" s="1">
        <v>1600219</v>
      </c>
      <c r="AK46" s="1">
        <v>1585131</v>
      </c>
      <c r="AL46" s="1">
        <v>1570570</v>
      </c>
      <c r="AM46" s="1">
        <v>1555970</v>
      </c>
      <c r="AN46" s="1">
        <v>1541257</v>
      </c>
      <c r="AO46" s="1">
        <v>1524482</v>
      </c>
      <c r="AP46" s="1">
        <v>1507206</v>
      </c>
      <c r="AQ46" s="1">
        <v>1489387</v>
      </c>
      <c r="AR46" s="1">
        <v>1470660</v>
      </c>
      <c r="AS46" s="1">
        <v>1452106</v>
      </c>
      <c r="AT46" s="1">
        <v>1434473</v>
      </c>
      <c r="AU46" s="1">
        <v>1417370</v>
      </c>
      <c r="AV46" s="1">
        <v>1399028</v>
      </c>
      <c r="AW46" s="1">
        <v>1381196</v>
      </c>
      <c r="AX46" s="1">
        <v>1363803</v>
      </c>
      <c r="AY46" s="1">
        <v>1349400</v>
      </c>
      <c r="AZ46" s="1">
        <v>1337336</v>
      </c>
      <c r="BA46" s="1">
        <v>1325518</v>
      </c>
      <c r="BB46" s="1">
        <v>1314488</v>
      </c>
      <c r="BC46" s="1">
        <v>1304114</v>
      </c>
      <c r="BD46" s="1">
        <v>1294565</v>
      </c>
      <c r="BE46" s="1">
        <v>1285638</v>
      </c>
      <c r="BF46" s="1">
        <v>1278235</v>
      </c>
      <c r="BG46" s="1">
        <v>1272291</v>
      </c>
      <c r="BH46" s="1">
        <v>1267444</v>
      </c>
      <c r="BI46" s="1">
        <v>1262512</v>
      </c>
      <c r="BJ46" s="1">
        <v>1258095</v>
      </c>
      <c r="BK46" s="1">
        <v>1253442</v>
      </c>
      <c r="BL46" s="1">
        <v>1249003</v>
      </c>
      <c r="BM46" s="1">
        <v>1244287</v>
      </c>
      <c r="BN46" s="1">
        <v>1237967</v>
      </c>
      <c r="BO46" s="1">
        <v>1230312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1:82" x14ac:dyDescent="0.2">
      <c r="A47" t="s">
        <v>46</v>
      </c>
      <c r="B47" s="1"/>
      <c r="C47" s="1"/>
      <c r="D47">
        <v>500183</v>
      </c>
      <c r="E47">
        <v>513117</v>
      </c>
      <c r="F47">
        <v>522953</v>
      </c>
      <c r="G47">
        <v>531570</v>
      </c>
      <c r="H47">
        <v>540066</v>
      </c>
      <c r="I47">
        <v>548189</v>
      </c>
      <c r="J47">
        <v>555876</v>
      </c>
      <c r="K47">
        <v>563350</v>
      </c>
      <c r="L47">
        <v>570597</v>
      </c>
      <c r="M47">
        <v>577481</v>
      </c>
      <c r="N47">
        <v>584042</v>
      </c>
      <c r="O47" s="1">
        <v>590316</v>
      </c>
      <c r="P47" s="1">
        <v>596198</v>
      </c>
      <c r="Q47" s="1">
        <v>601886</v>
      </c>
      <c r="R47" s="1">
        <v>607300</v>
      </c>
      <c r="S47" s="1">
        <v>612427</v>
      </c>
      <c r="T47" s="1">
        <v>617235</v>
      </c>
      <c r="U47" s="1">
        <v>621947</v>
      </c>
      <c r="V47" s="1">
        <v>626358</v>
      </c>
      <c r="W47" s="1">
        <v>630625</v>
      </c>
      <c r="X47" s="1">
        <v>634872</v>
      </c>
      <c r="Y47" s="1">
        <v>638830</v>
      </c>
      <c r="Z47" s="1">
        <v>642709</v>
      </c>
      <c r="AA47" s="1">
        <v>646499</v>
      </c>
      <c r="AB47" s="1">
        <v>650285</v>
      </c>
      <c r="AC47" s="1">
        <v>653713</v>
      </c>
      <c r="AD47" s="1">
        <v>657204</v>
      </c>
      <c r="AE47" s="1">
        <v>660714</v>
      </c>
      <c r="AF47" s="1">
        <v>663888</v>
      </c>
      <c r="AG47" s="1">
        <v>666813</v>
      </c>
      <c r="AH47" s="1">
        <v>669583</v>
      </c>
      <c r="AI47" s="1">
        <v>671890</v>
      </c>
      <c r="AJ47" s="1">
        <v>674070</v>
      </c>
      <c r="AK47" s="1">
        <v>676085</v>
      </c>
      <c r="AL47" s="1">
        <v>677653</v>
      </c>
      <c r="AM47" s="1">
        <v>679096</v>
      </c>
      <c r="AN47" s="1">
        <v>680289</v>
      </c>
      <c r="AO47" s="1">
        <v>681469</v>
      </c>
      <c r="AP47" s="1">
        <v>682539</v>
      </c>
      <c r="AQ47" s="1">
        <v>683460</v>
      </c>
      <c r="AR47" s="1">
        <v>683861</v>
      </c>
      <c r="AS47" s="1">
        <v>684199</v>
      </c>
      <c r="AT47" s="1">
        <v>684013</v>
      </c>
      <c r="AU47" s="1">
        <v>683747</v>
      </c>
      <c r="AV47" s="1">
        <v>683107</v>
      </c>
      <c r="AW47" s="1">
        <v>682680</v>
      </c>
      <c r="AX47" s="1">
        <v>681803</v>
      </c>
      <c r="AY47" s="1">
        <v>680871</v>
      </c>
      <c r="AZ47" s="1">
        <v>679914</v>
      </c>
      <c r="BA47" s="1">
        <v>678897</v>
      </c>
      <c r="BB47" s="1">
        <v>677745</v>
      </c>
      <c r="BC47" s="1">
        <v>676567</v>
      </c>
      <c r="BD47" s="1">
        <v>675772</v>
      </c>
      <c r="BE47" s="1">
        <v>675052</v>
      </c>
      <c r="BF47" s="1">
        <v>674233</v>
      </c>
      <c r="BG47" s="1">
        <v>673867</v>
      </c>
      <c r="BH47" s="1">
        <v>673598</v>
      </c>
      <c r="BI47" s="1">
        <v>673443</v>
      </c>
      <c r="BJ47" s="1">
        <v>673262</v>
      </c>
      <c r="BK47" s="1">
        <v>673072</v>
      </c>
      <c r="BL47" s="1">
        <v>672819</v>
      </c>
      <c r="BM47" s="1">
        <v>672569</v>
      </c>
      <c r="BN47" s="1">
        <v>672230</v>
      </c>
      <c r="BO47" s="1">
        <v>671936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1:82" x14ac:dyDescent="0.2">
      <c r="A48" t="s">
        <v>47</v>
      </c>
      <c r="B48" s="1"/>
      <c r="C48" s="1"/>
      <c r="D48">
        <v>1392408</v>
      </c>
      <c r="E48">
        <v>1407220</v>
      </c>
      <c r="F48">
        <v>1400781</v>
      </c>
      <c r="G48">
        <v>1384849</v>
      </c>
      <c r="H48">
        <v>1368684</v>
      </c>
      <c r="I48">
        <v>1351756</v>
      </c>
      <c r="J48">
        <v>1335715</v>
      </c>
      <c r="K48">
        <v>1321362</v>
      </c>
      <c r="L48">
        <v>1307316</v>
      </c>
      <c r="M48">
        <v>1293399</v>
      </c>
      <c r="N48">
        <v>1279972</v>
      </c>
      <c r="O48" s="1">
        <v>1265219</v>
      </c>
      <c r="P48" s="1">
        <v>1248897</v>
      </c>
      <c r="Q48" s="1">
        <v>1233841</v>
      </c>
      <c r="R48" s="1">
        <v>1217969</v>
      </c>
      <c r="S48" s="1">
        <v>1202808</v>
      </c>
      <c r="T48" s="1">
        <v>1187184</v>
      </c>
      <c r="U48" s="1">
        <v>1172634</v>
      </c>
      <c r="V48" s="1">
        <v>1158696</v>
      </c>
      <c r="W48" s="1">
        <v>1145610</v>
      </c>
      <c r="X48" s="1">
        <v>1131992</v>
      </c>
      <c r="Y48" s="1">
        <v>1118393</v>
      </c>
      <c r="Z48" s="1">
        <v>1104672</v>
      </c>
      <c r="AA48" s="1">
        <v>1091024</v>
      </c>
      <c r="AB48" s="1">
        <v>1077037</v>
      </c>
      <c r="AC48" s="1">
        <v>1062806</v>
      </c>
      <c r="AD48" s="1">
        <v>1049284</v>
      </c>
      <c r="AE48" s="1">
        <v>1036621</v>
      </c>
      <c r="AF48" s="1">
        <v>1024226</v>
      </c>
      <c r="AG48" s="1">
        <v>1012376</v>
      </c>
      <c r="AH48" s="1">
        <v>1001215</v>
      </c>
      <c r="AI48" s="1">
        <v>990893</v>
      </c>
      <c r="AJ48" s="1">
        <v>981277</v>
      </c>
      <c r="AK48" s="1">
        <v>971747</v>
      </c>
      <c r="AL48" s="1">
        <v>962333</v>
      </c>
      <c r="AM48" s="1">
        <v>952757</v>
      </c>
      <c r="AN48" s="1">
        <v>942829</v>
      </c>
      <c r="AO48" s="1">
        <v>931585</v>
      </c>
      <c r="AP48" s="1">
        <v>920637</v>
      </c>
      <c r="AQ48" s="1">
        <v>909956</v>
      </c>
      <c r="AR48" s="1">
        <v>898564</v>
      </c>
      <c r="AS48" s="1">
        <v>887170</v>
      </c>
      <c r="AT48" s="1">
        <v>876141</v>
      </c>
      <c r="AU48" s="1">
        <v>866116</v>
      </c>
      <c r="AV48" s="1">
        <v>856492</v>
      </c>
      <c r="AW48" s="1">
        <v>848132</v>
      </c>
      <c r="AX48" s="1">
        <v>840448</v>
      </c>
      <c r="AY48" s="1">
        <v>835338</v>
      </c>
      <c r="AZ48" s="1">
        <v>831501</v>
      </c>
      <c r="BA48" s="1">
        <v>828952</v>
      </c>
      <c r="BB48" s="1">
        <v>827718</v>
      </c>
      <c r="BC48" s="1">
        <v>826958</v>
      </c>
      <c r="BD48" s="1">
        <v>826592</v>
      </c>
      <c r="BE48" s="1">
        <v>825406</v>
      </c>
      <c r="BF48" s="1">
        <v>823346</v>
      </c>
      <c r="BG48" s="1">
        <v>821882</v>
      </c>
      <c r="BH48" s="1">
        <v>820150</v>
      </c>
      <c r="BI48" s="1">
        <v>818012</v>
      </c>
      <c r="BJ48" s="1">
        <v>816330</v>
      </c>
      <c r="BK48" s="1">
        <v>813567</v>
      </c>
      <c r="BL48" s="1">
        <v>810351</v>
      </c>
      <c r="BM48" s="1">
        <v>806253</v>
      </c>
      <c r="BN48" s="1">
        <v>801486</v>
      </c>
      <c r="BO48" s="1">
        <v>798161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1:82" x14ac:dyDescent="0.2">
      <c r="A49" t="s">
        <v>48</v>
      </c>
      <c r="B49" s="1"/>
      <c r="C49" s="1"/>
      <c r="D49">
        <v>407659</v>
      </c>
      <c r="E49">
        <v>415048</v>
      </c>
      <c r="F49">
        <v>421989</v>
      </c>
      <c r="G49">
        <v>428985</v>
      </c>
      <c r="H49">
        <v>435936</v>
      </c>
      <c r="I49">
        <v>443605</v>
      </c>
      <c r="J49">
        <v>451382</v>
      </c>
      <c r="K49">
        <v>458887</v>
      </c>
      <c r="L49">
        <v>466124</v>
      </c>
      <c r="M49">
        <v>473302</v>
      </c>
      <c r="N49">
        <v>480202</v>
      </c>
      <c r="O49" s="1">
        <v>486714</v>
      </c>
      <c r="P49" s="1">
        <v>493130</v>
      </c>
      <c r="Q49" s="1">
        <v>499178</v>
      </c>
      <c r="R49" s="1">
        <v>505017</v>
      </c>
      <c r="S49" s="1">
        <v>510888</v>
      </c>
      <c r="T49" s="1">
        <v>516560</v>
      </c>
      <c r="U49" s="1">
        <v>522678</v>
      </c>
      <c r="V49" s="1">
        <v>528692</v>
      </c>
      <c r="W49" s="1">
        <v>534734</v>
      </c>
      <c r="X49" s="1">
        <v>540812</v>
      </c>
      <c r="Y49" s="1">
        <v>546655</v>
      </c>
      <c r="Z49" s="1">
        <v>552094</v>
      </c>
      <c r="AA49" s="1">
        <v>557517</v>
      </c>
      <c r="AB49" s="1">
        <v>562404</v>
      </c>
      <c r="AC49" s="1">
        <v>566831</v>
      </c>
      <c r="AD49" s="1">
        <v>570846</v>
      </c>
      <c r="AE49" s="1">
        <v>574507</v>
      </c>
      <c r="AF49" s="1">
        <v>577684</v>
      </c>
      <c r="AG49" s="1">
        <v>580309</v>
      </c>
      <c r="AH49" s="1">
        <v>582682</v>
      </c>
      <c r="AI49" s="1">
        <v>584712</v>
      </c>
      <c r="AJ49" s="1">
        <v>586491</v>
      </c>
      <c r="AK49" s="1">
        <v>587871</v>
      </c>
      <c r="AL49" s="1">
        <v>588977</v>
      </c>
      <c r="AM49" s="1">
        <v>589727</v>
      </c>
      <c r="AN49" s="1">
        <v>589802</v>
      </c>
      <c r="AO49" s="1">
        <v>589736</v>
      </c>
      <c r="AP49" s="1">
        <v>589468</v>
      </c>
      <c r="AQ49" s="1">
        <v>588712</v>
      </c>
      <c r="AR49" s="1">
        <v>587686</v>
      </c>
      <c r="AS49" s="1">
        <v>586106</v>
      </c>
      <c r="AT49" s="1">
        <v>583776</v>
      </c>
      <c r="AU49" s="1">
        <v>580962</v>
      </c>
      <c r="AV49" s="1">
        <v>577879</v>
      </c>
      <c r="AW49" s="1">
        <v>574460</v>
      </c>
      <c r="AX49" s="1">
        <v>570784</v>
      </c>
      <c r="AY49" s="1">
        <v>567186</v>
      </c>
      <c r="AZ49" s="1">
        <v>563791</v>
      </c>
      <c r="BA49" s="1">
        <v>560231</v>
      </c>
      <c r="BB49" s="1">
        <v>556713</v>
      </c>
      <c r="BC49" s="1">
        <v>553506</v>
      </c>
      <c r="BD49" s="1">
        <v>550558</v>
      </c>
      <c r="BE49" s="1">
        <v>547918</v>
      </c>
      <c r="BF49" s="1">
        <v>545297</v>
      </c>
      <c r="BG49" s="1">
        <v>543158</v>
      </c>
      <c r="BH49" s="1">
        <v>541090</v>
      </c>
      <c r="BI49" s="1">
        <v>538962</v>
      </c>
      <c r="BJ49" s="1">
        <v>536975</v>
      </c>
      <c r="BK49" s="1">
        <v>535009</v>
      </c>
      <c r="BL49" s="1">
        <v>533198</v>
      </c>
      <c r="BM49" s="1">
        <v>531384</v>
      </c>
      <c r="BN49" s="1">
        <v>529350</v>
      </c>
      <c r="BO49" s="1">
        <v>527268</v>
      </c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x14ac:dyDescent="0.2">
      <c r="A50" t="s">
        <v>49</v>
      </c>
      <c r="B50" s="1"/>
      <c r="C50" s="1"/>
      <c r="D50">
        <v>13311499</v>
      </c>
      <c r="E50">
        <v>13442889</v>
      </c>
      <c r="F50">
        <v>13510084</v>
      </c>
      <c r="G50">
        <v>13549714</v>
      </c>
      <c r="H50">
        <v>13580658</v>
      </c>
      <c r="I50">
        <v>13598836</v>
      </c>
      <c r="J50">
        <v>13597732</v>
      </c>
      <c r="K50">
        <v>13594336</v>
      </c>
      <c r="L50">
        <v>13593084</v>
      </c>
      <c r="M50">
        <v>13585522</v>
      </c>
      <c r="N50">
        <v>13574738</v>
      </c>
      <c r="O50" s="1">
        <v>13558416</v>
      </c>
      <c r="P50" s="1">
        <v>13536619</v>
      </c>
      <c r="Q50" s="1">
        <v>13515368</v>
      </c>
      <c r="R50" s="1">
        <v>13490924</v>
      </c>
      <c r="S50" s="1">
        <v>13470082</v>
      </c>
      <c r="T50" s="1">
        <v>13435597</v>
      </c>
      <c r="U50" s="1">
        <v>13403322</v>
      </c>
      <c r="V50" s="1">
        <v>13369692</v>
      </c>
      <c r="W50" s="1">
        <v>13341639</v>
      </c>
      <c r="X50" s="1">
        <v>13318028</v>
      </c>
      <c r="Y50" s="1">
        <v>13296758</v>
      </c>
      <c r="Z50" s="1">
        <v>13274204</v>
      </c>
      <c r="AA50" s="1">
        <v>13243328</v>
      </c>
      <c r="AB50" s="1">
        <v>13217713</v>
      </c>
      <c r="AC50" s="1">
        <v>13201353</v>
      </c>
      <c r="AD50" s="1">
        <v>13194451</v>
      </c>
      <c r="AE50" s="1">
        <v>13201793</v>
      </c>
      <c r="AF50" s="1">
        <v>13214100</v>
      </c>
      <c r="AG50" s="1">
        <v>13232742</v>
      </c>
      <c r="AH50" s="1">
        <v>13250877</v>
      </c>
      <c r="AI50" s="1">
        <v>13268393</v>
      </c>
      <c r="AJ50" s="1">
        <v>13281490</v>
      </c>
      <c r="AK50" s="1">
        <v>13292543</v>
      </c>
      <c r="AL50" s="1">
        <v>13295647</v>
      </c>
      <c r="AM50" s="1">
        <v>13298869</v>
      </c>
      <c r="AN50" s="1">
        <v>13302594</v>
      </c>
      <c r="AO50" s="1">
        <v>13304613</v>
      </c>
      <c r="AP50" s="1">
        <v>13299283</v>
      </c>
      <c r="AQ50" s="1">
        <v>13288210</v>
      </c>
      <c r="AR50" s="1">
        <v>13270554</v>
      </c>
      <c r="AS50" s="1">
        <v>13250495</v>
      </c>
      <c r="AT50" s="1">
        <v>13227075</v>
      </c>
      <c r="AU50" s="1">
        <v>13200613</v>
      </c>
      <c r="AV50" s="1">
        <v>13166211</v>
      </c>
      <c r="AW50" s="1">
        <v>13130600</v>
      </c>
      <c r="AX50" s="1">
        <v>13095788</v>
      </c>
      <c r="AY50" s="1">
        <v>13061210</v>
      </c>
      <c r="AZ50" s="1">
        <v>13024962</v>
      </c>
      <c r="BA50" s="1">
        <v>12993042</v>
      </c>
      <c r="BB50" s="1">
        <v>12960423</v>
      </c>
      <c r="BC50" s="1">
        <v>12925725</v>
      </c>
      <c r="BD50" s="1">
        <v>12884433</v>
      </c>
      <c r="BE50" s="1">
        <v>12841185</v>
      </c>
      <c r="BF50" s="1">
        <v>12792589</v>
      </c>
      <c r="BG50" s="1">
        <v>12747111</v>
      </c>
      <c r="BH50" s="1">
        <v>12701800</v>
      </c>
      <c r="BI50" s="1">
        <v>12659136</v>
      </c>
      <c r="BJ50" s="1">
        <v>12625637</v>
      </c>
      <c r="BK50" s="1">
        <v>12597879</v>
      </c>
      <c r="BL50" s="1">
        <v>12572777</v>
      </c>
      <c r="BM50" s="1">
        <v>12550869</v>
      </c>
      <c r="BN50" s="1">
        <v>12525532</v>
      </c>
      <c r="BO50" s="1">
        <v>12500248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x14ac:dyDescent="0.2">
      <c r="A51" t="s">
        <v>50</v>
      </c>
      <c r="B51" s="1"/>
      <c r="C51" s="1"/>
      <c r="D51">
        <v>29121627</v>
      </c>
      <c r="E51">
        <v>29563020</v>
      </c>
      <c r="F51">
        <v>29553049</v>
      </c>
      <c r="G51">
        <v>29395919</v>
      </c>
      <c r="H51">
        <v>29207733</v>
      </c>
      <c r="I51">
        <v>28979379</v>
      </c>
      <c r="J51">
        <v>28744034</v>
      </c>
      <c r="K51">
        <v>28493228</v>
      </c>
      <c r="L51">
        <v>28254278</v>
      </c>
      <c r="M51">
        <v>28002825</v>
      </c>
      <c r="N51">
        <v>27775230</v>
      </c>
      <c r="O51" s="1">
        <v>27567689</v>
      </c>
      <c r="P51" s="1">
        <v>27357097</v>
      </c>
      <c r="Q51" s="1">
        <v>27190897</v>
      </c>
      <c r="R51" s="1">
        <v>27040059</v>
      </c>
      <c r="S51" s="1">
        <v>26890667</v>
      </c>
      <c r="T51" s="1">
        <v>26739234</v>
      </c>
      <c r="U51" s="1">
        <v>26613186</v>
      </c>
      <c r="V51" s="1">
        <v>26498434</v>
      </c>
      <c r="W51" s="1">
        <v>26387532</v>
      </c>
      <c r="X51" s="1">
        <v>26277065</v>
      </c>
      <c r="Y51" s="1">
        <v>26163545</v>
      </c>
      <c r="Z51" s="1">
        <v>26042793</v>
      </c>
      <c r="AA51" s="1">
        <v>25914095</v>
      </c>
      <c r="AB51" s="1">
        <v>25770685</v>
      </c>
      <c r="AC51" s="1">
        <v>25613903</v>
      </c>
      <c r="AD51" s="1">
        <v>25443255</v>
      </c>
      <c r="AE51" s="1">
        <v>25261132</v>
      </c>
      <c r="AF51" s="1">
        <v>25064127</v>
      </c>
      <c r="AG51" s="1">
        <v>24853870</v>
      </c>
      <c r="AH51" s="1">
        <v>24629510</v>
      </c>
      <c r="AI51" s="1">
        <v>24409646</v>
      </c>
      <c r="AJ51" s="1">
        <v>24190692</v>
      </c>
      <c r="AK51" s="1">
        <v>23962049</v>
      </c>
      <c r="AL51" s="1">
        <v>23733645</v>
      </c>
      <c r="AM51" s="1">
        <v>23516076</v>
      </c>
      <c r="AN51" s="1">
        <v>23277800</v>
      </c>
      <c r="AO51" s="1">
        <v>23024575</v>
      </c>
      <c r="AP51" s="1">
        <v>22785413</v>
      </c>
      <c r="AQ51" s="1">
        <v>22558881</v>
      </c>
      <c r="AR51" s="1">
        <v>22358165</v>
      </c>
      <c r="AS51" s="1">
        <v>22174143</v>
      </c>
      <c r="AT51" s="1">
        <v>21988423</v>
      </c>
      <c r="AU51" s="1">
        <v>21816467</v>
      </c>
      <c r="AV51" s="1">
        <v>21645839</v>
      </c>
      <c r="AW51" s="1">
        <v>21482672</v>
      </c>
      <c r="AX51" s="1">
        <v>21340231</v>
      </c>
      <c r="AY51" s="1">
        <v>21210689</v>
      </c>
      <c r="AZ51" s="1">
        <v>21095590</v>
      </c>
      <c r="BA51" s="1">
        <v>21002793</v>
      </c>
      <c r="BB51" s="1">
        <v>20918589</v>
      </c>
      <c r="BC51" s="1">
        <v>20847262</v>
      </c>
      <c r="BD51" s="1">
        <v>20790129</v>
      </c>
      <c r="BE51" s="1">
        <v>20741371</v>
      </c>
      <c r="BF51" s="1">
        <v>20693146</v>
      </c>
      <c r="BG51" s="1">
        <v>20650603</v>
      </c>
      <c r="BH51" s="1">
        <v>20618196</v>
      </c>
      <c r="BI51" s="1">
        <v>20588938</v>
      </c>
      <c r="BJ51" s="1">
        <v>20554751</v>
      </c>
      <c r="BK51" s="1">
        <v>20501839</v>
      </c>
      <c r="BL51" s="1">
        <v>20442669</v>
      </c>
      <c r="BM51" s="1">
        <v>20369862</v>
      </c>
      <c r="BN51" s="1">
        <v>20272100</v>
      </c>
      <c r="BO51" s="1">
        <v>20170390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x14ac:dyDescent="0.2">
      <c r="A52" t="s">
        <v>51</v>
      </c>
      <c r="B52" s="1"/>
      <c r="C52" s="1"/>
      <c r="D52">
        <v>7829943</v>
      </c>
      <c r="E52">
        <v>7851854</v>
      </c>
      <c r="F52">
        <v>7831374</v>
      </c>
      <c r="G52">
        <v>7798134</v>
      </c>
      <c r="H52">
        <v>7766042</v>
      </c>
      <c r="I52">
        <v>7727096</v>
      </c>
      <c r="J52">
        <v>7680432</v>
      </c>
      <c r="K52">
        <v>7632701</v>
      </c>
      <c r="L52">
        <v>7585263</v>
      </c>
      <c r="M52">
        <v>7537539</v>
      </c>
      <c r="N52">
        <v>7492784</v>
      </c>
      <c r="O52" s="1">
        <v>7442629</v>
      </c>
      <c r="P52" s="1">
        <v>7390921</v>
      </c>
      <c r="Q52" s="1">
        <v>7340021</v>
      </c>
      <c r="R52" s="1">
        <v>7286292</v>
      </c>
      <c r="S52" s="1">
        <v>7235789</v>
      </c>
      <c r="T52" s="1">
        <v>7186602</v>
      </c>
      <c r="U52" s="1">
        <v>7137588</v>
      </c>
      <c r="V52" s="1">
        <v>7085815</v>
      </c>
      <c r="W52" s="1">
        <v>7036172</v>
      </c>
      <c r="X52" s="1">
        <v>6987202</v>
      </c>
      <c r="Y52" s="1">
        <v>6939563</v>
      </c>
      <c r="Z52" s="1">
        <v>6892350</v>
      </c>
      <c r="AA52" s="1">
        <v>6845308</v>
      </c>
      <c r="AB52" s="1">
        <v>6797180</v>
      </c>
      <c r="AC52" s="1">
        <v>6744754</v>
      </c>
      <c r="AD52" s="1">
        <v>6692013</v>
      </c>
      <c r="AE52" s="1">
        <v>6639451</v>
      </c>
      <c r="AF52" s="1">
        <v>6583160</v>
      </c>
      <c r="AG52" s="1">
        <v>6524814</v>
      </c>
      <c r="AH52" s="1">
        <v>6465279</v>
      </c>
      <c r="AI52" s="1">
        <v>6409964</v>
      </c>
      <c r="AJ52" s="1">
        <v>6363720</v>
      </c>
      <c r="AK52" s="1">
        <v>6320942</v>
      </c>
      <c r="AL52" s="1">
        <v>6280195</v>
      </c>
      <c r="AM52" s="1">
        <v>6243750</v>
      </c>
      <c r="AN52" s="1">
        <v>6208361</v>
      </c>
      <c r="AO52" s="1">
        <v>6178019</v>
      </c>
      <c r="AP52" s="1">
        <v>6150357</v>
      </c>
      <c r="AQ52" s="1">
        <v>6130068</v>
      </c>
      <c r="AR52" s="1">
        <v>6112174</v>
      </c>
      <c r="AS52" s="1">
        <v>6095991</v>
      </c>
      <c r="AT52" s="1">
        <v>6078442</v>
      </c>
      <c r="AU52" s="1">
        <v>6063452</v>
      </c>
      <c r="AV52" s="1">
        <v>6048638</v>
      </c>
      <c r="AW52" s="1">
        <v>6032430</v>
      </c>
      <c r="AX52" s="1">
        <v>6017331</v>
      </c>
      <c r="AY52" s="1">
        <v>6002560</v>
      </c>
      <c r="AZ52" s="1">
        <v>5990654</v>
      </c>
      <c r="BA52" s="1">
        <v>5980069</v>
      </c>
      <c r="BB52" s="1">
        <v>5966477</v>
      </c>
      <c r="BC52" s="1">
        <v>5951965</v>
      </c>
      <c r="BD52" s="1">
        <v>5937181</v>
      </c>
      <c r="BE52" s="1">
        <v>5920194</v>
      </c>
      <c r="BF52" s="1">
        <v>5901463</v>
      </c>
      <c r="BG52" s="1">
        <v>5890563</v>
      </c>
      <c r="BH52" s="1">
        <v>5879061</v>
      </c>
      <c r="BI52" s="1">
        <v>5868907</v>
      </c>
      <c r="BJ52" s="1">
        <v>5861051</v>
      </c>
      <c r="BK52" s="1">
        <v>5853430</v>
      </c>
      <c r="BL52" s="1">
        <v>5848551</v>
      </c>
      <c r="BM52" s="1">
        <v>5846439</v>
      </c>
      <c r="BN52" s="1">
        <v>5842699</v>
      </c>
      <c r="BO52" s="1">
        <v>5842477</v>
      </c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x14ac:dyDescent="0.2">
      <c r="A53" t="s">
        <v>52</v>
      </c>
      <c r="B53" s="1"/>
      <c r="C53" s="1"/>
      <c r="D53">
        <v>14494238</v>
      </c>
      <c r="E53">
        <v>14481535</v>
      </c>
      <c r="F53">
        <v>14414808</v>
      </c>
      <c r="G53">
        <v>14298517</v>
      </c>
      <c r="H53">
        <v>14178409</v>
      </c>
      <c r="I53">
        <v>14049448</v>
      </c>
      <c r="J53">
        <v>13915163</v>
      </c>
      <c r="K53">
        <v>13780973</v>
      </c>
      <c r="L53">
        <v>13644927</v>
      </c>
      <c r="M53">
        <v>13497371</v>
      </c>
      <c r="N53">
        <v>13368083</v>
      </c>
      <c r="O53" s="1">
        <v>13263494</v>
      </c>
      <c r="P53" s="1">
        <v>13166773</v>
      </c>
      <c r="Q53" s="1">
        <v>13077744</v>
      </c>
      <c r="R53" s="1">
        <v>12991140</v>
      </c>
      <c r="S53" s="1">
        <v>12903416</v>
      </c>
      <c r="T53" s="1">
        <v>12831929</v>
      </c>
      <c r="U53" s="1">
        <v>12769679</v>
      </c>
      <c r="V53" s="1">
        <v>12712210</v>
      </c>
      <c r="W53" s="1">
        <v>12655134</v>
      </c>
      <c r="X53" s="1">
        <v>12601931</v>
      </c>
      <c r="Y53" s="1">
        <v>12435042</v>
      </c>
      <c r="Z53" s="1">
        <v>12255570</v>
      </c>
      <c r="AA53" s="1">
        <v>12109756</v>
      </c>
      <c r="AB53" s="1">
        <v>11986486</v>
      </c>
      <c r="AC53" s="1">
        <v>11876049</v>
      </c>
      <c r="AD53" s="1">
        <v>11771509</v>
      </c>
      <c r="AE53" s="1">
        <v>11675357</v>
      </c>
      <c r="AF53" s="1">
        <v>11558729</v>
      </c>
      <c r="AG53" s="1">
        <v>11450265</v>
      </c>
      <c r="AH53" s="1">
        <v>11345651</v>
      </c>
      <c r="AI53" s="1">
        <v>11241140</v>
      </c>
      <c r="AJ53" s="1">
        <v>11145145</v>
      </c>
      <c r="AK53" s="1">
        <v>11053267</v>
      </c>
      <c r="AL53" s="1">
        <v>10966158</v>
      </c>
      <c r="AM53" s="1">
        <v>10887737</v>
      </c>
      <c r="AN53" s="1">
        <v>10827477</v>
      </c>
      <c r="AO53" s="1">
        <v>10781883</v>
      </c>
      <c r="AP53" s="1">
        <v>10721563</v>
      </c>
      <c r="AQ53" s="1">
        <v>10654206</v>
      </c>
      <c r="AR53" s="1">
        <v>10581093</v>
      </c>
      <c r="AS53" s="1">
        <v>10502280</v>
      </c>
      <c r="AT53" s="1">
        <v>10423385</v>
      </c>
      <c r="AU53" s="1">
        <v>10351124</v>
      </c>
      <c r="AV53" s="1">
        <v>10298465</v>
      </c>
      <c r="AW53" s="1">
        <v>10267847</v>
      </c>
      <c r="AX53" s="1">
        <v>10239198</v>
      </c>
      <c r="AY53" s="1">
        <v>10218776</v>
      </c>
      <c r="AZ53" s="1">
        <v>10199772</v>
      </c>
      <c r="BA53" s="1">
        <v>10186580</v>
      </c>
      <c r="BB53" s="1">
        <v>10175626</v>
      </c>
      <c r="BC53" s="1">
        <v>10162645</v>
      </c>
      <c r="BD53" s="1">
        <v>10148679</v>
      </c>
      <c r="BE53" s="1">
        <v>10137250</v>
      </c>
      <c r="BF53" s="1">
        <v>10125823</v>
      </c>
      <c r="BG53" s="1">
        <v>10121063</v>
      </c>
      <c r="BH53" s="1">
        <v>10118212</v>
      </c>
      <c r="BI53" s="1">
        <v>10101025</v>
      </c>
      <c r="BJ53" s="1">
        <v>10078793</v>
      </c>
      <c r="BK53" s="1">
        <v>10050465</v>
      </c>
      <c r="BL53" s="1">
        <v>10024262</v>
      </c>
      <c r="BM53" s="1">
        <v>9998218</v>
      </c>
      <c r="BN53" s="1">
        <v>9965683</v>
      </c>
      <c r="BO53" s="1">
        <v>9930945</v>
      </c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x14ac:dyDescent="0.2">
      <c r="A54" t="s">
        <v>53</v>
      </c>
      <c r="B54" s="1"/>
      <c r="C54" s="1"/>
      <c r="D54">
        <v>7570793</v>
      </c>
      <c r="E54">
        <v>7633811</v>
      </c>
      <c r="F54">
        <v>7673724</v>
      </c>
      <c r="G54">
        <v>7710988</v>
      </c>
      <c r="H54">
        <v>7757035</v>
      </c>
      <c r="I54">
        <v>7804107</v>
      </c>
      <c r="J54">
        <v>7852591</v>
      </c>
      <c r="K54">
        <v>7900079</v>
      </c>
      <c r="L54">
        <v>7951232</v>
      </c>
      <c r="M54">
        <v>7999417</v>
      </c>
      <c r="N54">
        <v>8048282</v>
      </c>
      <c r="O54" s="1">
        <v>8093296</v>
      </c>
      <c r="P54" s="1">
        <v>8138448</v>
      </c>
      <c r="Q54" s="1">
        <v>8182934</v>
      </c>
      <c r="R54" s="1">
        <v>8225316</v>
      </c>
      <c r="S54" s="1">
        <v>8267111</v>
      </c>
      <c r="T54" s="1">
        <v>8295318</v>
      </c>
      <c r="U54" s="1">
        <v>8328275</v>
      </c>
      <c r="V54" s="1">
        <v>8352846</v>
      </c>
      <c r="W54" s="1">
        <v>8375868</v>
      </c>
      <c r="X54" s="1">
        <v>8398027</v>
      </c>
      <c r="Y54" s="1">
        <v>8419824</v>
      </c>
      <c r="Z54" s="1">
        <v>8445553</v>
      </c>
      <c r="AA54" s="1">
        <v>8474585</v>
      </c>
      <c r="AB54" s="1">
        <v>8500614</v>
      </c>
      <c r="AC54" s="1">
        <v>8523042</v>
      </c>
      <c r="AD54" s="1">
        <v>8544409</v>
      </c>
      <c r="AE54" s="1">
        <v>8567408</v>
      </c>
      <c r="AF54" s="1">
        <v>8588146</v>
      </c>
      <c r="AG54" s="1">
        <v>8613749</v>
      </c>
      <c r="AH54" s="1">
        <v>8643303</v>
      </c>
      <c r="AI54" s="1">
        <v>8673830</v>
      </c>
      <c r="AJ54" s="1">
        <v>8705779</v>
      </c>
      <c r="AK54" s="1">
        <v>8734509</v>
      </c>
      <c r="AL54" s="1">
        <v>8760019</v>
      </c>
      <c r="AM54" s="1">
        <v>8788808</v>
      </c>
      <c r="AN54" s="1">
        <v>8815017</v>
      </c>
      <c r="AO54" s="1">
        <v>8840571</v>
      </c>
      <c r="AP54" s="1">
        <v>8862523</v>
      </c>
      <c r="AQ54" s="1">
        <v>8879168</v>
      </c>
      <c r="AR54" s="1">
        <v>8892346</v>
      </c>
      <c r="AS54" s="1">
        <v>8902561</v>
      </c>
      <c r="AT54" s="1">
        <v>8904952</v>
      </c>
      <c r="AU54" s="1">
        <v>8903968</v>
      </c>
      <c r="AV54" s="1">
        <v>8895610</v>
      </c>
      <c r="AW54" s="1">
        <v>8887987</v>
      </c>
      <c r="AX54" s="1">
        <v>8881667</v>
      </c>
      <c r="AY54" s="1">
        <v>8879109</v>
      </c>
      <c r="AZ54" s="1">
        <v>8879640</v>
      </c>
      <c r="BA54" s="1">
        <v>8886771</v>
      </c>
      <c r="BB54" s="1">
        <v>8900072</v>
      </c>
      <c r="BC54" s="1">
        <v>8916392</v>
      </c>
      <c r="BD54" s="1">
        <v>8930259</v>
      </c>
      <c r="BE54" s="1">
        <v>8939911</v>
      </c>
      <c r="BF54" s="1">
        <v>8952255</v>
      </c>
      <c r="BG54" s="1">
        <v>8965222</v>
      </c>
      <c r="BH54" s="1">
        <v>8974062</v>
      </c>
      <c r="BI54" s="1">
        <v>8979614</v>
      </c>
      <c r="BJ54" s="1">
        <v>8982608</v>
      </c>
      <c r="BK54" s="1">
        <v>8983741</v>
      </c>
      <c r="BL54" s="1">
        <v>8980729</v>
      </c>
      <c r="BM54" s="1">
        <v>8976105</v>
      </c>
      <c r="BN54" s="1">
        <v>8969268</v>
      </c>
      <c r="BO54" s="1">
        <v>8960876</v>
      </c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ht="12.75" customHeight="1" x14ac:dyDescent="0.2">
      <c r="A55" t="s">
        <v>54</v>
      </c>
      <c r="B55" s="1"/>
      <c r="C55" s="1"/>
      <c r="D55">
        <v>1595436</v>
      </c>
      <c r="E55">
        <v>1600418</v>
      </c>
      <c r="F55">
        <v>1602330</v>
      </c>
      <c r="G55">
        <v>1601755</v>
      </c>
      <c r="H55">
        <v>1599886</v>
      </c>
      <c r="I55">
        <v>1597865</v>
      </c>
      <c r="J55">
        <v>1594918</v>
      </c>
      <c r="K55">
        <v>1590728</v>
      </c>
      <c r="L55">
        <v>1586885</v>
      </c>
      <c r="M55">
        <v>1582268</v>
      </c>
      <c r="N55">
        <v>1577380</v>
      </c>
      <c r="O55" s="1">
        <v>1573096</v>
      </c>
      <c r="P55" s="1">
        <v>1568599</v>
      </c>
      <c r="Q55" s="1">
        <v>1564010</v>
      </c>
      <c r="R55" s="1">
        <v>1558507</v>
      </c>
      <c r="S55" s="1">
        <v>1552823</v>
      </c>
      <c r="T55" s="1">
        <v>1545975</v>
      </c>
      <c r="U55" s="1">
        <v>1539423</v>
      </c>
      <c r="V55" s="1">
        <v>1532554</v>
      </c>
      <c r="W55" s="1">
        <v>1524674</v>
      </c>
      <c r="X55" s="1">
        <v>1516676</v>
      </c>
      <c r="Y55" s="1">
        <v>1509410</v>
      </c>
      <c r="Z55" s="1">
        <v>1502913</v>
      </c>
      <c r="AA55" s="1">
        <v>1496923</v>
      </c>
      <c r="AB55" s="1">
        <v>1491490</v>
      </c>
      <c r="AC55" s="1">
        <v>1485190</v>
      </c>
      <c r="AD55" s="1">
        <v>1478276</v>
      </c>
      <c r="AE55" s="1">
        <v>1471148</v>
      </c>
      <c r="AF55" s="1">
        <v>1464200</v>
      </c>
      <c r="AG55" s="1">
        <v>1456692</v>
      </c>
      <c r="AH55" s="1">
        <v>1448482</v>
      </c>
      <c r="AI55" s="1">
        <v>1441035</v>
      </c>
      <c r="AJ55" s="1">
        <v>1433435</v>
      </c>
      <c r="AK55" s="1">
        <v>1425569</v>
      </c>
      <c r="AL55" s="1">
        <v>1417896</v>
      </c>
      <c r="AM55" s="1">
        <v>1410870</v>
      </c>
      <c r="AN55" s="1">
        <v>1404582</v>
      </c>
      <c r="AO55" s="1">
        <v>1399125</v>
      </c>
      <c r="AP55" s="1">
        <v>1393961</v>
      </c>
      <c r="AQ55" s="1">
        <v>1389069</v>
      </c>
      <c r="AR55" s="1">
        <v>1385011</v>
      </c>
      <c r="AS55" s="1">
        <v>1380217</v>
      </c>
      <c r="AT55" s="1">
        <v>1375462</v>
      </c>
      <c r="AU55" s="1">
        <v>1372314</v>
      </c>
      <c r="AV55" s="1">
        <v>1369731</v>
      </c>
      <c r="AW55" s="1">
        <v>1367267</v>
      </c>
      <c r="AX55" s="1">
        <v>1365840</v>
      </c>
      <c r="AY55" s="1">
        <v>1364246</v>
      </c>
      <c r="AZ55" s="1">
        <v>1362522</v>
      </c>
      <c r="BA55" s="1">
        <v>1360836</v>
      </c>
      <c r="BB55" s="1">
        <v>1358842</v>
      </c>
      <c r="BC55" s="1">
        <v>1357180</v>
      </c>
      <c r="BD55" s="1">
        <v>1356018</v>
      </c>
      <c r="BE55" s="1">
        <v>1355028</v>
      </c>
      <c r="BF55" s="1">
        <v>1353301</v>
      </c>
      <c r="BG55" s="1">
        <v>1352240</v>
      </c>
      <c r="BH55" s="1">
        <v>1351281</v>
      </c>
      <c r="BI55" s="1">
        <v>1350491</v>
      </c>
      <c r="BJ55" s="1">
        <v>1349053</v>
      </c>
      <c r="BK55" s="1">
        <v>1347356</v>
      </c>
      <c r="BL55" s="1">
        <v>1344925</v>
      </c>
      <c r="BM55" s="1">
        <v>1341665</v>
      </c>
      <c r="BN55" s="1">
        <v>1336804</v>
      </c>
      <c r="BO55" s="1">
        <v>1332169</v>
      </c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x14ac:dyDescent="0.2">
      <c r="A56" t="s">
        <v>55</v>
      </c>
      <c r="B56" s="1"/>
      <c r="C56" s="1"/>
      <c r="D56">
        <v>4218091</v>
      </c>
      <c r="E56">
        <v>4264815</v>
      </c>
      <c r="F56">
        <v>4259330</v>
      </c>
      <c r="G56">
        <v>4239336</v>
      </c>
      <c r="H56">
        <v>4215643</v>
      </c>
      <c r="I56">
        <v>4189810</v>
      </c>
      <c r="J56">
        <v>4164780</v>
      </c>
      <c r="K56">
        <v>4140109</v>
      </c>
      <c r="L56">
        <v>4115676</v>
      </c>
      <c r="M56">
        <v>4091261</v>
      </c>
      <c r="N56">
        <v>4068800</v>
      </c>
      <c r="O56" s="1">
        <v>4048402</v>
      </c>
      <c r="P56" s="1">
        <v>4029007</v>
      </c>
      <c r="Q56" s="1">
        <v>4015337</v>
      </c>
      <c r="R56" s="1">
        <v>4000053</v>
      </c>
      <c r="S56" s="1">
        <v>3985166</v>
      </c>
      <c r="T56" s="1">
        <v>3969440</v>
      </c>
      <c r="U56" s="1">
        <v>3951883</v>
      </c>
      <c r="V56" s="1">
        <v>3933635</v>
      </c>
      <c r="W56" s="1">
        <v>3916324</v>
      </c>
      <c r="X56" s="1">
        <v>3899488</v>
      </c>
      <c r="Y56" s="1">
        <v>3883865</v>
      </c>
      <c r="Z56" s="1">
        <v>3867781</v>
      </c>
      <c r="AA56" s="1">
        <v>3848699</v>
      </c>
      <c r="AB56" s="1">
        <v>3827783</v>
      </c>
      <c r="AC56" s="1">
        <v>3804381</v>
      </c>
      <c r="AD56" s="1">
        <v>3777368</v>
      </c>
      <c r="AE56" s="1">
        <v>3746620</v>
      </c>
      <c r="AF56" s="1">
        <v>3712962</v>
      </c>
      <c r="AG56" s="1">
        <v>3679577</v>
      </c>
      <c r="AH56" s="1">
        <v>3645041</v>
      </c>
      <c r="AI56" s="1">
        <v>3610714</v>
      </c>
      <c r="AJ56" s="1">
        <v>3576708</v>
      </c>
      <c r="AK56" s="1">
        <v>3542716</v>
      </c>
      <c r="AL56" s="1">
        <v>3512747</v>
      </c>
      <c r="AM56" s="1">
        <v>3484148</v>
      </c>
      <c r="AN56" s="1">
        <v>3455652</v>
      </c>
      <c r="AO56" s="1">
        <v>3427654</v>
      </c>
      <c r="AP56" s="1">
        <v>3399771</v>
      </c>
      <c r="AQ56" s="1">
        <v>3371873</v>
      </c>
      <c r="AR56" s="1">
        <v>3346242</v>
      </c>
      <c r="AS56" s="1">
        <v>3322576</v>
      </c>
      <c r="AT56" s="1">
        <v>3298549</v>
      </c>
      <c r="AU56" s="1">
        <v>3277171</v>
      </c>
      <c r="AV56" s="1">
        <v>3255575</v>
      </c>
      <c r="AW56" s="1">
        <v>3234588</v>
      </c>
      <c r="AX56" s="1">
        <v>3216286</v>
      </c>
      <c r="AY56" s="1">
        <v>3198779</v>
      </c>
      <c r="AZ56" s="1">
        <v>3186405</v>
      </c>
      <c r="BA56" s="1">
        <v>3177789</v>
      </c>
      <c r="BB56" s="1">
        <v>3169899</v>
      </c>
      <c r="BC56" s="1">
        <v>3162478</v>
      </c>
      <c r="BD56" s="1">
        <v>3156164</v>
      </c>
      <c r="BE56" s="1">
        <v>3150653</v>
      </c>
      <c r="BF56" s="1">
        <v>3145606</v>
      </c>
      <c r="BG56" s="1">
        <v>3143232</v>
      </c>
      <c r="BH56" s="1">
        <v>3141317</v>
      </c>
      <c r="BI56" s="1">
        <v>3138440</v>
      </c>
      <c r="BJ56" s="1">
        <v>3133891</v>
      </c>
      <c r="BK56" s="1">
        <v>3128022</v>
      </c>
      <c r="BL56" s="1">
        <v>3123053</v>
      </c>
      <c r="BM56" s="1">
        <v>3117774</v>
      </c>
      <c r="BN56" s="1">
        <v>3110075</v>
      </c>
      <c r="BO56" s="1">
        <v>3100692</v>
      </c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s="3" customFormat="1" x14ac:dyDescent="0.2">
      <c r="A57" s="3" t="s">
        <v>56</v>
      </c>
      <c r="B57" s="4"/>
      <c r="C57" s="4"/>
      <c r="D57" s="4"/>
      <c r="E57" s="4">
        <v>50565232</v>
      </c>
      <c r="F57" s="4">
        <v>51090144</v>
      </c>
      <c r="G57" s="4">
        <v>51581523</v>
      </c>
      <c r="H57" s="4">
        <v>52040728.999999993</v>
      </c>
      <c r="I57" s="4">
        <v>52445289.000000007</v>
      </c>
      <c r="J57" s="4">
        <v>52754389</v>
      </c>
      <c r="K57" s="4">
        <v>53039068</v>
      </c>
      <c r="L57" s="4">
        <v>53324746.999999993</v>
      </c>
      <c r="M57" s="4">
        <v>53596510</v>
      </c>
      <c r="N57" s="4">
        <v>53827042</v>
      </c>
      <c r="O57" s="4">
        <v>54018784</v>
      </c>
      <c r="P57" s="4">
        <v>54186018</v>
      </c>
      <c r="Q57" s="4">
        <v>54328715.999999993</v>
      </c>
      <c r="R57" s="4">
        <v>54421856</v>
      </c>
      <c r="S57" s="4">
        <v>54506185</v>
      </c>
      <c r="T57" s="4">
        <v>54545054</v>
      </c>
      <c r="U57" s="4">
        <v>54615000</v>
      </c>
      <c r="V57" s="4">
        <v>54684507</v>
      </c>
      <c r="W57" s="4">
        <v>54764175</v>
      </c>
      <c r="X57" s="4">
        <v>54845229.999999993</v>
      </c>
      <c r="Y57" s="4">
        <v>54934202.000000007</v>
      </c>
      <c r="Z57" s="4">
        <v>55024561</v>
      </c>
      <c r="AA57" s="4">
        <v>55134852.999999993</v>
      </c>
      <c r="AB57" s="4">
        <v>55228240.000000007</v>
      </c>
      <c r="AC57" s="4">
        <v>55351148</v>
      </c>
      <c r="AD57" s="4">
        <v>55503102</v>
      </c>
      <c r="AE57" s="4">
        <v>55683092</v>
      </c>
      <c r="AF57" s="4">
        <v>55871935</v>
      </c>
      <c r="AG57" s="4">
        <v>56074297.000000007</v>
      </c>
      <c r="AH57" s="4">
        <v>56293362</v>
      </c>
      <c r="AI57" s="4">
        <v>56501360</v>
      </c>
      <c r="AJ57" s="4">
        <v>56661375</v>
      </c>
      <c r="AK57" s="4">
        <v>56792094</v>
      </c>
      <c r="AL57" s="4">
        <v>56925054.999999993</v>
      </c>
      <c r="AM57" s="4">
        <v>57063460.000000007</v>
      </c>
      <c r="AN57" s="4">
        <v>57196732</v>
      </c>
      <c r="AO57" s="4">
        <v>57327396</v>
      </c>
      <c r="AP57" s="4">
        <v>57428524.000000007</v>
      </c>
      <c r="AQ57" s="4">
        <v>57518560.000000007</v>
      </c>
      <c r="AR57" s="4">
        <v>57593288</v>
      </c>
      <c r="AS57" s="4">
        <v>57640247</v>
      </c>
      <c r="AT57" s="4">
        <v>57685379</v>
      </c>
      <c r="AU57" s="4">
        <v>57713946</v>
      </c>
      <c r="AV57" s="4">
        <v>57727447</v>
      </c>
      <c r="AW57" s="4">
        <v>57738973</v>
      </c>
      <c r="AX57" s="4">
        <v>57763265.999999993</v>
      </c>
      <c r="AY57" s="4">
        <v>57779224</v>
      </c>
      <c r="AZ57" s="4">
        <v>57805200.000000007</v>
      </c>
      <c r="BA57" s="4">
        <v>57834642</v>
      </c>
      <c r="BB57" s="4">
        <v>57848881</v>
      </c>
      <c r="BC57" s="4">
        <v>57869694</v>
      </c>
      <c r="BD57" s="4">
        <v>57886165</v>
      </c>
      <c r="BE57" s="4">
        <v>57916447.000000007</v>
      </c>
      <c r="BF57" s="4">
        <v>57948229.999999993</v>
      </c>
      <c r="BG57" s="4">
        <v>57975547.999999993</v>
      </c>
      <c r="BH57" s="4">
        <v>57998141.999999993</v>
      </c>
      <c r="BI57" s="4">
        <v>58012651</v>
      </c>
      <c r="BJ57" s="4">
        <v>58028234</v>
      </c>
      <c r="BK57" s="4">
        <v>58047278.999999993</v>
      </c>
      <c r="BL57" s="4">
        <v>58055601</v>
      </c>
      <c r="BM57" s="4">
        <v>58038952.000000007</v>
      </c>
      <c r="BN57" s="4">
        <v>58029583.000000007</v>
      </c>
      <c r="BO57" s="4">
        <v>58017252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</row>
    <row r="58" spans="1:82" s="5" customFormat="1" x14ac:dyDescent="0.2">
      <c r="A58" s="5" t="s">
        <v>124</v>
      </c>
      <c r="B58" s="6"/>
      <c r="C58" s="6"/>
      <c r="D58" s="6">
        <v>333287557</v>
      </c>
      <c r="E58" s="6">
        <v>334906305</v>
      </c>
      <c r="F58" s="6">
        <v>336482168</v>
      </c>
      <c r="G58" s="6">
        <v>338016259</v>
      </c>
      <c r="H58" s="6">
        <v>339513045</v>
      </c>
      <c r="I58" s="6">
        <v>340970496</v>
      </c>
      <c r="J58" s="6">
        <v>342384777</v>
      </c>
      <c r="K58" s="6">
        <v>343753791</v>
      </c>
      <c r="L58" s="6">
        <v>345073565</v>
      </c>
      <c r="M58" s="6">
        <v>346339264</v>
      </c>
      <c r="N58" s="6">
        <v>347545098</v>
      </c>
      <c r="O58" s="6">
        <v>348701812</v>
      </c>
      <c r="P58" s="6">
        <v>349807647</v>
      </c>
      <c r="Q58" s="6">
        <v>350861084</v>
      </c>
      <c r="R58" s="6">
        <v>351860944</v>
      </c>
      <c r="S58" s="6">
        <v>352806047</v>
      </c>
      <c r="T58" s="6">
        <v>353695674</v>
      </c>
      <c r="U58" s="6">
        <v>354529853</v>
      </c>
      <c r="V58" s="6">
        <v>355309062</v>
      </c>
      <c r="W58" s="6">
        <v>356033543</v>
      </c>
      <c r="X58" s="6">
        <v>356705435</v>
      </c>
      <c r="Y58" s="6">
        <v>357327409</v>
      </c>
      <c r="Z58" s="6">
        <v>357903394</v>
      </c>
      <c r="AA58" s="6">
        <v>358437973</v>
      </c>
      <c r="AB58" s="6">
        <v>358935938</v>
      </c>
      <c r="AC58" s="6">
        <v>359400325</v>
      </c>
      <c r="AD58" s="6">
        <v>359835763</v>
      </c>
      <c r="AE58" s="6">
        <v>360246998</v>
      </c>
      <c r="AF58" s="6">
        <v>360638734</v>
      </c>
      <c r="AG58" s="6">
        <v>361015337</v>
      </c>
      <c r="AH58" s="6">
        <v>361380913</v>
      </c>
      <c r="AI58" s="6">
        <v>361739492</v>
      </c>
      <c r="AJ58" s="6">
        <v>362094696</v>
      </c>
      <c r="AK58" s="6">
        <v>362449657</v>
      </c>
      <c r="AL58" s="6">
        <v>362807020</v>
      </c>
      <c r="AM58" s="6">
        <v>363168681</v>
      </c>
      <c r="AN58" s="6">
        <v>363535845</v>
      </c>
      <c r="AO58" s="6">
        <v>363908874</v>
      </c>
      <c r="AP58" s="6">
        <v>364287256</v>
      </c>
      <c r="AQ58" s="6">
        <v>364670485</v>
      </c>
      <c r="AR58" s="6">
        <v>365056681</v>
      </c>
      <c r="AS58" s="6">
        <v>365443472</v>
      </c>
      <c r="AT58" s="6">
        <v>365828051</v>
      </c>
      <c r="AU58" s="6">
        <v>366207441</v>
      </c>
      <c r="AV58" s="6">
        <v>366578659</v>
      </c>
      <c r="AW58" s="6">
        <v>366938404</v>
      </c>
      <c r="AX58" s="6">
        <v>367283143</v>
      </c>
      <c r="AY58" s="6">
        <v>367609110</v>
      </c>
      <c r="AZ58" s="6">
        <v>367912529</v>
      </c>
      <c r="BA58" s="6">
        <v>368190295</v>
      </c>
      <c r="BB58" s="6">
        <v>368440720</v>
      </c>
      <c r="BC58" s="6">
        <v>368662821</v>
      </c>
      <c r="BD58" s="6">
        <v>368855708</v>
      </c>
      <c r="BE58" s="6">
        <v>369018330</v>
      </c>
      <c r="BF58" s="6">
        <v>369150061</v>
      </c>
      <c r="BG58" s="6">
        <v>369250247</v>
      </c>
      <c r="BH58" s="6">
        <v>369318787</v>
      </c>
      <c r="BI58" s="6">
        <v>369356023</v>
      </c>
      <c r="BJ58" s="6">
        <v>369362531</v>
      </c>
      <c r="BK58" s="6">
        <v>369339625</v>
      </c>
      <c r="BL58" s="6">
        <v>369289076</v>
      </c>
      <c r="BM58" s="6">
        <v>369213005</v>
      </c>
      <c r="BN58" s="6">
        <v>369113662</v>
      </c>
      <c r="BO58" s="6">
        <v>368992800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spans="1:82" s="5" customFormat="1" x14ac:dyDescent="0.2">
      <c r="A59" s="5" t="s">
        <v>125</v>
      </c>
      <c r="B59" s="6"/>
      <c r="C59" s="6"/>
      <c r="D59" s="6">
        <v>249843757</v>
      </c>
      <c r="E59" s="6">
        <v>250897599</v>
      </c>
      <c r="F59" s="6">
        <v>251802668</v>
      </c>
      <c r="G59" s="6">
        <v>252615050</v>
      </c>
      <c r="H59" s="6">
        <v>253281965</v>
      </c>
      <c r="I59" s="6">
        <v>253832033</v>
      </c>
      <c r="J59" s="6">
        <v>254328551</v>
      </c>
      <c r="K59" s="6">
        <v>254773384</v>
      </c>
      <c r="L59" s="6">
        <v>255179717</v>
      </c>
      <c r="M59" s="6">
        <v>255535040</v>
      </c>
      <c r="N59" s="6">
        <v>255693830</v>
      </c>
      <c r="O59" s="6">
        <v>255780115</v>
      </c>
      <c r="P59" s="6">
        <v>255813715</v>
      </c>
      <c r="Q59" s="6">
        <v>255792929</v>
      </c>
      <c r="R59" s="6">
        <v>255663572</v>
      </c>
      <c r="S59" s="6">
        <v>255674341</v>
      </c>
      <c r="T59" s="6">
        <v>255702030</v>
      </c>
      <c r="U59" s="6">
        <v>255775146</v>
      </c>
      <c r="V59" s="6">
        <v>255966573</v>
      </c>
      <c r="W59" s="6">
        <v>256315339</v>
      </c>
      <c r="X59" s="6">
        <v>256737012</v>
      </c>
      <c r="Y59" s="6">
        <v>257195478</v>
      </c>
      <c r="Z59" s="6">
        <v>257607729</v>
      </c>
      <c r="AA59" s="6">
        <v>257920825</v>
      </c>
      <c r="AB59" s="6">
        <v>258206100</v>
      </c>
      <c r="AC59" s="6">
        <v>258698158</v>
      </c>
      <c r="AD59" s="6">
        <v>259346509</v>
      </c>
      <c r="AE59" s="6">
        <v>260038055</v>
      </c>
      <c r="AF59" s="6">
        <v>260673802</v>
      </c>
      <c r="AG59" s="6">
        <v>261340291</v>
      </c>
      <c r="AH59" s="6">
        <v>261894052</v>
      </c>
      <c r="AI59" s="6">
        <v>262397703</v>
      </c>
      <c r="AJ59" s="6">
        <v>262816150</v>
      </c>
      <c r="AK59" s="6">
        <v>263085591</v>
      </c>
      <c r="AL59" s="6">
        <v>263321737</v>
      </c>
      <c r="AM59" s="6">
        <v>263491920</v>
      </c>
      <c r="AN59" s="6">
        <v>263635299</v>
      </c>
      <c r="AO59" s="6">
        <v>263803043</v>
      </c>
      <c r="AP59" s="6">
        <v>263872762</v>
      </c>
      <c r="AQ59" s="6">
        <v>263913821</v>
      </c>
      <c r="AR59" s="6">
        <v>263932075</v>
      </c>
      <c r="AS59" s="6">
        <v>263880684</v>
      </c>
      <c r="AT59" s="6">
        <v>263735725</v>
      </c>
      <c r="AU59" s="6">
        <v>263457478</v>
      </c>
      <c r="AV59" s="6">
        <v>263159632</v>
      </c>
      <c r="AW59" s="6">
        <v>262882704</v>
      </c>
      <c r="AX59" s="6">
        <v>262652006</v>
      </c>
      <c r="AY59" s="6">
        <v>262440431</v>
      </c>
      <c r="AZ59" s="6">
        <v>262260834</v>
      </c>
      <c r="BA59" s="6">
        <v>262100534</v>
      </c>
      <c r="BB59" s="6">
        <v>261912265</v>
      </c>
      <c r="BC59" s="6">
        <v>261654911</v>
      </c>
      <c r="BD59" s="6">
        <v>261300158</v>
      </c>
      <c r="BE59" s="6">
        <v>260780136</v>
      </c>
      <c r="BF59" s="6">
        <v>260189275</v>
      </c>
      <c r="BG59" s="6">
        <v>259799659</v>
      </c>
      <c r="BH59" s="6">
        <v>259498174</v>
      </c>
      <c r="BI59" s="6">
        <v>259145701</v>
      </c>
      <c r="BJ59" s="6">
        <v>258796966</v>
      </c>
      <c r="BK59" s="6">
        <v>258395555</v>
      </c>
      <c r="BL59" s="6">
        <v>257915286</v>
      </c>
      <c r="BM59" s="6">
        <v>257408837</v>
      </c>
      <c r="BN59" s="6">
        <v>257013044</v>
      </c>
      <c r="BO59" s="6">
        <v>256667544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O59"/>
  <sheetViews>
    <sheetView zoomScale="70" zoomScaleNormal="70" workbookViewId="0">
      <selection activeCell="D2" sqref="D2"/>
    </sheetView>
  </sheetViews>
  <sheetFormatPr defaultRowHeight="14.25" x14ac:dyDescent="0.2"/>
  <cols>
    <col min="1" max="1" width="11.375" bestFit="1" customWidth="1"/>
    <col min="2" max="66" width="13" bestFit="1" customWidth="1"/>
    <col min="67" max="67" width="12.5" bestFit="1" customWidth="1"/>
  </cols>
  <sheetData>
    <row r="1" spans="1:67" x14ac:dyDescent="0.2">
      <c r="A1" t="str">
        <f>popproj!A1</f>
        <v>date</v>
      </c>
      <c r="B1" t="str">
        <f>popproj!B1</f>
        <v>2020</v>
      </c>
      <c r="C1" t="str">
        <f>popproj!C1</f>
        <v>2021</v>
      </c>
      <c r="D1" t="str">
        <f>popproj!D1</f>
        <v>2022</v>
      </c>
      <c r="E1" t="str">
        <f>popproj!E1</f>
        <v>2023</v>
      </c>
      <c r="F1" t="str">
        <f>popproj!F1</f>
        <v>2024</v>
      </c>
      <c r="G1" t="str">
        <f>popproj!G1</f>
        <v>2025</v>
      </c>
      <c r="H1" t="str">
        <f>popproj!H1</f>
        <v>2026</v>
      </c>
      <c r="I1" t="str">
        <f>popproj!I1</f>
        <v>2027</v>
      </c>
      <c r="J1" t="str">
        <f>popproj!J1</f>
        <v>2028</v>
      </c>
      <c r="K1" t="str">
        <f>popproj!K1</f>
        <v>2029</v>
      </c>
      <c r="L1" t="str">
        <f>popproj!L1</f>
        <v>2030</v>
      </c>
      <c r="M1" t="str">
        <f>popproj!M1</f>
        <v>2031</v>
      </c>
      <c r="N1" t="str">
        <f>popproj!N1</f>
        <v>2032</v>
      </c>
      <c r="O1" t="str">
        <f>popproj!O1</f>
        <v>2033</v>
      </c>
      <c r="P1" t="str">
        <f>popproj!P1</f>
        <v>2034</v>
      </c>
      <c r="Q1" t="str">
        <f>popproj!Q1</f>
        <v>2035</v>
      </c>
      <c r="R1" t="str">
        <f>popproj!R1</f>
        <v>2036</v>
      </c>
      <c r="S1" t="str">
        <f>popproj!S1</f>
        <v>2037</v>
      </c>
      <c r="T1" t="str">
        <f>popproj!T1</f>
        <v>2038</v>
      </c>
      <c r="U1" t="str">
        <f>popproj!U1</f>
        <v>2039</v>
      </c>
      <c r="V1" t="str">
        <f>popproj!V1</f>
        <v>2040</v>
      </c>
      <c r="W1" t="str">
        <f>popproj!W1</f>
        <v>2041</v>
      </c>
      <c r="X1" t="str">
        <f>popproj!X1</f>
        <v>2042</v>
      </c>
      <c r="Y1" t="str">
        <f>popproj!Y1</f>
        <v>2043</v>
      </c>
      <c r="Z1" t="str">
        <f>popproj!Z1</f>
        <v>2044</v>
      </c>
      <c r="AA1" t="str">
        <f>popproj!AA1</f>
        <v>2045</v>
      </c>
      <c r="AB1" t="str">
        <f>popproj!AB1</f>
        <v>2046</v>
      </c>
      <c r="AC1" t="str">
        <f>popproj!AC1</f>
        <v>2047</v>
      </c>
      <c r="AD1" t="str">
        <f>popproj!AD1</f>
        <v>2048</v>
      </c>
      <c r="AE1" t="str">
        <f>popproj!AE1</f>
        <v>2049</v>
      </c>
      <c r="AF1" t="str">
        <f>popproj!AF1</f>
        <v>2050</v>
      </c>
      <c r="AG1">
        <f>popproj!AG1</f>
        <v>0</v>
      </c>
      <c r="AH1">
        <f>popproj!AH1</f>
        <v>0</v>
      </c>
      <c r="AI1">
        <f>popproj!AI1</f>
        <v>0</v>
      </c>
      <c r="AJ1">
        <f>popproj!AJ1</f>
        <v>0</v>
      </c>
      <c r="AK1">
        <f>popproj!AK1</f>
        <v>0</v>
      </c>
      <c r="AL1">
        <f>popproj!AL1</f>
        <v>0</v>
      </c>
      <c r="AM1">
        <f>popproj!AM1</f>
        <v>0</v>
      </c>
      <c r="AN1">
        <f>popproj!AN1</f>
        <v>0</v>
      </c>
      <c r="AO1">
        <f>popproj!AO1</f>
        <v>0</v>
      </c>
      <c r="AP1">
        <f>popproj!AP1</f>
        <v>0</v>
      </c>
      <c r="AQ1">
        <f>popproj!AQ1</f>
        <v>0</v>
      </c>
      <c r="AR1">
        <f>popproj!AR1</f>
        <v>0</v>
      </c>
      <c r="AS1">
        <f>popproj!AS1</f>
        <v>0</v>
      </c>
      <c r="AT1">
        <f>popproj!AT1</f>
        <v>0</v>
      </c>
      <c r="AU1">
        <f>popproj!AU1</f>
        <v>0</v>
      </c>
      <c r="AV1">
        <f>popproj!AV1</f>
        <v>0</v>
      </c>
      <c r="AW1">
        <f>popproj!AW1</f>
        <v>0</v>
      </c>
      <c r="AX1">
        <f>popproj!AX1</f>
        <v>0</v>
      </c>
      <c r="AY1">
        <f>popproj!AY1</f>
        <v>0</v>
      </c>
      <c r="AZ1">
        <f>popproj!AZ1</f>
        <v>0</v>
      </c>
      <c r="BA1">
        <f>popproj!BA1</f>
        <v>0</v>
      </c>
      <c r="BB1">
        <f>popproj!BB1</f>
        <v>0</v>
      </c>
      <c r="BC1">
        <f>popproj!BC1</f>
        <v>0</v>
      </c>
      <c r="BD1">
        <f>popproj!BD1</f>
        <v>0</v>
      </c>
      <c r="BE1">
        <f>popproj!BE1</f>
        <v>0</v>
      </c>
      <c r="BF1">
        <f>popproj!BF1</f>
        <v>0</v>
      </c>
      <c r="BG1">
        <f>popproj!BG1</f>
        <v>0</v>
      </c>
      <c r="BH1">
        <f>popproj!BH1</f>
        <v>0</v>
      </c>
      <c r="BI1">
        <f>popproj!BI1</f>
        <v>0</v>
      </c>
      <c r="BJ1">
        <f>popproj!BJ1</f>
        <v>0</v>
      </c>
      <c r="BK1">
        <f>popproj!BK1</f>
        <v>0</v>
      </c>
      <c r="BL1">
        <f>popproj!BL1</f>
        <v>0</v>
      </c>
      <c r="BM1">
        <f>popproj!BM1</f>
        <v>0</v>
      </c>
      <c r="BN1">
        <f>popproj!BN1</f>
        <v>0</v>
      </c>
      <c r="BO1">
        <f>popproj!BO1</f>
        <v>0</v>
      </c>
    </row>
    <row r="2" spans="1:67" x14ac:dyDescent="0.2">
      <c r="A2" t="str">
        <f>popproj!A2</f>
        <v>BE_POPTF</v>
      </c>
      <c r="B2" s="2"/>
      <c r="C2" s="2"/>
      <c r="D2" s="2">
        <f>IF(popproj!D2-old!D2=0,"",(popproj!D2-old!D2)/old!D2)</f>
        <v>-1</v>
      </c>
      <c r="E2" s="2">
        <f>IF(popproj!E2-old!E2=0,"",(popproj!E2-old!E2)/old!E2)</f>
        <v>1.0343832257719129E-3</v>
      </c>
      <c r="F2" s="2">
        <f>IF(popproj!F2-old!F2=0,"",(popproj!F2-old!F2)/old!F2)</f>
        <v>3.5909271073859051E-3</v>
      </c>
      <c r="G2" s="2">
        <f>IF(popproj!G2-old!G2=0,"",(popproj!G2-old!G2)/old!G2)</f>
        <v>6.9575737963623041E-3</v>
      </c>
      <c r="H2" s="2">
        <f>IF(popproj!H2-old!H2=0,"",(popproj!H2-old!H2)/old!H2)</f>
        <v>8.1626507013934004E-3</v>
      </c>
      <c r="I2" s="2">
        <f>IF(popproj!I2-old!I2=0,"",(popproj!I2-old!I2)/old!I2)</f>
        <v>8.9591121380508537E-3</v>
      </c>
      <c r="J2" s="2">
        <f>IF(popproj!J2-old!J2=0,"",(popproj!J2-old!J2)/old!J2)</f>
        <v>9.34699753616847E-3</v>
      </c>
      <c r="K2" s="2">
        <f>IF(popproj!K2-old!K2=0,"",(popproj!K2-old!K2)/old!K2)</f>
        <v>9.5624143774697117E-3</v>
      </c>
      <c r="L2" s="2">
        <f>IF(popproj!L2-old!L2=0,"",(popproj!L2-old!L2)/old!L2)</f>
        <v>9.7339963335968845E-3</v>
      </c>
      <c r="M2" s="2">
        <f>IF(popproj!M2-old!M2=0,"",(popproj!M2-old!M2)/old!M2)</f>
        <v>9.8637286795830482E-3</v>
      </c>
      <c r="N2" s="2">
        <f>IF(popproj!N2-old!N2=0,"",(popproj!N2-old!N2)/old!N2)</f>
        <v>9.9532879706319549E-3</v>
      </c>
      <c r="O2" s="2">
        <f>IF(popproj!O2-old!O2=0,"",(popproj!O2-old!O2)/old!O2)</f>
        <v>1.0007768847836683E-2</v>
      </c>
      <c r="P2" s="2">
        <f>IF(popproj!P2-old!P2=0,"",(popproj!P2-old!P2)/old!P2)</f>
        <v>1.0029097450397357E-2</v>
      </c>
      <c r="Q2" s="2">
        <f>IF(popproj!Q2-old!Q2=0,"",(popproj!Q2-old!Q2)/old!Q2)</f>
        <v>9.8042419311271181E-3</v>
      </c>
      <c r="R2" s="2">
        <f>IF(popproj!R2-old!R2=0,"",(popproj!R2-old!R2)/old!R2)</f>
        <v>9.8007102946385868E-3</v>
      </c>
      <c r="S2" s="2">
        <f>IF(popproj!S2-old!S2=0,"",(popproj!S2-old!S2)/old!S2)</f>
        <v>9.7762988005670806E-3</v>
      </c>
      <c r="T2" s="2">
        <f>IF(popproj!T2-old!T2=0,"",(popproj!T2-old!T2)/old!T2)</f>
        <v>9.7450837344728088E-3</v>
      </c>
      <c r="U2" s="2">
        <f>IF(popproj!U2-old!U2=0,"",(popproj!U2-old!U2)/old!U2)</f>
        <v>9.7140750257646777E-3</v>
      </c>
      <c r="V2" s="2">
        <f>IF(popproj!V2-old!V2=0,"",(popproj!V2-old!V2)/old!V2)</f>
        <v>9.651793367045209E-3</v>
      </c>
      <c r="W2" s="2">
        <f>IF(popproj!W2-old!W2=0,"",(popproj!W2-old!W2)/old!W2)</f>
        <v>9.5818910373886585E-3</v>
      </c>
      <c r="X2" s="2">
        <f>IF(popproj!X2-old!X2=0,"",(popproj!X2-old!X2)/old!X2)</f>
        <v>9.5075851657833704E-3</v>
      </c>
      <c r="Y2" s="2">
        <f>IF(popproj!Y2-old!Y2=0,"",(popproj!Y2-old!Y2)/old!Y2)</f>
        <v>9.4397692538403313E-3</v>
      </c>
      <c r="Z2" s="2">
        <f>IF(popproj!Z2-old!Z2=0,"",(popproj!Z2-old!Z2)/old!Z2)</f>
        <v>9.3806959273722724E-3</v>
      </c>
      <c r="AA2" s="2">
        <f>IF(popproj!AA2-old!AA2=0,"",(popproj!AA2-old!AA2)/old!AA2)</f>
        <v>9.3255413382867733E-3</v>
      </c>
      <c r="AB2" s="2">
        <f>IF(popproj!AB2-old!AB2=0,"",(popproj!AB2-old!AB2)/old!AB2)</f>
        <v>9.271415583001992E-3</v>
      </c>
      <c r="AC2" s="2">
        <f>IF(popproj!AC2-old!AC2=0,"",(popproj!AC2-old!AC2)/old!AC2)</f>
        <v>9.2204959791435861E-3</v>
      </c>
      <c r="AD2" s="2">
        <f>IF(popproj!AD2-old!AD2=0,"",(popproj!AD2-old!AD2)/old!AD2)</f>
        <v>9.1731705271396909E-3</v>
      </c>
      <c r="AE2" s="2">
        <f>IF(popproj!AE2-old!AE2=0,"",(popproj!AE2-old!AE2)/old!AE2)</f>
        <v>9.1319771520831407E-3</v>
      </c>
      <c r="AF2" s="2">
        <f>IF(popproj!AF2-old!AF2=0,"",(popproj!AF2-old!AF2)/old!AF2)</f>
        <v>9.0934157653550628E-3</v>
      </c>
      <c r="AG2" s="2">
        <f>IF(popproj!AG2-old!AG2=0,"",(popproj!AG2-old!AG2)/old!AG2)</f>
        <v>-1</v>
      </c>
      <c r="AH2" s="2">
        <f>IF(popproj!AH2-old!AH2=0,"",(popproj!AH2-old!AH2)/old!AH2)</f>
        <v>-1</v>
      </c>
      <c r="AI2" s="2">
        <f>IF(popproj!AI2-old!AI2=0,"",(popproj!AI2-old!AI2)/old!AI2)</f>
        <v>-1</v>
      </c>
      <c r="AJ2" s="2">
        <f>IF(popproj!AJ2-old!AJ2=0,"",(popproj!AJ2-old!AJ2)/old!AJ2)</f>
        <v>-1</v>
      </c>
      <c r="AK2" s="2">
        <f>IF(popproj!AK2-old!AK2=0,"",(popproj!AK2-old!AK2)/old!AK2)</f>
        <v>-1</v>
      </c>
      <c r="AL2" s="2">
        <f>IF(popproj!AL2-old!AL2=0,"",(popproj!AL2-old!AL2)/old!AL2)</f>
        <v>-1</v>
      </c>
      <c r="AM2" s="2">
        <f>IF(popproj!AM2-old!AM2=0,"",(popproj!AM2-old!AM2)/old!AM2)</f>
        <v>-1</v>
      </c>
      <c r="AN2" s="2">
        <f>IF(popproj!AN2-old!AN2=0,"",(popproj!AN2-old!AN2)/old!AN2)</f>
        <v>-1</v>
      </c>
      <c r="AO2" s="2">
        <f>IF(popproj!AO2-old!AO2=0,"",(popproj!AO2-old!AO2)/old!AO2)</f>
        <v>-1</v>
      </c>
      <c r="AP2" s="2">
        <f>IF(popproj!AP2-old!AP2=0,"",(popproj!AP2-old!AP2)/old!AP2)</f>
        <v>-1</v>
      </c>
      <c r="AQ2" s="2">
        <f>IF(popproj!AQ2-old!AQ2=0,"",(popproj!AQ2-old!AQ2)/old!AQ2)</f>
        <v>-1</v>
      </c>
      <c r="AR2" s="2">
        <f>IF(popproj!AR2-old!AR2=0,"",(popproj!AR2-old!AR2)/old!AR2)</f>
        <v>-1</v>
      </c>
      <c r="AS2" s="2">
        <f>IF(popproj!AS2-old!AS2=0,"",(popproj!AS2-old!AS2)/old!AS2)</f>
        <v>-1</v>
      </c>
      <c r="AT2" s="2">
        <f>IF(popproj!AT2-old!AT2=0,"",(popproj!AT2-old!AT2)/old!AT2)</f>
        <v>-1</v>
      </c>
      <c r="AU2" s="2">
        <f>IF(popproj!AU2-old!AU2=0,"",(popproj!AU2-old!AU2)/old!AU2)</f>
        <v>-1</v>
      </c>
      <c r="AV2" s="2">
        <f>IF(popproj!AV2-old!AV2=0,"",(popproj!AV2-old!AV2)/old!AV2)</f>
        <v>-1</v>
      </c>
      <c r="AW2" s="2">
        <f>IF(popproj!AW2-old!AW2=0,"",(popproj!AW2-old!AW2)/old!AW2)</f>
        <v>-1</v>
      </c>
      <c r="AX2" s="2">
        <f>IF(popproj!AX2-old!AX2=0,"",(popproj!AX2-old!AX2)/old!AX2)</f>
        <v>-1</v>
      </c>
      <c r="AY2" s="2">
        <f>IF(popproj!AY2-old!AY2=0,"",(popproj!AY2-old!AY2)/old!AY2)</f>
        <v>-1</v>
      </c>
      <c r="AZ2" s="2">
        <f>IF(popproj!AZ2-old!AZ2=0,"",(popproj!AZ2-old!AZ2)/old!AZ2)</f>
        <v>-1</v>
      </c>
      <c r="BA2" s="2">
        <f>IF(popproj!BA2-old!BA2=0,"",(popproj!BA2-old!BA2)/old!BA2)</f>
        <v>-1</v>
      </c>
      <c r="BB2" s="2">
        <f>IF(popproj!BB2-old!BB2=0,"",(popproj!BB2-old!BB2)/old!BB2)</f>
        <v>-1</v>
      </c>
      <c r="BC2" s="2">
        <f>IF(popproj!BC2-old!BC2=0,"",(popproj!BC2-old!BC2)/old!BC2)</f>
        <v>-1</v>
      </c>
      <c r="BD2" s="2">
        <f>IF(popproj!BD2-old!BD2=0,"",(popproj!BD2-old!BD2)/old!BD2)</f>
        <v>-1</v>
      </c>
      <c r="BE2" s="2">
        <f>IF(popproj!BE2-old!BE2=0,"",(popproj!BE2-old!BE2)/old!BE2)</f>
        <v>-1</v>
      </c>
      <c r="BF2" s="2">
        <f>IF(popproj!BF2-old!BF2=0,"",(popproj!BF2-old!BF2)/old!BF2)</f>
        <v>-1</v>
      </c>
      <c r="BG2" s="2">
        <f>IF(popproj!BG2-old!BG2=0,"",(popproj!BG2-old!BG2)/old!BG2)</f>
        <v>-1</v>
      </c>
      <c r="BH2" s="2">
        <f>IF(popproj!BH2-old!BH2=0,"",(popproj!BH2-old!BH2)/old!BH2)</f>
        <v>-1</v>
      </c>
      <c r="BI2" s="2">
        <f>IF(popproj!BI2-old!BI2=0,"",(popproj!BI2-old!BI2)/old!BI2)</f>
        <v>-1</v>
      </c>
      <c r="BJ2" s="2">
        <f>IF(popproj!BJ2-old!BJ2=0,"",(popproj!BJ2-old!BJ2)/old!BJ2)</f>
        <v>-1</v>
      </c>
      <c r="BK2" s="2">
        <f>IF(popproj!BK2-old!BK2=0,"",(popproj!BK2-old!BK2)/old!BK2)</f>
        <v>-1</v>
      </c>
      <c r="BL2" s="2">
        <f>IF(popproj!BL2-old!BL2=0,"",(popproj!BL2-old!BL2)/old!BL2)</f>
        <v>-1</v>
      </c>
      <c r="BM2" s="2">
        <f>IF(popproj!BM2-old!BM2=0,"",(popproj!BM2-old!BM2)/old!BM2)</f>
        <v>-1</v>
      </c>
      <c r="BN2" s="2">
        <f>IF(popproj!BN2-old!BN2=0,"",(popproj!BN2-old!BN2)/old!BN2)</f>
        <v>-1</v>
      </c>
      <c r="BO2" s="2">
        <f>IF(popproj!BO2-old!BO2=0,"",(popproj!BO2-old!BO2)/old!BO2)</f>
        <v>-1</v>
      </c>
    </row>
    <row r="3" spans="1:67" x14ac:dyDescent="0.2">
      <c r="A3" t="str">
        <f>popproj!A3</f>
        <v>BG_POPTF</v>
      </c>
      <c r="B3" s="2"/>
      <c r="C3" s="2"/>
      <c r="D3" s="2">
        <f>IF(popproj!D3-old!D3=0,"",(popproj!D3-old!D3)/old!D3)</f>
        <v>-1</v>
      </c>
      <c r="E3" s="2">
        <f>IF(popproj!E3-old!E3=0,"",(popproj!E3-old!E3)/old!E3)</f>
        <v>-5.7067944553569908E-2</v>
      </c>
      <c r="F3" s="2">
        <f>IF(popproj!F3-old!F3=0,"",(popproj!F3-old!F3)/old!F3)</f>
        <v>-6.0586482492593956E-2</v>
      </c>
      <c r="G3" s="2">
        <f>IF(popproj!G3-old!G3=0,"",(popproj!G3-old!G3)/old!G3)</f>
        <v>-5.4282515364743107E-2</v>
      </c>
      <c r="H3" s="2">
        <f>IF(popproj!H3-old!H3=0,"",(popproj!H3-old!H3)/old!H3)</f>
        <v>-5.1304399981300819E-2</v>
      </c>
      <c r="I3" s="2">
        <f>IF(popproj!I3-old!I3=0,"",(popproj!I3-old!I3)/old!I3)</f>
        <v>-4.8805375886354467E-2</v>
      </c>
      <c r="J3" s="2">
        <f>IF(popproj!J3-old!J3=0,"",(popproj!J3-old!J3)/old!J3)</f>
        <v>-4.6847378298300879E-2</v>
      </c>
      <c r="K3" s="2">
        <f>IF(popproj!K3-old!K3=0,"",(popproj!K3-old!K3)/old!K3)</f>
        <v>-4.5029318806877217E-2</v>
      </c>
      <c r="L3" s="2">
        <f>IF(popproj!L3-old!L3=0,"",(popproj!L3-old!L3)/old!L3)</f>
        <v>-4.3420498427706199E-2</v>
      </c>
      <c r="M3" s="2">
        <f>IF(popproj!M3-old!M3=0,"",(popproj!M3-old!M3)/old!M3)</f>
        <v>-4.2008962398626302E-2</v>
      </c>
      <c r="N3" s="2">
        <f>IF(popproj!N3-old!N3=0,"",(popproj!N3-old!N3)/old!N3)</f>
        <v>-4.0800619190356359E-2</v>
      </c>
      <c r="O3" s="2">
        <f>IF(popproj!O3-old!O3=0,"",(popproj!O3-old!O3)/old!O3)</f>
        <v>-3.9766357171130938E-2</v>
      </c>
      <c r="P3" s="2">
        <f>IF(popproj!P3-old!P3=0,"",(popproj!P3-old!P3)/old!P3)</f>
        <v>-3.8891612350861686E-2</v>
      </c>
      <c r="Q3" s="2">
        <f>IF(popproj!Q3-old!Q3=0,"",(popproj!Q3-old!Q3)/old!Q3)</f>
        <v>-3.9069805921951646E-2</v>
      </c>
      <c r="R3" s="2">
        <f>IF(popproj!R3-old!R3=0,"",(popproj!R3-old!R3)/old!R3)</f>
        <v>-3.9141070597800975E-2</v>
      </c>
      <c r="S3" s="2">
        <f>IF(popproj!S3-old!S3=0,"",(popproj!S3-old!S3)/old!S3)</f>
        <v>-3.9277996451336901E-2</v>
      </c>
      <c r="T3" s="2">
        <f>IF(popproj!T3-old!T3=0,"",(popproj!T3-old!T3)/old!T3)</f>
        <v>-3.9492787278637226E-2</v>
      </c>
      <c r="U3" s="2">
        <f>IF(popproj!U3-old!U3=0,"",(popproj!U3-old!U3)/old!U3)</f>
        <v>-3.9792619880521463E-2</v>
      </c>
      <c r="V3" s="2">
        <f>IF(popproj!V3-old!V3=0,"",(popproj!V3-old!V3)/old!V3)</f>
        <v>-4.0045451141079359E-2</v>
      </c>
      <c r="W3" s="2">
        <f>IF(popproj!W3-old!W3=0,"",(popproj!W3-old!W3)/old!W3)</f>
        <v>-4.0339702760084924E-2</v>
      </c>
      <c r="X3" s="2">
        <f>IF(popproj!X3-old!X3=0,"",(popproj!X3-old!X3)/old!X3)</f>
        <v>-4.0681895298328372E-2</v>
      </c>
      <c r="Y3" s="2">
        <f>IF(popproj!Y3-old!Y3=0,"",(popproj!Y3-old!Y3)/old!Y3)</f>
        <v>-4.105048970508144E-2</v>
      </c>
      <c r="Z3" s="2">
        <f>IF(popproj!Z3-old!Z3=0,"",(popproj!Z3-old!Z3)/old!Z3)</f>
        <v>-4.1445189403580392E-2</v>
      </c>
      <c r="AA3" s="2">
        <f>IF(popproj!AA3-old!AA3=0,"",(popproj!AA3-old!AA3)/old!AA3)</f>
        <v>-4.1852387901578601E-2</v>
      </c>
      <c r="AB3" s="2">
        <f>IF(popproj!AB3-old!AB3=0,"",(popproj!AB3-old!AB3)/old!AB3)</f>
        <v>-4.2251087209334452E-2</v>
      </c>
      <c r="AC3" s="2">
        <f>IF(popproj!AC3-old!AC3=0,"",(popproj!AC3-old!AC3)/old!AC3)</f>
        <v>-4.2647812072387749E-2</v>
      </c>
      <c r="AD3" s="2">
        <f>IF(popproj!AD3-old!AD3=0,"",(popproj!AD3-old!AD3)/old!AD3)</f>
        <v>-4.3026401423171996E-2</v>
      </c>
      <c r="AE3" s="2">
        <f>IF(popproj!AE3-old!AE3=0,"",(popproj!AE3-old!AE3)/old!AE3)</f>
        <v>-4.3386195741557533E-2</v>
      </c>
      <c r="AF3" s="2">
        <f>IF(popproj!AF3-old!AF3=0,"",(popproj!AF3-old!AF3)/old!AF3)</f>
        <v>-4.372493328774029E-2</v>
      </c>
      <c r="AG3" s="2">
        <f>IF(popproj!AG3-old!AG3=0,"",(popproj!AG3-old!AG3)/old!AG3)</f>
        <v>-1</v>
      </c>
      <c r="AH3" s="2">
        <f>IF(popproj!AH3-old!AH3=0,"",(popproj!AH3-old!AH3)/old!AH3)</f>
        <v>-1</v>
      </c>
      <c r="AI3" s="2">
        <f>IF(popproj!AI3-old!AI3=0,"",(popproj!AI3-old!AI3)/old!AI3)</f>
        <v>-1</v>
      </c>
      <c r="AJ3" s="2">
        <f>IF(popproj!AJ3-old!AJ3=0,"",(popproj!AJ3-old!AJ3)/old!AJ3)</f>
        <v>-1</v>
      </c>
      <c r="AK3" s="2">
        <f>IF(popproj!AK3-old!AK3=0,"",(popproj!AK3-old!AK3)/old!AK3)</f>
        <v>-1</v>
      </c>
      <c r="AL3" s="2">
        <f>IF(popproj!AL3-old!AL3=0,"",(popproj!AL3-old!AL3)/old!AL3)</f>
        <v>-1</v>
      </c>
      <c r="AM3" s="2">
        <f>IF(popproj!AM3-old!AM3=0,"",(popproj!AM3-old!AM3)/old!AM3)</f>
        <v>-1</v>
      </c>
      <c r="AN3" s="2">
        <f>IF(popproj!AN3-old!AN3=0,"",(popproj!AN3-old!AN3)/old!AN3)</f>
        <v>-1</v>
      </c>
      <c r="AO3" s="2">
        <f>IF(popproj!AO3-old!AO3=0,"",(popproj!AO3-old!AO3)/old!AO3)</f>
        <v>-1</v>
      </c>
      <c r="AP3" s="2">
        <f>IF(popproj!AP3-old!AP3=0,"",(popproj!AP3-old!AP3)/old!AP3)</f>
        <v>-1</v>
      </c>
      <c r="AQ3" s="2">
        <f>IF(popproj!AQ3-old!AQ3=0,"",(popproj!AQ3-old!AQ3)/old!AQ3)</f>
        <v>-1</v>
      </c>
      <c r="AR3" s="2">
        <f>IF(popproj!AR3-old!AR3=0,"",(popproj!AR3-old!AR3)/old!AR3)</f>
        <v>-1</v>
      </c>
      <c r="AS3" s="2">
        <f>IF(popproj!AS3-old!AS3=0,"",(popproj!AS3-old!AS3)/old!AS3)</f>
        <v>-1</v>
      </c>
      <c r="AT3" s="2">
        <f>IF(popproj!AT3-old!AT3=0,"",(popproj!AT3-old!AT3)/old!AT3)</f>
        <v>-1</v>
      </c>
      <c r="AU3" s="2">
        <f>IF(popproj!AU3-old!AU3=0,"",(popproj!AU3-old!AU3)/old!AU3)</f>
        <v>-1</v>
      </c>
      <c r="AV3" s="2">
        <f>IF(popproj!AV3-old!AV3=0,"",(popproj!AV3-old!AV3)/old!AV3)</f>
        <v>-1</v>
      </c>
      <c r="AW3" s="2">
        <f>IF(popproj!AW3-old!AW3=0,"",(popproj!AW3-old!AW3)/old!AW3)</f>
        <v>-1</v>
      </c>
      <c r="AX3" s="2">
        <f>IF(popproj!AX3-old!AX3=0,"",(popproj!AX3-old!AX3)/old!AX3)</f>
        <v>-1</v>
      </c>
      <c r="AY3" s="2">
        <f>IF(popproj!AY3-old!AY3=0,"",(popproj!AY3-old!AY3)/old!AY3)</f>
        <v>-1</v>
      </c>
      <c r="AZ3" s="2">
        <f>IF(popproj!AZ3-old!AZ3=0,"",(popproj!AZ3-old!AZ3)/old!AZ3)</f>
        <v>-1</v>
      </c>
      <c r="BA3" s="2">
        <f>IF(popproj!BA3-old!BA3=0,"",(popproj!BA3-old!BA3)/old!BA3)</f>
        <v>-1</v>
      </c>
      <c r="BB3" s="2">
        <f>IF(popproj!BB3-old!BB3=0,"",(popproj!BB3-old!BB3)/old!BB3)</f>
        <v>-1</v>
      </c>
      <c r="BC3" s="2">
        <f>IF(popproj!BC3-old!BC3=0,"",(popproj!BC3-old!BC3)/old!BC3)</f>
        <v>-1</v>
      </c>
      <c r="BD3" s="2">
        <f>IF(popproj!BD3-old!BD3=0,"",(popproj!BD3-old!BD3)/old!BD3)</f>
        <v>-1</v>
      </c>
      <c r="BE3" s="2">
        <f>IF(popproj!BE3-old!BE3=0,"",(popproj!BE3-old!BE3)/old!BE3)</f>
        <v>-1</v>
      </c>
      <c r="BF3" s="2">
        <f>IF(popproj!BF3-old!BF3=0,"",(popproj!BF3-old!BF3)/old!BF3)</f>
        <v>-1</v>
      </c>
      <c r="BG3" s="2">
        <f>IF(popproj!BG3-old!BG3=0,"",(popproj!BG3-old!BG3)/old!BG3)</f>
        <v>-1</v>
      </c>
      <c r="BH3" s="2">
        <f>IF(popproj!BH3-old!BH3=0,"",(popproj!BH3-old!BH3)/old!BH3)</f>
        <v>-1</v>
      </c>
      <c r="BI3" s="2">
        <f>IF(popproj!BI3-old!BI3=0,"",(popproj!BI3-old!BI3)/old!BI3)</f>
        <v>-1</v>
      </c>
      <c r="BJ3" s="2">
        <f>IF(popproj!BJ3-old!BJ3=0,"",(popproj!BJ3-old!BJ3)/old!BJ3)</f>
        <v>-1</v>
      </c>
      <c r="BK3" s="2">
        <f>IF(popproj!BK3-old!BK3=0,"",(popproj!BK3-old!BK3)/old!BK3)</f>
        <v>-1</v>
      </c>
      <c r="BL3" s="2">
        <f>IF(popproj!BL3-old!BL3=0,"",(popproj!BL3-old!BL3)/old!BL3)</f>
        <v>-1</v>
      </c>
      <c r="BM3" s="2">
        <f>IF(popproj!BM3-old!BM3=0,"",(popproj!BM3-old!BM3)/old!BM3)</f>
        <v>-1</v>
      </c>
      <c r="BN3" s="2">
        <f>IF(popproj!BN3-old!BN3=0,"",(popproj!BN3-old!BN3)/old!BN3)</f>
        <v>-1</v>
      </c>
      <c r="BO3" s="2">
        <f>IF(popproj!BO3-old!BO3=0,"",(popproj!BO3-old!BO3)/old!BO3)</f>
        <v>-1</v>
      </c>
    </row>
    <row r="4" spans="1:67" x14ac:dyDescent="0.2">
      <c r="A4" t="str">
        <f>popproj!A4</f>
        <v>CZ_POPTF</v>
      </c>
      <c r="B4" s="2"/>
      <c r="C4" s="2"/>
      <c r="D4" s="2">
        <f>IF(popproj!D4-old!D4=0,"",(popproj!D4-old!D4)/old!D4)</f>
        <v>-1</v>
      </c>
      <c r="E4" s="2">
        <f>IF(popproj!E4-old!E4=0,"",(popproj!E4-old!E4)/old!E4)</f>
        <v>-1.2437102604477536E-2</v>
      </c>
      <c r="F4" s="2">
        <f>IF(popproj!F4-old!F4=0,"",(popproj!F4-old!F4)/old!F4)</f>
        <v>-1.3476581307473376E-2</v>
      </c>
      <c r="G4" s="2">
        <f>IF(popproj!G4-old!G4=0,"",(popproj!G4-old!G4)/old!G4)</f>
        <v>-1.148326079768249E-2</v>
      </c>
      <c r="H4" s="2">
        <f>IF(popproj!H4-old!H4=0,"",(popproj!H4-old!H4)/old!H4)</f>
        <v>-1.0850083434517811E-2</v>
      </c>
      <c r="I4" s="2">
        <f>IF(popproj!I4-old!I4=0,"",(popproj!I4-old!I4)/old!I4)</f>
        <v>-1.0064212607895428E-2</v>
      </c>
      <c r="J4" s="2">
        <f>IF(popproj!J4-old!J4=0,"",(popproj!J4-old!J4)/old!J4)</f>
        <v>-9.0981376880088019E-3</v>
      </c>
      <c r="K4" s="2">
        <f>IF(popproj!K4-old!K4=0,"",(popproj!K4-old!K4)/old!K4)</f>
        <v>-8.3303828649661984E-3</v>
      </c>
      <c r="L4" s="2">
        <f>IF(popproj!L4-old!L4=0,"",(popproj!L4-old!L4)/old!L4)</f>
        <v>-7.7783299901090204E-3</v>
      </c>
      <c r="M4" s="2">
        <f>IF(popproj!M4-old!M4=0,"",(popproj!M4-old!M4)/old!M4)</f>
        <v>-7.4243938719593793E-3</v>
      </c>
      <c r="N4" s="2">
        <f>IF(popproj!N4-old!N4=0,"",(popproj!N4-old!N4)/old!N4)</f>
        <v>-7.2498317812541907E-3</v>
      </c>
      <c r="O4" s="2">
        <f>IF(popproj!O4-old!O4=0,"",(popproj!O4-old!O4)/old!O4)</f>
        <v>-7.2444626350688709E-3</v>
      </c>
      <c r="P4" s="2">
        <f>IF(popproj!P4-old!P4=0,"",(popproj!P4-old!P4)/old!P4)</f>
        <v>-7.3919844766369919E-3</v>
      </c>
      <c r="Q4" s="2">
        <f>IF(popproj!Q4-old!Q4=0,"",(popproj!Q4-old!Q4)/old!Q4)</f>
        <v>-9.2696931347005136E-3</v>
      </c>
      <c r="R4" s="2">
        <f>IF(popproj!R4-old!R4=0,"",(popproj!R4-old!R4)/old!R4)</f>
        <v>-1.008653192467554E-2</v>
      </c>
      <c r="S4" s="2">
        <f>IF(popproj!S4-old!S4=0,"",(popproj!S4-old!S4)/old!S4)</f>
        <v>-1.0922051893624964E-2</v>
      </c>
      <c r="T4" s="2">
        <f>IF(popproj!T4-old!T4=0,"",(popproj!T4-old!T4)/old!T4)</f>
        <v>-1.1785382627852522E-2</v>
      </c>
      <c r="U4" s="2">
        <f>IF(popproj!U4-old!U4=0,"",(popproj!U4-old!U4)/old!U4)</f>
        <v>-1.2546905891066341E-2</v>
      </c>
      <c r="V4" s="2">
        <f>IF(popproj!V4-old!V4=0,"",(popproj!V4-old!V4)/old!V4)</f>
        <v>-1.3355175153700691E-2</v>
      </c>
      <c r="W4" s="2">
        <f>IF(popproj!W4-old!W4=0,"",(popproj!W4-old!W4)/old!W4)</f>
        <v>-1.4188756880733089E-2</v>
      </c>
      <c r="X4" s="2">
        <f>IF(popproj!X4-old!X4=0,"",(popproj!X4-old!X4)/old!X4)</f>
        <v>-1.5051499507165684E-2</v>
      </c>
      <c r="Y4" s="2">
        <f>IF(popproj!Y4-old!Y4=0,"",(popproj!Y4-old!Y4)/old!Y4)</f>
        <v>-1.5936665827822806E-2</v>
      </c>
      <c r="Z4" s="2">
        <f>IF(popproj!Z4-old!Z4=0,"",(popproj!Z4-old!Z4)/old!Z4)</f>
        <v>-1.6840306904226644E-2</v>
      </c>
      <c r="AA4" s="2">
        <f>IF(popproj!AA4-old!AA4=0,"",(popproj!AA4-old!AA4)/old!AA4)</f>
        <v>-1.7755527441389682E-2</v>
      </c>
      <c r="AB4" s="2">
        <f>IF(popproj!AB4-old!AB4=0,"",(popproj!AB4-old!AB4)/old!AB4)</f>
        <v>-1.8689889628836213E-2</v>
      </c>
      <c r="AC4" s="2">
        <f>IF(popproj!AC4-old!AC4=0,"",(popproj!AC4-old!AC4)/old!AC4)</f>
        <v>-1.9639263218253166E-2</v>
      </c>
      <c r="AD4" s="2">
        <f>IF(popproj!AD4-old!AD4=0,"",(popproj!AD4-old!AD4)/old!AD4)</f>
        <v>-2.0596890740633686E-2</v>
      </c>
      <c r="AE4" s="2">
        <f>IF(popproj!AE4-old!AE4=0,"",(popproj!AE4-old!AE4)/old!AE4)</f>
        <v>-2.1567889302467995E-2</v>
      </c>
      <c r="AF4" s="2">
        <f>IF(popproj!AF4-old!AF4=0,"",(popproj!AF4-old!AF4)/old!AF4)</f>
        <v>-2.2567091308530463E-2</v>
      </c>
      <c r="AG4" s="2">
        <f>IF(popproj!AG4-old!AG4=0,"",(popproj!AG4-old!AG4)/old!AG4)</f>
        <v>-1</v>
      </c>
      <c r="AH4" s="2">
        <f>IF(popproj!AH4-old!AH4=0,"",(popproj!AH4-old!AH4)/old!AH4)</f>
        <v>-1</v>
      </c>
      <c r="AI4" s="2">
        <f>IF(popproj!AI4-old!AI4=0,"",(popproj!AI4-old!AI4)/old!AI4)</f>
        <v>-1</v>
      </c>
      <c r="AJ4" s="2">
        <f>IF(popproj!AJ4-old!AJ4=0,"",(popproj!AJ4-old!AJ4)/old!AJ4)</f>
        <v>-1</v>
      </c>
      <c r="AK4" s="2">
        <f>IF(popproj!AK4-old!AK4=0,"",(popproj!AK4-old!AK4)/old!AK4)</f>
        <v>-1</v>
      </c>
      <c r="AL4" s="2">
        <f>IF(popproj!AL4-old!AL4=0,"",(popproj!AL4-old!AL4)/old!AL4)</f>
        <v>-1</v>
      </c>
      <c r="AM4" s="2">
        <f>IF(popproj!AM4-old!AM4=0,"",(popproj!AM4-old!AM4)/old!AM4)</f>
        <v>-1</v>
      </c>
      <c r="AN4" s="2">
        <f>IF(popproj!AN4-old!AN4=0,"",(popproj!AN4-old!AN4)/old!AN4)</f>
        <v>-1</v>
      </c>
      <c r="AO4" s="2">
        <f>IF(popproj!AO4-old!AO4=0,"",(popproj!AO4-old!AO4)/old!AO4)</f>
        <v>-1</v>
      </c>
      <c r="AP4" s="2">
        <f>IF(popproj!AP4-old!AP4=0,"",(popproj!AP4-old!AP4)/old!AP4)</f>
        <v>-1</v>
      </c>
      <c r="AQ4" s="2">
        <f>IF(popproj!AQ4-old!AQ4=0,"",(popproj!AQ4-old!AQ4)/old!AQ4)</f>
        <v>-1</v>
      </c>
      <c r="AR4" s="2">
        <f>IF(popproj!AR4-old!AR4=0,"",(popproj!AR4-old!AR4)/old!AR4)</f>
        <v>-1</v>
      </c>
      <c r="AS4" s="2">
        <f>IF(popproj!AS4-old!AS4=0,"",(popproj!AS4-old!AS4)/old!AS4)</f>
        <v>-1</v>
      </c>
      <c r="AT4" s="2">
        <f>IF(popproj!AT4-old!AT4=0,"",(popproj!AT4-old!AT4)/old!AT4)</f>
        <v>-1</v>
      </c>
      <c r="AU4" s="2">
        <f>IF(popproj!AU4-old!AU4=0,"",(popproj!AU4-old!AU4)/old!AU4)</f>
        <v>-1</v>
      </c>
      <c r="AV4" s="2">
        <f>IF(popproj!AV4-old!AV4=0,"",(popproj!AV4-old!AV4)/old!AV4)</f>
        <v>-1</v>
      </c>
      <c r="AW4" s="2">
        <f>IF(popproj!AW4-old!AW4=0,"",(popproj!AW4-old!AW4)/old!AW4)</f>
        <v>-1</v>
      </c>
      <c r="AX4" s="2">
        <f>IF(popproj!AX4-old!AX4=0,"",(popproj!AX4-old!AX4)/old!AX4)</f>
        <v>-1</v>
      </c>
      <c r="AY4" s="2">
        <f>IF(popproj!AY4-old!AY4=0,"",(popproj!AY4-old!AY4)/old!AY4)</f>
        <v>-1</v>
      </c>
      <c r="AZ4" s="2">
        <f>IF(popproj!AZ4-old!AZ4=0,"",(popproj!AZ4-old!AZ4)/old!AZ4)</f>
        <v>-1</v>
      </c>
      <c r="BA4" s="2">
        <f>IF(popproj!BA4-old!BA4=0,"",(popproj!BA4-old!BA4)/old!BA4)</f>
        <v>-1</v>
      </c>
      <c r="BB4" s="2">
        <f>IF(popproj!BB4-old!BB4=0,"",(popproj!BB4-old!BB4)/old!BB4)</f>
        <v>-1</v>
      </c>
      <c r="BC4" s="2">
        <f>IF(popproj!BC4-old!BC4=0,"",(popproj!BC4-old!BC4)/old!BC4)</f>
        <v>-1</v>
      </c>
      <c r="BD4" s="2">
        <f>IF(popproj!BD4-old!BD4=0,"",(popproj!BD4-old!BD4)/old!BD4)</f>
        <v>-1</v>
      </c>
      <c r="BE4" s="2">
        <f>IF(popproj!BE4-old!BE4=0,"",(popproj!BE4-old!BE4)/old!BE4)</f>
        <v>-1</v>
      </c>
      <c r="BF4" s="2">
        <f>IF(popproj!BF4-old!BF4=0,"",(popproj!BF4-old!BF4)/old!BF4)</f>
        <v>-1</v>
      </c>
      <c r="BG4" s="2">
        <f>IF(popproj!BG4-old!BG4=0,"",(popproj!BG4-old!BG4)/old!BG4)</f>
        <v>-1</v>
      </c>
      <c r="BH4" s="2">
        <f>IF(popproj!BH4-old!BH4=0,"",(popproj!BH4-old!BH4)/old!BH4)</f>
        <v>-1</v>
      </c>
      <c r="BI4" s="2">
        <f>IF(popproj!BI4-old!BI4=0,"",(popproj!BI4-old!BI4)/old!BI4)</f>
        <v>-1</v>
      </c>
      <c r="BJ4" s="2">
        <f>IF(popproj!BJ4-old!BJ4=0,"",(popproj!BJ4-old!BJ4)/old!BJ4)</f>
        <v>-1</v>
      </c>
      <c r="BK4" s="2">
        <f>IF(popproj!BK4-old!BK4=0,"",(popproj!BK4-old!BK4)/old!BK4)</f>
        <v>-1</v>
      </c>
      <c r="BL4" s="2">
        <f>IF(popproj!BL4-old!BL4=0,"",(popproj!BL4-old!BL4)/old!BL4)</f>
        <v>-1</v>
      </c>
      <c r="BM4" s="2">
        <f>IF(popproj!BM4-old!BM4=0,"",(popproj!BM4-old!BM4)/old!BM4)</f>
        <v>-1</v>
      </c>
      <c r="BN4" s="2">
        <f>IF(popproj!BN4-old!BN4=0,"",(popproj!BN4-old!BN4)/old!BN4)</f>
        <v>-1</v>
      </c>
      <c r="BO4" s="2">
        <f>IF(popproj!BO4-old!BO4=0,"",(popproj!BO4-old!BO4)/old!BO4)</f>
        <v>-1</v>
      </c>
    </row>
    <row r="5" spans="1:67" x14ac:dyDescent="0.2">
      <c r="A5" t="str">
        <f>popproj!A5</f>
        <v>DK_POPTF</v>
      </c>
      <c r="B5" s="2"/>
      <c r="C5" s="2"/>
      <c r="D5" s="2">
        <f>IF(popproj!D5-old!D5=0,"",(popproj!D5-old!D5)/old!D5)</f>
        <v>-1</v>
      </c>
      <c r="E5" s="2">
        <f>IF(popproj!E5-old!E5=0,"",(popproj!E5-old!E5)/old!E5)</f>
        <v>7.8998362171474865E-4</v>
      </c>
      <c r="F5" s="2">
        <f>IF(popproj!F5-old!F5=0,"",(popproj!F5-old!F5)/old!F5)</f>
        <v>3.2302321538483223E-4</v>
      </c>
      <c r="G5" s="2">
        <f>IF(popproj!G5-old!G5=0,"",(popproj!G5-old!G5)/old!G5)</f>
        <v>1.4480117138612463E-3</v>
      </c>
      <c r="H5" s="2">
        <f>IF(popproj!H5-old!H5=0,"",(popproj!H5-old!H5)/old!H5)</f>
        <v>2.3346616149290318E-3</v>
      </c>
      <c r="I5" s="2">
        <f>IF(popproj!I5-old!I5=0,"",(popproj!I5-old!I5)/old!I5)</f>
        <v>3.0255438282463217E-3</v>
      </c>
      <c r="J5" s="2">
        <f>IF(popproj!J5-old!J5=0,"",(popproj!J5-old!J5)/old!J5)</f>
        <v>3.5642043450627354E-3</v>
      </c>
      <c r="K5" s="2">
        <f>IF(popproj!K5-old!K5=0,"",(popproj!K5-old!K5)/old!K5)</f>
        <v>4.1168348092120235E-3</v>
      </c>
      <c r="L5" s="2">
        <f>IF(popproj!L5-old!L5=0,"",(popproj!L5-old!L5)/old!L5)</f>
        <v>4.685876311678187E-3</v>
      </c>
      <c r="M5" s="2">
        <f>IF(popproj!M5-old!M5=0,"",(popproj!M5-old!M5)/old!M5)</f>
        <v>5.2718792870555149E-3</v>
      </c>
      <c r="N5" s="2">
        <f>IF(popproj!N5-old!N5=0,"",(popproj!N5-old!N5)/old!N5)</f>
        <v>5.8783438545192065E-3</v>
      </c>
      <c r="O5" s="2">
        <f>IF(popproj!O5-old!O5=0,"",(popproj!O5-old!O5)/old!O5)</f>
        <v>6.5125619566233908E-3</v>
      </c>
      <c r="P5" s="2">
        <f>IF(popproj!P5-old!P5=0,"",(popproj!P5-old!P5)/old!P5)</f>
        <v>7.1796278265217634E-3</v>
      </c>
      <c r="Q5" s="2">
        <f>IF(popproj!Q5-old!Q5=0,"",(popproj!Q5-old!Q5)/old!Q5)</f>
        <v>7.6930363640022436E-3</v>
      </c>
      <c r="R5" s="2">
        <f>IF(popproj!R5-old!R5=0,"",(popproj!R5-old!R5)/old!R5)</f>
        <v>8.4458076606892234E-3</v>
      </c>
      <c r="S5" s="2">
        <f>IF(popproj!S5-old!S5=0,"",(popproj!S5-old!S5)/old!S5)</f>
        <v>9.2311554516196805E-3</v>
      </c>
      <c r="T5" s="2">
        <f>IF(popproj!T5-old!T5=0,"",(popproj!T5-old!T5)/old!T5)</f>
        <v>1.0050943652817425E-2</v>
      </c>
      <c r="U5" s="2">
        <f>IF(popproj!U5-old!U5=0,"",(popproj!U5-old!U5)/old!U5)</f>
        <v>1.1006381283090391E-2</v>
      </c>
      <c r="V5" s="2">
        <f>IF(popproj!V5-old!V5=0,"",(popproj!V5-old!V5)/old!V5)</f>
        <v>1.1954708505866621E-2</v>
      </c>
      <c r="W5" s="2">
        <f>IF(popproj!W5-old!W5=0,"",(popproj!W5-old!W5)/old!W5)</f>
        <v>1.2915155878211557E-2</v>
      </c>
      <c r="X5" s="2">
        <f>IF(popproj!X5-old!X5=0,"",(popproj!X5-old!X5)/old!X5)</f>
        <v>1.3875811164658596E-2</v>
      </c>
      <c r="Y5" s="2">
        <f>IF(popproj!Y5-old!Y5=0,"",(popproj!Y5-old!Y5)/old!Y5)</f>
        <v>1.4846196778395144E-2</v>
      </c>
      <c r="Z5" s="2">
        <f>IF(popproj!Z5-old!Z5=0,"",(popproj!Z5-old!Z5)/old!Z5)</f>
        <v>1.5813001088886124E-2</v>
      </c>
      <c r="AA5" s="2">
        <f>IF(popproj!AA5-old!AA5=0,"",(popproj!AA5-old!AA5)/old!AA5)</f>
        <v>1.6772127711129434E-2</v>
      </c>
      <c r="AB5" s="2">
        <f>IF(popproj!AB5-old!AB5=0,"",(popproj!AB5-old!AB5)/old!AB5)</f>
        <v>1.7713728468851088E-2</v>
      </c>
      <c r="AC5" s="2">
        <f>IF(popproj!AC5-old!AC5=0,"",(popproj!AC5-old!AC5)/old!AC5)</f>
        <v>1.8624361819098906E-2</v>
      </c>
      <c r="AD5" s="2">
        <f>IF(popproj!AD5-old!AD5=0,"",(popproj!AD5-old!AD5)/old!AD5)</f>
        <v>1.9491634421529805E-2</v>
      </c>
      <c r="AE5" s="2">
        <f>IF(popproj!AE5-old!AE5=0,"",(popproj!AE5-old!AE5)/old!AE5)</f>
        <v>2.0297509050717349E-2</v>
      </c>
      <c r="AF5" s="2">
        <f>IF(popproj!AF5-old!AF5=0,"",(popproj!AF5-old!AF5)/old!AF5)</f>
        <v>2.102959196416028E-2</v>
      </c>
      <c r="AG5" s="2">
        <f>IF(popproj!AG5-old!AG5=0,"",(popproj!AG5-old!AG5)/old!AG5)</f>
        <v>-1</v>
      </c>
      <c r="AH5" s="2">
        <f>IF(popproj!AH5-old!AH5=0,"",(popproj!AH5-old!AH5)/old!AH5)</f>
        <v>-1</v>
      </c>
      <c r="AI5" s="2">
        <f>IF(popproj!AI5-old!AI5=0,"",(popproj!AI5-old!AI5)/old!AI5)</f>
        <v>-1</v>
      </c>
      <c r="AJ5" s="2">
        <f>IF(popproj!AJ5-old!AJ5=0,"",(popproj!AJ5-old!AJ5)/old!AJ5)</f>
        <v>-1</v>
      </c>
      <c r="AK5" s="2">
        <f>IF(popproj!AK5-old!AK5=0,"",(popproj!AK5-old!AK5)/old!AK5)</f>
        <v>-1</v>
      </c>
      <c r="AL5" s="2">
        <f>IF(popproj!AL5-old!AL5=0,"",(popproj!AL5-old!AL5)/old!AL5)</f>
        <v>-1</v>
      </c>
      <c r="AM5" s="2">
        <f>IF(popproj!AM5-old!AM5=0,"",(popproj!AM5-old!AM5)/old!AM5)</f>
        <v>-1</v>
      </c>
      <c r="AN5" s="2">
        <f>IF(popproj!AN5-old!AN5=0,"",(popproj!AN5-old!AN5)/old!AN5)</f>
        <v>-1</v>
      </c>
      <c r="AO5" s="2">
        <f>IF(popproj!AO5-old!AO5=0,"",(popproj!AO5-old!AO5)/old!AO5)</f>
        <v>-1</v>
      </c>
      <c r="AP5" s="2">
        <f>IF(popproj!AP5-old!AP5=0,"",(popproj!AP5-old!AP5)/old!AP5)</f>
        <v>-1</v>
      </c>
      <c r="AQ5" s="2">
        <f>IF(popproj!AQ5-old!AQ5=0,"",(popproj!AQ5-old!AQ5)/old!AQ5)</f>
        <v>-1</v>
      </c>
      <c r="AR5" s="2">
        <f>IF(popproj!AR5-old!AR5=0,"",(popproj!AR5-old!AR5)/old!AR5)</f>
        <v>-1</v>
      </c>
      <c r="AS5" s="2">
        <f>IF(popproj!AS5-old!AS5=0,"",(popproj!AS5-old!AS5)/old!AS5)</f>
        <v>-1</v>
      </c>
      <c r="AT5" s="2">
        <f>IF(popproj!AT5-old!AT5=0,"",(popproj!AT5-old!AT5)/old!AT5)</f>
        <v>-1</v>
      </c>
      <c r="AU5" s="2">
        <f>IF(popproj!AU5-old!AU5=0,"",(popproj!AU5-old!AU5)/old!AU5)</f>
        <v>-1</v>
      </c>
      <c r="AV5" s="2">
        <f>IF(popproj!AV5-old!AV5=0,"",(popproj!AV5-old!AV5)/old!AV5)</f>
        <v>-1</v>
      </c>
      <c r="AW5" s="2">
        <f>IF(popproj!AW5-old!AW5=0,"",(popproj!AW5-old!AW5)/old!AW5)</f>
        <v>-1</v>
      </c>
      <c r="AX5" s="2">
        <f>IF(popproj!AX5-old!AX5=0,"",(popproj!AX5-old!AX5)/old!AX5)</f>
        <v>-1</v>
      </c>
      <c r="AY5" s="2">
        <f>IF(popproj!AY5-old!AY5=0,"",(popproj!AY5-old!AY5)/old!AY5)</f>
        <v>-1</v>
      </c>
      <c r="AZ5" s="2">
        <f>IF(popproj!AZ5-old!AZ5=0,"",(popproj!AZ5-old!AZ5)/old!AZ5)</f>
        <v>-1</v>
      </c>
      <c r="BA5" s="2">
        <f>IF(popproj!BA5-old!BA5=0,"",(popproj!BA5-old!BA5)/old!BA5)</f>
        <v>-1</v>
      </c>
      <c r="BB5" s="2">
        <f>IF(popproj!BB5-old!BB5=0,"",(popproj!BB5-old!BB5)/old!BB5)</f>
        <v>-1</v>
      </c>
      <c r="BC5" s="2">
        <f>IF(popproj!BC5-old!BC5=0,"",(popproj!BC5-old!BC5)/old!BC5)</f>
        <v>-1</v>
      </c>
      <c r="BD5" s="2">
        <f>IF(popproj!BD5-old!BD5=0,"",(popproj!BD5-old!BD5)/old!BD5)</f>
        <v>-1</v>
      </c>
      <c r="BE5" s="2">
        <f>IF(popproj!BE5-old!BE5=0,"",(popproj!BE5-old!BE5)/old!BE5)</f>
        <v>-1</v>
      </c>
      <c r="BF5" s="2">
        <f>IF(popproj!BF5-old!BF5=0,"",(popproj!BF5-old!BF5)/old!BF5)</f>
        <v>-1</v>
      </c>
      <c r="BG5" s="2">
        <f>IF(popproj!BG5-old!BG5=0,"",(popproj!BG5-old!BG5)/old!BG5)</f>
        <v>-1</v>
      </c>
      <c r="BH5" s="2">
        <f>IF(popproj!BH5-old!BH5=0,"",(popproj!BH5-old!BH5)/old!BH5)</f>
        <v>-1</v>
      </c>
      <c r="BI5" s="2">
        <f>IF(popproj!BI5-old!BI5=0,"",(popproj!BI5-old!BI5)/old!BI5)</f>
        <v>-1</v>
      </c>
      <c r="BJ5" s="2">
        <f>IF(popproj!BJ5-old!BJ5=0,"",(popproj!BJ5-old!BJ5)/old!BJ5)</f>
        <v>-1</v>
      </c>
      <c r="BK5" s="2">
        <f>IF(popproj!BK5-old!BK5=0,"",(popproj!BK5-old!BK5)/old!BK5)</f>
        <v>-1</v>
      </c>
      <c r="BL5" s="2">
        <f>IF(popproj!BL5-old!BL5=0,"",(popproj!BL5-old!BL5)/old!BL5)</f>
        <v>-1</v>
      </c>
      <c r="BM5" s="2">
        <f>IF(popproj!BM5-old!BM5=0,"",(popproj!BM5-old!BM5)/old!BM5)</f>
        <v>-1</v>
      </c>
      <c r="BN5" s="2">
        <f>IF(popproj!BN5-old!BN5=0,"",(popproj!BN5-old!BN5)/old!BN5)</f>
        <v>-1</v>
      </c>
      <c r="BO5" s="2">
        <f>IF(popproj!BO5-old!BO5=0,"",(popproj!BO5-old!BO5)/old!BO5)</f>
        <v>-1</v>
      </c>
    </row>
    <row r="6" spans="1:67" x14ac:dyDescent="0.2">
      <c r="A6" t="str">
        <f>popproj!A6</f>
        <v>DE_POPTF</v>
      </c>
      <c r="B6" s="2"/>
      <c r="C6" s="2"/>
      <c r="D6" s="2">
        <f>IF(popproj!D6-old!D6=0,"",(popproj!D6-old!D6)/old!D6)</f>
        <v>-1</v>
      </c>
      <c r="E6" s="2">
        <f>IF(popproj!E6-old!E6=0,"",(popproj!E6-old!E6)/old!E6)</f>
        <v>-1.6953226460392171E-2</v>
      </c>
      <c r="F6" s="2">
        <f>IF(popproj!F6-old!F6=0,"",(popproj!F6-old!F6)/old!F6)</f>
        <v>-1.877827553348059E-2</v>
      </c>
      <c r="G6" s="2">
        <f>IF(popproj!G6-old!G6=0,"",(popproj!G6-old!G6)/old!G6)</f>
        <v>-1.6354390998897118E-2</v>
      </c>
      <c r="H6" s="2">
        <f>IF(popproj!H6-old!H6=0,"",(popproj!H6-old!H6)/old!H6)</f>
        <v>-1.606121279435983E-2</v>
      </c>
      <c r="I6" s="2">
        <f>IF(popproj!I6-old!I6=0,"",(popproj!I6-old!I6)/old!I6)</f>
        <v>-1.587937337094834E-2</v>
      </c>
      <c r="J6" s="2">
        <f>IF(popproj!J6-old!J6=0,"",(popproj!J6-old!J6)/old!J6)</f>
        <v>-1.5814125950874044E-2</v>
      </c>
      <c r="K6" s="2">
        <f>IF(popproj!K6-old!K6=0,"",(popproj!K6-old!K6)/old!K6)</f>
        <v>-1.5816630592267476E-2</v>
      </c>
      <c r="L6" s="2">
        <f>IF(popproj!L6-old!L6=0,"",(popproj!L6-old!L6)/old!L6)</f>
        <v>-1.5836592395201292E-2</v>
      </c>
      <c r="M6" s="2">
        <f>IF(popproj!M6-old!M6=0,"",(popproj!M6-old!M6)/old!M6)</f>
        <v>-1.586107695615813E-2</v>
      </c>
      <c r="N6" s="2">
        <f>IF(popproj!N6-old!N6=0,"",(popproj!N6-old!N6)/old!N6)</f>
        <v>-1.5885320314329439E-2</v>
      </c>
      <c r="O6" s="2">
        <f>IF(popproj!O6-old!O6=0,"",(popproj!O6-old!O6)/old!O6)</f>
        <v>-1.5910500610529267E-2</v>
      </c>
      <c r="P6" s="2">
        <f>IF(popproj!P6-old!P6=0,"",(popproj!P6-old!P6)/old!P6)</f>
        <v>-1.5926667589902754E-2</v>
      </c>
      <c r="Q6" s="2">
        <f>IF(popproj!Q6-old!Q6=0,"",(popproj!Q6-old!Q6)/old!Q6)</f>
        <v>-1.6377408580236518E-2</v>
      </c>
      <c r="R6" s="2">
        <f>IF(popproj!R6-old!R6=0,"",(popproj!R6-old!R6)/old!R6)</f>
        <v>-1.6367209792629112E-2</v>
      </c>
      <c r="S6" s="2">
        <f>IF(popproj!S6-old!S6=0,"",(popproj!S6-old!S6)/old!S6)</f>
        <v>-1.6343641430053839E-2</v>
      </c>
      <c r="T6" s="2">
        <f>IF(popproj!T6-old!T6=0,"",(popproj!T6-old!T6)/old!T6)</f>
        <v>-1.629153697674756E-2</v>
      </c>
      <c r="U6" s="2">
        <f>IF(popproj!U6-old!U6=0,"",(popproj!U6-old!U6)/old!U6)</f>
        <v>-1.6214647405939392E-2</v>
      </c>
      <c r="V6" s="2">
        <f>IF(popproj!V6-old!V6=0,"",(popproj!V6-old!V6)/old!V6)</f>
        <v>-1.6134319677258431E-2</v>
      </c>
      <c r="W6" s="2">
        <f>IF(popproj!W6-old!W6=0,"",(popproj!W6-old!W6)/old!W6)</f>
        <v>-1.6056698550814322E-2</v>
      </c>
      <c r="X6" s="2">
        <f>IF(popproj!X6-old!X6=0,"",(popproj!X6-old!X6)/old!X6)</f>
        <v>-1.5985675681412178E-2</v>
      </c>
      <c r="Y6" s="2">
        <f>IF(popproj!Y6-old!Y6=0,"",(popproj!Y6-old!Y6)/old!Y6)</f>
        <v>-1.5922470470990779E-2</v>
      </c>
      <c r="Z6" s="2">
        <f>IF(popproj!Z6-old!Z6=0,"",(popproj!Z6-old!Z6)/old!Z6)</f>
        <v>-1.5882352415653913E-2</v>
      </c>
      <c r="AA6" s="2">
        <f>IF(popproj!AA6-old!AA6=0,"",(popproj!AA6-old!AA6)/old!AA6)</f>
        <v>-1.586016082949725E-2</v>
      </c>
      <c r="AB6" s="2">
        <f>IF(popproj!AB6-old!AB6=0,"",(popproj!AB6-old!AB6)/old!AB6)</f>
        <v>-1.5871085952855669E-2</v>
      </c>
      <c r="AC6" s="2">
        <f>IF(popproj!AC6-old!AC6=0,"",(popproj!AC6-old!AC6)/old!AC6)</f>
        <v>-1.5926005307095027E-2</v>
      </c>
      <c r="AD6" s="2">
        <f>IF(popproj!AD6-old!AD6=0,"",(popproj!AD6-old!AD6)/old!AD6)</f>
        <v>-1.603084346757426E-2</v>
      </c>
      <c r="AE6" s="2">
        <f>IF(popproj!AE6-old!AE6=0,"",(popproj!AE6-old!AE6)/old!AE6)</f>
        <v>-1.6182343992422098E-2</v>
      </c>
      <c r="AF6" s="2">
        <f>IF(popproj!AF6-old!AF6=0,"",(popproj!AF6-old!AF6)/old!AF6)</f>
        <v>-1.6386141388720566E-2</v>
      </c>
      <c r="AG6" s="2">
        <f>IF(popproj!AG6-old!AG6=0,"",(popproj!AG6-old!AG6)/old!AG6)</f>
        <v>-1</v>
      </c>
      <c r="AH6" s="2">
        <f>IF(popproj!AH6-old!AH6=0,"",(popproj!AH6-old!AH6)/old!AH6)</f>
        <v>-1</v>
      </c>
      <c r="AI6" s="2">
        <f>IF(popproj!AI6-old!AI6=0,"",(popproj!AI6-old!AI6)/old!AI6)</f>
        <v>-1</v>
      </c>
      <c r="AJ6" s="2">
        <f>IF(popproj!AJ6-old!AJ6=0,"",(popproj!AJ6-old!AJ6)/old!AJ6)</f>
        <v>-1</v>
      </c>
      <c r="AK6" s="2">
        <f>IF(popproj!AK6-old!AK6=0,"",(popproj!AK6-old!AK6)/old!AK6)</f>
        <v>-1</v>
      </c>
      <c r="AL6" s="2">
        <f>IF(popproj!AL6-old!AL6=0,"",(popproj!AL6-old!AL6)/old!AL6)</f>
        <v>-1</v>
      </c>
      <c r="AM6" s="2">
        <f>IF(popproj!AM6-old!AM6=0,"",(popproj!AM6-old!AM6)/old!AM6)</f>
        <v>-1</v>
      </c>
      <c r="AN6" s="2">
        <f>IF(popproj!AN6-old!AN6=0,"",(popproj!AN6-old!AN6)/old!AN6)</f>
        <v>-1</v>
      </c>
      <c r="AO6" s="2">
        <f>IF(popproj!AO6-old!AO6=0,"",(popproj!AO6-old!AO6)/old!AO6)</f>
        <v>-1</v>
      </c>
      <c r="AP6" s="2">
        <f>IF(popproj!AP6-old!AP6=0,"",(popproj!AP6-old!AP6)/old!AP6)</f>
        <v>-1</v>
      </c>
      <c r="AQ6" s="2">
        <f>IF(popproj!AQ6-old!AQ6=0,"",(popproj!AQ6-old!AQ6)/old!AQ6)</f>
        <v>-1</v>
      </c>
      <c r="AR6" s="2">
        <f>IF(popproj!AR6-old!AR6=0,"",(popproj!AR6-old!AR6)/old!AR6)</f>
        <v>-1</v>
      </c>
      <c r="AS6" s="2">
        <f>IF(popproj!AS6-old!AS6=0,"",(popproj!AS6-old!AS6)/old!AS6)</f>
        <v>-1</v>
      </c>
      <c r="AT6" s="2">
        <f>IF(popproj!AT6-old!AT6=0,"",(popproj!AT6-old!AT6)/old!AT6)</f>
        <v>-1</v>
      </c>
      <c r="AU6" s="2">
        <f>IF(popproj!AU6-old!AU6=0,"",(popproj!AU6-old!AU6)/old!AU6)</f>
        <v>-1</v>
      </c>
      <c r="AV6" s="2">
        <f>IF(popproj!AV6-old!AV6=0,"",(popproj!AV6-old!AV6)/old!AV6)</f>
        <v>-1</v>
      </c>
      <c r="AW6" s="2">
        <f>IF(popproj!AW6-old!AW6=0,"",(popproj!AW6-old!AW6)/old!AW6)</f>
        <v>-1</v>
      </c>
      <c r="AX6" s="2">
        <f>IF(popproj!AX6-old!AX6=0,"",(popproj!AX6-old!AX6)/old!AX6)</f>
        <v>-1</v>
      </c>
      <c r="AY6" s="2">
        <f>IF(popproj!AY6-old!AY6=0,"",(popproj!AY6-old!AY6)/old!AY6)</f>
        <v>-1</v>
      </c>
      <c r="AZ6" s="2">
        <f>IF(popproj!AZ6-old!AZ6=0,"",(popproj!AZ6-old!AZ6)/old!AZ6)</f>
        <v>-1</v>
      </c>
      <c r="BA6" s="2">
        <f>IF(popproj!BA6-old!BA6=0,"",(popproj!BA6-old!BA6)/old!BA6)</f>
        <v>-1</v>
      </c>
      <c r="BB6" s="2">
        <f>IF(popproj!BB6-old!BB6=0,"",(popproj!BB6-old!BB6)/old!BB6)</f>
        <v>-1</v>
      </c>
      <c r="BC6" s="2">
        <f>IF(popproj!BC6-old!BC6=0,"",(popproj!BC6-old!BC6)/old!BC6)</f>
        <v>-1</v>
      </c>
      <c r="BD6" s="2">
        <f>IF(popproj!BD6-old!BD6=0,"",(popproj!BD6-old!BD6)/old!BD6)</f>
        <v>-1</v>
      </c>
      <c r="BE6" s="2">
        <f>IF(popproj!BE6-old!BE6=0,"",(popproj!BE6-old!BE6)/old!BE6)</f>
        <v>-1</v>
      </c>
      <c r="BF6" s="2">
        <f>IF(popproj!BF6-old!BF6=0,"",(popproj!BF6-old!BF6)/old!BF6)</f>
        <v>-1</v>
      </c>
      <c r="BG6" s="2">
        <f>IF(popproj!BG6-old!BG6=0,"",(popproj!BG6-old!BG6)/old!BG6)</f>
        <v>-1</v>
      </c>
      <c r="BH6" s="2">
        <f>IF(popproj!BH6-old!BH6=0,"",(popproj!BH6-old!BH6)/old!BH6)</f>
        <v>-1</v>
      </c>
      <c r="BI6" s="2">
        <f>IF(popproj!BI6-old!BI6=0,"",(popproj!BI6-old!BI6)/old!BI6)</f>
        <v>-1</v>
      </c>
      <c r="BJ6" s="2">
        <f>IF(popproj!BJ6-old!BJ6=0,"",(popproj!BJ6-old!BJ6)/old!BJ6)</f>
        <v>-1</v>
      </c>
      <c r="BK6" s="2">
        <f>IF(popproj!BK6-old!BK6=0,"",(popproj!BK6-old!BK6)/old!BK6)</f>
        <v>-1</v>
      </c>
      <c r="BL6" s="2">
        <f>IF(popproj!BL6-old!BL6=0,"",(popproj!BL6-old!BL6)/old!BL6)</f>
        <v>-1</v>
      </c>
      <c r="BM6" s="2">
        <f>IF(popproj!BM6-old!BM6=0,"",(popproj!BM6-old!BM6)/old!BM6)</f>
        <v>-1</v>
      </c>
      <c r="BN6" s="2">
        <f>IF(popproj!BN6-old!BN6=0,"",(popproj!BN6-old!BN6)/old!BN6)</f>
        <v>-1</v>
      </c>
      <c r="BO6" s="2">
        <f>IF(popproj!BO6-old!BO6=0,"",(popproj!BO6-old!BO6)/old!BO6)</f>
        <v>-1</v>
      </c>
    </row>
    <row r="7" spans="1:67" x14ac:dyDescent="0.2">
      <c r="A7" t="str">
        <f>popproj!A7</f>
        <v>EE_POPTF</v>
      </c>
      <c r="B7" s="2"/>
      <c r="C7" s="2"/>
      <c r="D7" s="2">
        <f>IF(popproj!D7-old!D7=0,"",(popproj!D7-old!D7)/old!D7)</f>
        <v>-1</v>
      </c>
      <c r="E7" s="2">
        <f>IF(popproj!E7-old!E7=0,"",(popproj!E7-old!E7)/old!E7)</f>
        <v>-4.3249208895938746E-3</v>
      </c>
      <c r="F7" s="2">
        <f>IF(popproj!F7-old!F7=0,"",(popproj!F7-old!F7)/old!F7)</f>
        <v>-3.9640388998940703E-3</v>
      </c>
      <c r="G7" s="2">
        <f>IF(popproj!G7-old!G7=0,"",(popproj!G7-old!G7)/old!G7)</f>
        <v>-4.3433157727769999E-3</v>
      </c>
      <c r="H7" s="2">
        <f>IF(popproj!H7-old!H7=0,"",(popproj!H7-old!H7)/old!H7)</f>
        <v>-3.6759088269834408E-3</v>
      </c>
      <c r="I7" s="2">
        <f>IF(popproj!I7-old!I7=0,"",(popproj!I7-old!I7)/old!I7)</f>
        <v>-3.1108510628984317E-3</v>
      </c>
      <c r="J7" s="2">
        <f>IF(popproj!J7-old!J7=0,"",(popproj!J7-old!J7)/old!J7)</f>
        <v>-2.6425425196141641E-3</v>
      </c>
      <c r="K7" s="2">
        <f>IF(popproj!K7-old!K7=0,"",(popproj!K7-old!K7)/old!K7)</f>
        <v>-2.2834033058336512E-3</v>
      </c>
      <c r="L7" s="2">
        <f>IF(popproj!L7-old!L7=0,"",(popproj!L7-old!L7)/old!L7)</f>
        <v>-2.074177229538109E-3</v>
      </c>
      <c r="M7" s="2">
        <f>IF(popproj!M7-old!M7=0,"",(popproj!M7-old!M7)/old!M7)</f>
        <v>-2.0170947488373846E-3</v>
      </c>
      <c r="N7" s="2">
        <f>IF(popproj!N7-old!N7=0,"",(popproj!N7-old!N7)/old!N7)</f>
        <v>-2.1117839616889536E-3</v>
      </c>
      <c r="O7" s="2">
        <f>IF(popproj!O7-old!O7=0,"",(popproj!O7-old!O7)/old!O7)</f>
        <v>-2.3429729723716095E-3</v>
      </c>
      <c r="P7" s="2">
        <f>IF(popproj!P7-old!P7=0,"",(popproj!P7-old!P7)/old!P7)</f>
        <v>-2.7144141934428911E-3</v>
      </c>
      <c r="Q7" s="2">
        <f>IF(popproj!Q7-old!Q7=0,"",(popproj!Q7-old!Q7)/old!Q7)</f>
        <v>-4.3564606825146528E-3</v>
      </c>
      <c r="R7" s="2">
        <f>IF(popproj!R7-old!R7=0,"",(popproj!R7-old!R7)/old!R7)</f>
        <v>-5.2740779107894225E-3</v>
      </c>
      <c r="S7" s="2">
        <f>IF(popproj!S7-old!S7=0,"",(popproj!S7-old!S7)/old!S7)</f>
        <v>-6.2343889010903104E-3</v>
      </c>
      <c r="T7" s="2">
        <f>IF(popproj!T7-old!T7=0,"",(popproj!T7-old!T7)/old!T7)</f>
        <v>-7.2327627098324023E-3</v>
      </c>
      <c r="U7" s="2">
        <f>IF(popproj!U7-old!U7=0,"",(popproj!U7-old!U7)/old!U7)</f>
        <v>-8.149882764435467E-3</v>
      </c>
      <c r="V7" s="2">
        <f>IF(popproj!V7-old!V7=0,"",(popproj!V7-old!V7)/old!V7)</f>
        <v>-9.1286647074379917E-3</v>
      </c>
      <c r="W7" s="2">
        <f>IF(popproj!W7-old!W7=0,"",(popproj!W7-old!W7)/old!W7)</f>
        <v>-1.0138631329473482E-2</v>
      </c>
      <c r="X7" s="2">
        <f>IF(popproj!X7-old!X7=0,"",(popproj!X7-old!X7)/old!X7)</f>
        <v>-1.1173742153009333E-2</v>
      </c>
      <c r="Y7" s="2">
        <f>IF(popproj!Y7-old!Y7=0,"",(popproj!Y7-old!Y7)/old!Y7)</f>
        <v>-1.2236369611239487E-2</v>
      </c>
      <c r="Z7" s="2">
        <f>IF(popproj!Z7-old!Z7=0,"",(popproj!Z7-old!Z7)/old!Z7)</f>
        <v>-1.332191625138149E-2</v>
      </c>
      <c r="AA7" s="2">
        <f>IF(popproj!AA7-old!AA7=0,"",(popproj!AA7-old!AA7)/old!AA7)</f>
        <v>-1.4422768760182992E-2</v>
      </c>
      <c r="AB7" s="2">
        <f>IF(popproj!AB7-old!AB7=0,"",(popproj!AB7-old!AB7)/old!AB7)</f>
        <v>-1.5524926948535989E-2</v>
      </c>
      <c r="AC7" s="2">
        <f>IF(popproj!AC7-old!AC7=0,"",(popproj!AC7-old!AC7)/old!AC7)</f>
        <v>-1.6629476184547298E-2</v>
      </c>
      <c r="AD7" s="2">
        <f>IF(popproj!AD7-old!AD7=0,"",(popproj!AD7-old!AD7)/old!AD7)</f>
        <v>-1.7724818997152128E-2</v>
      </c>
      <c r="AE7" s="2">
        <f>IF(popproj!AE7-old!AE7=0,"",(popproj!AE7-old!AE7)/old!AE7)</f>
        <v>-1.88096051459762E-2</v>
      </c>
      <c r="AF7" s="2">
        <f>IF(popproj!AF7-old!AF7=0,"",(popproj!AF7-old!AF7)/old!AF7)</f>
        <v>-1.9863581965720904E-2</v>
      </c>
      <c r="AG7" s="2">
        <f>IF(popproj!AG7-old!AG7=0,"",(popproj!AG7-old!AG7)/old!AG7)</f>
        <v>-1</v>
      </c>
      <c r="AH7" s="2">
        <f>IF(popproj!AH7-old!AH7=0,"",(popproj!AH7-old!AH7)/old!AH7)</f>
        <v>-1</v>
      </c>
      <c r="AI7" s="2">
        <f>IF(popproj!AI7-old!AI7=0,"",(popproj!AI7-old!AI7)/old!AI7)</f>
        <v>-1</v>
      </c>
      <c r="AJ7" s="2">
        <f>IF(popproj!AJ7-old!AJ7=0,"",(popproj!AJ7-old!AJ7)/old!AJ7)</f>
        <v>-1</v>
      </c>
      <c r="AK7" s="2">
        <f>IF(popproj!AK7-old!AK7=0,"",(popproj!AK7-old!AK7)/old!AK7)</f>
        <v>-1</v>
      </c>
      <c r="AL7" s="2">
        <f>IF(popproj!AL7-old!AL7=0,"",(popproj!AL7-old!AL7)/old!AL7)</f>
        <v>-1</v>
      </c>
      <c r="AM7" s="2">
        <f>IF(popproj!AM7-old!AM7=0,"",(popproj!AM7-old!AM7)/old!AM7)</f>
        <v>-1</v>
      </c>
      <c r="AN7" s="2">
        <f>IF(popproj!AN7-old!AN7=0,"",(popproj!AN7-old!AN7)/old!AN7)</f>
        <v>-1</v>
      </c>
      <c r="AO7" s="2">
        <f>IF(popproj!AO7-old!AO7=0,"",(popproj!AO7-old!AO7)/old!AO7)</f>
        <v>-1</v>
      </c>
      <c r="AP7" s="2">
        <f>IF(popproj!AP7-old!AP7=0,"",(popproj!AP7-old!AP7)/old!AP7)</f>
        <v>-1</v>
      </c>
      <c r="AQ7" s="2">
        <f>IF(popproj!AQ7-old!AQ7=0,"",(popproj!AQ7-old!AQ7)/old!AQ7)</f>
        <v>-1</v>
      </c>
      <c r="AR7" s="2">
        <f>IF(popproj!AR7-old!AR7=0,"",(popproj!AR7-old!AR7)/old!AR7)</f>
        <v>-1</v>
      </c>
      <c r="AS7" s="2">
        <f>IF(popproj!AS7-old!AS7=0,"",(popproj!AS7-old!AS7)/old!AS7)</f>
        <v>-1</v>
      </c>
      <c r="AT7" s="2">
        <f>IF(popproj!AT7-old!AT7=0,"",(popproj!AT7-old!AT7)/old!AT7)</f>
        <v>-1</v>
      </c>
      <c r="AU7" s="2">
        <f>IF(popproj!AU7-old!AU7=0,"",(popproj!AU7-old!AU7)/old!AU7)</f>
        <v>-1</v>
      </c>
      <c r="AV7" s="2">
        <f>IF(popproj!AV7-old!AV7=0,"",(popproj!AV7-old!AV7)/old!AV7)</f>
        <v>-1</v>
      </c>
      <c r="AW7" s="2">
        <f>IF(popproj!AW7-old!AW7=0,"",(popproj!AW7-old!AW7)/old!AW7)</f>
        <v>-1</v>
      </c>
      <c r="AX7" s="2">
        <f>IF(popproj!AX7-old!AX7=0,"",(popproj!AX7-old!AX7)/old!AX7)</f>
        <v>-1</v>
      </c>
      <c r="AY7" s="2">
        <f>IF(popproj!AY7-old!AY7=0,"",(popproj!AY7-old!AY7)/old!AY7)</f>
        <v>-1</v>
      </c>
      <c r="AZ7" s="2">
        <f>IF(popproj!AZ7-old!AZ7=0,"",(popproj!AZ7-old!AZ7)/old!AZ7)</f>
        <v>-1</v>
      </c>
      <c r="BA7" s="2">
        <f>IF(popproj!BA7-old!BA7=0,"",(popproj!BA7-old!BA7)/old!BA7)</f>
        <v>-1</v>
      </c>
      <c r="BB7" s="2">
        <f>IF(popproj!BB7-old!BB7=0,"",(popproj!BB7-old!BB7)/old!BB7)</f>
        <v>-1</v>
      </c>
      <c r="BC7" s="2">
        <f>IF(popproj!BC7-old!BC7=0,"",(popproj!BC7-old!BC7)/old!BC7)</f>
        <v>-1</v>
      </c>
      <c r="BD7" s="2">
        <f>IF(popproj!BD7-old!BD7=0,"",(popproj!BD7-old!BD7)/old!BD7)</f>
        <v>-1</v>
      </c>
      <c r="BE7" s="2">
        <f>IF(popproj!BE7-old!BE7=0,"",(popproj!BE7-old!BE7)/old!BE7)</f>
        <v>-1</v>
      </c>
      <c r="BF7" s="2">
        <f>IF(popproj!BF7-old!BF7=0,"",(popproj!BF7-old!BF7)/old!BF7)</f>
        <v>-1</v>
      </c>
      <c r="BG7" s="2">
        <f>IF(popproj!BG7-old!BG7=0,"",(popproj!BG7-old!BG7)/old!BG7)</f>
        <v>-1</v>
      </c>
      <c r="BH7" s="2">
        <f>IF(popproj!BH7-old!BH7=0,"",(popproj!BH7-old!BH7)/old!BH7)</f>
        <v>-1</v>
      </c>
      <c r="BI7" s="2">
        <f>IF(popproj!BI7-old!BI7=0,"",(popproj!BI7-old!BI7)/old!BI7)</f>
        <v>-1</v>
      </c>
      <c r="BJ7" s="2">
        <f>IF(popproj!BJ7-old!BJ7=0,"",(popproj!BJ7-old!BJ7)/old!BJ7)</f>
        <v>-1</v>
      </c>
      <c r="BK7" s="2">
        <f>IF(popproj!BK7-old!BK7=0,"",(popproj!BK7-old!BK7)/old!BK7)</f>
        <v>-1</v>
      </c>
      <c r="BL7" s="2">
        <f>IF(popproj!BL7-old!BL7=0,"",(popproj!BL7-old!BL7)/old!BL7)</f>
        <v>-1</v>
      </c>
      <c r="BM7" s="2">
        <f>IF(popproj!BM7-old!BM7=0,"",(popproj!BM7-old!BM7)/old!BM7)</f>
        <v>-1</v>
      </c>
      <c r="BN7" s="2">
        <f>IF(popproj!BN7-old!BN7=0,"",(popproj!BN7-old!BN7)/old!BN7)</f>
        <v>-1</v>
      </c>
      <c r="BO7" s="2">
        <f>IF(popproj!BO7-old!BO7=0,"",(popproj!BO7-old!BO7)/old!BO7)</f>
        <v>-1</v>
      </c>
    </row>
    <row r="8" spans="1:67" x14ac:dyDescent="0.2">
      <c r="A8" t="str">
        <f>popproj!A8</f>
        <v>IE_POPTF</v>
      </c>
      <c r="B8" s="2"/>
      <c r="C8" s="2"/>
      <c r="D8" s="2">
        <f>IF(popproj!D8-old!D8=0,"",(popproj!D8-old!D8)/old!D8)</f>
        <v>-1</v>
      </c>
      <c r="E8" s="2">
        <f>IF(popproj!E8-old!E8=0,"",(popproj!E8-old!E8)/old!E8)</f>
        <v>1.876721976047719E-2</v>
      </c>
      <c r="F8" s="2">
        <f>IF(popproj!F8-old!F8=0,"",(popproj!F8-old!F8)/old!F8)</f>
        <v>2.25671428615167E-2</v>
      </c>
      <c r="G8" s="2">
        <f>IF(popproj!G8-old!G8=0,"",(popproj!G8-old!G8)/old!G8)</f>
        <v>2.8558885666119437E-2</v>
      </c>
      <c r="H8" s="2">
        <f>IF(popproj!H8-old!H8=0,"",(popproj!H8-old!H8)/old!H8)</f>
        <v>3.0038795415489466E-2</v>
      </c>
      <c r="I8" s="2">
        <f>IF(popproj!I8-old!I8=0,"",(popproj!I8-old!I8)/old!I8)</f>
        <v>3.0955206298504647E-2</v>
      </c>
      <c r="J8" s="2">
        <f>IF(popproj!J8-old!J8=0,"",(popproj!J8-old!J8)/old!J8)</f>
        <v>3.1297397478535868E-2</v>
      </c>
      <c r="K8" s="2">
        <f>IF(popproj!K8-old!K8=0,"",(popproj!K8-old!K8)/old!K8)</f>
        <v>3.1354021838864238E-2</v>
      </c>
      <c r="L8" s="2">
        <f>IF(popproj!L8-old!L8=0,"",(popproj!L8-old!L8)/old!L8)</f>
        <v>3.1279173597872002E-2</v>
      </c>
      <c r="M8" s="2">
        <f>IF(popproj!M8-old!M8=0,"",(popproj!M8-old!M8)/old!M8)</f>
        <v>3.1059644081977832E-2</v>
      </c>
      <c r="N8" s="2">
        <f>IF(popproj!N8-old!N8=0,"",(popproj!N8-old!N8)/old!N8)</f>
        <v>3.068538769862238E-2</v>
      </c>
      <c r="O8" s="2">
        <f>IF(popproj!O8-old!O8=0,"",(popproj!O8-old!O8)/old!O8)</f>
        <v>3.0164082639761756E-2</v>
      </c>
      <c r="P8" s="2">
        <f>IF(popproj!P8-old!P8=0,"",(popproj!P8-old!P8)/old!P8)</f>
        <v>2.9512616985089755E-2</v>
      </c>
      <c r="Q8" s="2">
        <f>IF(popproj!Q8-old!Q8=0,"",(popproj!Q8-old!Q8)/old!Q8)</f>
        <v>2.8203538078253543E-2</v>
      </c>
      <c r="R8" s="2">
        <f>IF(popproj!R8-old!R8=0,"",(popproj!R8-old!R8)/old!R8)</f>
        <v>2.7542913332525776E-2</v>
      </c>
      <c r="S8" s="2">
        <f>IF(popproj!S8-old!S8=0,"",(popproj!S8-old!S8)/old!S8)</f>
        <v>2.6837015784615424E-2</v>
      </c>
      <c r="T8" s="2">
        <f>IF(popproj!T8-old!T8=0,"",(popproj!T8-old!T8)/old!T8)</f>
        <v>2.6188340301962997E-2</v>
      </c>
      <c r="U8" s="2">
        <f>IF(popproj!U8-old!U8=0,"",(popproj!U8-old!U8)/old!U8)</f>
        <v>2.5519805926752785E-2</v>
      </c>
      <c r="V8" s="2">
        <f>IF(popproj!V8-old!V8=0,"",(popproj!V8-old!V8)/old!V8)</f>
        <v>2.4874191579637248E-2</v>
      </c>
      <c r="W8" s="2">
        <f>IF(popproj!W8-old!W8=0,"",(popproj!W8-old!W8)/old!W8)</f>
        <v>2.4286352903834667E-2</v>
      </c>
      <c r="X8" s="2">
        <f>IF(popproj!X8-old!X8=0,"",(popproj!X8-old!X8)/old!X8)</f>
        <v>2.3784849954846844E-2</v>
      </c>
      <c r="Y8" s="2">
        <f>IF(popproj!Y8-old!Y8=0,"",(popproj!Y8-old!Y8)/old!Y8)</f>
        <v>2.3386537982680547E-2</v>
      </c>
      <c r="Z8" s="2">
        <f>IF(popproj!Z8-old!Z8=0,"",(popproj!Z8-old!Z8)/old!Z8)</f>
        <v>2.3104974898862696E-2</v>
      </c>
      <c r="AA8" s="2">
        <f>IF(popproj!AA8-old!AA8=0,"",(popproj!AA8-old!AA8)/old!AA8)</f>
        <v>2.2937648481033097E-2</v>
      </c>
      <c r="AB8" s="2">
        <f>IF(popproj!AB8-old!AB8=0,"",(popproj!AB8-old!AB8)/old!AB8)</f>
        <v>2.2896006380552551E-2</v>
      </c>
      <c r="AC8" s="2">
        <f>IF(popproj!AC8-old!AC8=0,"",(popproj!AC8-old!AC8)/old!AC8)</f>
        <v>2.2991261592181518E-2</v>
      </c>
      <c r="AD8" s="2">
        <f>IF(popproj!AD8-old!AD8=0,"",(popproj!AD8-old!AD8)/old!AD8)</f>
        <v>2.3263717437897426E-2</v>
      </c>
      <c r="AE8" s="2">
        <f>IF(popproj!AE8-old!AE8=0,"",(popproj!AE8-old!AE8)/old!AE8)</f>
        <v>2.362813796732012E-2</v>
      </c>
      <c r="AF8" s="2">
        <f>IF(popproj!AF8-old!AF8=0,"",(popproj!AF8-old!AF8)/old!AF8)</f>
        <v>2.4102174006742836E-2</v>
      </c>
      <c r="AG8" s="2">
        <f>IF(popproj!AG8-old!AG8=0,"",(popproj!AG8-old!AG8)/old!AG8)</f>
        <v>-1</v>
      </c>
      <c r="AH8" s="2">
        <f>IF(popproj!AH8-old!AH8=0,"",(popproj!AH8-old!AH8)/old!AH8)</f>
        <v>-1</v>
      </c>
      <c r="AI8" s="2">
        <f>IF(popproj!AI8-old!AI8=0,"",(popproj!AI8-old!AI8)/old!AI8)</f>
        <v>-1</v>
      </c>
      <c r="AJ8" s="2">
        <f>IF(popproj!AJ8-old!AJ8=0,"",(popproj!AJ8-old!AJ8)/old!AJ8)</f>
        <v>-1</v>
      </c>
      <c r="AK8" s="2">
        <f>IF(popproj!AK8-old!AK8=0,"",(popproj!AK8-old!AK8)/old!AK8)</f>
        <v>-1</v>
      </c>
      <c r="AL8" s="2">
        <f>IF(popproj!AL8-old!AL8=0,"",(popproj!AL8-old!AL8)/old!AL8)</f>
        <v>-1</v>
      </c>
      <c r="AM8" s="2">
        <f>IF(popproj!AM8-old!AM8=0,"",(popproj!AM8-old!AM8)/old!AM8)</f>
        <v>-1</v>
      </c>
      <c r="AN8" s="2">
        <f>IF(popproj!AN8-old!AN8=0,"",(popproj!AN8-old!AN8)/old!AN8)</f>
        <v>-1</v>
      </c>
      <c r="AO8" s="2">
        <f>IF(popproj!AO8-old!AO8=0,"",(popproj!AO8-old!AO8)/old!AO8)</f>
        <v>-1</v>
      </c>
      <c r="AP8" s="2">
        <f>IF(popproj!AP8-old!AP8=0,"",(popproj!AP8-old!AP8)/old!AP8)</f>
        <v>-1</v>
      </c>
      <c r="AQ8" s="2">
        <f>IF(popproj!AQ8-old!AQ8=0,"",(popproj!AQ8-old!AQ8)/old!AQ8)</f>
        <v>-1</v>
      </c>
      <c r="AR8" s="2">
        <f>IF(popproj!AR8-old!AR8=0,"",(popproj!AR8-old!AR8)/old!AR8)</f>
        <v>-1</v>
      </c>
      <c r="AS8" s="2">
        <f>IF(popproj!AS8-old!AS8=0,"",(popproj!AS8-old!AS8)/old!AS8)</f>
        <v>-1</v>
      </c>
      <c r="AT8" s="2">
        <f>IF(popproj!AT8-old!AT8=0,"",(popproj!AT8-old!AT8)/old!AT8)</f>
        <v>-1</v>
      </c>
      <c r="AU8" s="2">
        <f>IF(popproj!AU8-old!AU8=0,"",(popproj!AU8-old!AU8)/old!AU8)</f>
        <v>-1</v>
      </c>
      <c r="AV8" s="2">
        <f>IF(popproj!AV8-old!AV8=0,"",(popproj!AV8-old!AV8)/old!AV8)</f>
        <v>-1</v>
      </c>
      <c r="AW8" s="2">
        <f>IF(popproj!AW8-old!AW8=0,"",(popproj!AW8-old!AW8)/old!AW8)</f>
        <v>-1</v>
      </c>
      <c r="AX8" s="2">
        <f>IF(popproj!AX8-old!AX8=0,"",(popproj!AX8-old!AX8)/old!AX8)</f>
        <v>-1</v>
      </c>
      <c r="AY8" s="2">
        <f>IF(popproj!AY8-old!AY8=0,"",(popproj!AY8-old!AY8)/old!AY8)</f>
        <v>-1</v>
      </c>
      <c r="AZ8" s="2">
        <f>IF(popproj!AZ8-old!AZ8=0,"",(popproj!AZ8-old!AZ8)/old!AZ8)</f>
        <v>-1</v>
      </c>
      <c r="BA8" s="2">
        <f>IF(popproj!BA8-old!BA8=0,"",(popproj!BA8-old!BA8)/old!BA8)</f>
        <v>-1</v>
      </c>
      <c r="BB8" s="2">
        <f>IF(popproj!BB8-old!BB8=0,"",(popproj!BB8-old!BB8)/old!BB8)</f>
        <v>-1</v>
      </c>
      <c r="BC8" s="2">
        <f>IF(popproj!BC8-old!BC8=0,"",(popproj!BC8-old!BC8)/old!BC8)</f>
        <v>-1</v>
      </c>
      <c r="BD8" s="2">
        <f>IF(popproj!BD8-old!BD8=0,"",(popproj!BD8-old!BD8)/old!BD8)</f>
        <v>-1</v>
      </c>
      <c r="BE8" s="2">
        <f>IF(popproj!BE8-old!BE8=0,"",(popproj!BE8-old!BE8)/old!BE8)</f>
        <v>-1</v>
      </c>
      <c r="BF8" s="2">
        <f>IF(popproj!BF8-old!BF8=0,"",(popproj!BF8-old!BF8)/old!BF8)</f>
        <v>-1</v>
      </c>
      <c r="BG8" s="2">
        <f>IF(popproj!BG8-old!BG8=0,"",(popproj!BG8-old!BG8)/old!BG8)</f>
        <v>-1</v>
      </c>
      <c r="BH8" s="2">
        <f>IF(popproj!BH8-old!BH8=0,"",(popproj!BH8-old!BH8)/old!BH8)</f>
        <v>-1</v>
      </c>
      <c r="BI8" s="2">
        <f>IF(popproj!BI8-old!BI8=0,"",(popproj!BI8-old!BI8)/old!BI8)</f>
        <v>-1</v>
      </c>
      <c r="BJ8" s="2">
        <f>IF(popproj!BJ8-old!BJ8=0,"",(popproj!BJ8-old!BJ8)/old!BJ8)</f>
        <v>-1</v>
      </c>
      <c r="BK8" s="2">
        <f>IF(popproj!BK8-old!BK8=0,"",(popproj!BK8-old!BK8)/old!BK8)</f>
        <v>-1</v>
      </c>
      <c r="BL8" s="2">
        <f>IF(popproj!BL8-old!BL8=0,"",(popproj!BL8-old!BL8)/old!BL8)</f>
        <v>-1</v>
      </c>
      <c r="BM8" s="2">
        <f>IF(popproj!BM8-old!BM8=0,"",(popproj!BM8-old!BM8)/old!BM8)</f>
        <v>-1</v>
      </c>
      <c r="BN8" s="2">
        <f>IF(popproj!BN8-old!BN8=0,"",(popproj!BN8-old!BN8)/old!BN8)</f>
        <v>-1</v>
      </c>
      <c r="BO8" s="2">
        <f>IF(popproj!BO8-old!BO8=0,"",(popproj!BO8-old!BO8)/old!BO8)</f>
        <v>-1</v>
      </c>
    </row>
    <row r="9" spans="1:67" x14ac:dyDescent="0.2">
      <c r="A9" t="str">
        <f>popproj!A9</f>
        <v>EL_POPTF</v>
      </c>
      <c r="B9" s="2"/>
      <c r="C9" s="2"/>
      <c r="D9" s="2">
        <f>IF(popproj!D9-old!D9=0,"",(popproj!D9-old!D9)/old!D9)</f>
        <v>-1</v>
      </c>
      <c r="E9" s="2">
        <f>IF(popproj!E9-old!E9=0,"",(popproj!E9-old!E9)/old!E9)</f>
        <v>-2.4576294129088135E-4</v>
      </c>
      <c r="F9" s="2">
        <f>IF(popproj!F9-old!F9=0,"",(popproj!F9-old!F9)/old!F9)</f>
        <v>2.4703101902006754E-3</v>
      </c>
      <c r="G9" s="2">
        <f>IF(popproj!G9-old!G9=0,"",(popproj!G9-old!G9)/old!G9)</f>
        <v>2.3625135702577934E-3</v>
      </c>
      <c r="H9" s="2">
        <f>IF(popproj!H9-old!H9=0,"",(popproj!H9-old!H9)/old!H9)</f>
        <v>1.4397635596729444E-3</v>
      </c>
      <c r="I9" s="2">
        <f>IF(popproj!I9-old!I9=0,"",(popproj!I9-old!I9)/old!I9)</f>
        <v>6.3825666988505012E-4</v>
      </c>
      <c r="J9" s="2">
        <f>IF(popproj!J9-old!J9=0,"",(popproj!J9-old!J9)/old!J9)</f>
        <v>-6.2368950076365016E-5</v>
      </c>
      <c r="K9" s="2">
        <f>IF(popproj!K9-old!K9=0,"",(popproj!K9-old!K9)/old!K9)</f>
        <v>-3.8135041851920088E-4</v>
      </c>
      <c r="L9" s="2">
        <f>IF(popproj!L9-old!L9=0,"",(popproj!L9-old!L9)/old!L9)</f>
        <v>-6.6593272195639294E-4</v>
      </c>
      <c r="M9" s="2">
        <f>IF(popproj!M9-old!M9=0,"",(popproj!M9-old!M9)/old!M9)</f>
        <v>-9.2486276925125008E-4</v>
      </c>
      <c r="N9" s="2">
        <f>IF(popproj!N9-old!N9=0,"",(popproj!N9-old!N9)/old!N9)</f>
        <v>-1.158203851539416E-3</v>
      </c>
      <c r="O9" s="2">
        <f>IF(popproj!O9-old!O9=0,"",(popproj!O9-old!O9)/old!O9)</f>
        <v>-1.3647953947278392E-3</v>
      </c>
      <c r="P9" s="2">
        <f>IF(popproj!P9-old!P9=0,"",(popproj!P9-old!P9)/old!P9)</f>
        <v>-1.5115898406812235E-3</v>
      </c>
      <c r="Q9" s="2">
        <f>IF(popproj!Q9-old!Q9=0,"",(popproj!Q9-old!Q9)/old!Q9)</f>
        <v>-1.7084929612405833E-3</v>
      </c>
      <c r="R9" s="2">
        <f>IF(popproj!R9-old!R9=0,"",(popproj!R9-old!R9)/old!R9)</f>
        <v>-1.7371168640450808E-3</v>
      </c>
      <c r="S9" s="2">
        <f>IF(popproj!S9-old!S9=0,"",(popproj!S9-old!S9)/old!S9)</f>
        <v>-1.7119424533760599E-3</v>
      </c>
      <c r="T9" s="2">
        <f>IF(popproj!T9-old!T9=0,"",(popproj!T9-old!T9)/old!T9)</f>
        <v>-1.6890175018828186E-3</v>
      </c>
      <c r="U9" s="2">
        <f>IF(popproj!U9-old!U9=0,"",(popproj!U9-old!U9)/old!U9)</f>
        <v>-1.5506817251671843E-3</v>
      </c>
      <c r="V9" s="2">
        <f>IF(popproj!V9-old!V9=0,"",(popproj!V9-old!V9)/old!V9)</f>
        <v>-1.3660260336479432E-3</v>
      </c>
      <c r="W9" s="2">
        <f>IF(popproj!W9-old!W9=0,"",(popproj!W9-old!W9)/old!W9)</f>
        <v>-1.1568462078153786E-3</v>
      </c>
      <c r="X9" s="2">
        <f>IF(popproj!X9-old!X9=0,"",(popproj!X9-old!X9)/old!X9)</f>
        <v>-9.2434696716738301E-4</v>
      </c>
      <c r="Y9" s="2">
        <f>IF(popproj!Y9-old!Y9=0,"",(popproj!Y9-old!Y9)/old!Y9)</f>
        <v>-6.5534318651691841E-4</v>
      </c>
      <c r="Z9" s="2">
        <f>IF(popproj!Z9-old!Z9=0,"",(popproj!Z9-old!Z9)/old!Z9)</f>
        <v>-3.4111354046487613E-4</v>
      </c>
      <c r="AA9" s="2">
        <f>IF(popproj!AA9-old!AA9=0,"",(popproj!AA9-old!AA9)/old!AA9)</f>
        <v>3.3753046699287402E-5</v>
      </c>
      <c r="AB9" s="2">
        <f>IF(popproj!AB9-old!AB9=0,"",(popproj!AB9-old!AB9)/old!AB9)</f>
        <v>4.6232819513231192E-4</v>
      </c>
      <c r="AC9" s="2">
        <f>IF(popproj!AC9-old!AC9=0,"",(popproj!AC9-old!AC9)/old!AC9)</f>
        <v>9.4682810395975555E-4</v>
      </c>
      <c r="AD9" s="2">
        <f>IF(popproj!AD9-old!AD9=0,"",(popproj!AD9-old!AD9)/old!AD9)</f>
        <v>1.4808295024056044E-3</v>
      </c>
      <c r="AE9" s="2">
        <f>IF(popproj!AE9-old!AE9=0,"",(popproj!AE9-old!AE9)/old!AE9)</f>
        <v>2.0591302867588282E-3</v>
      </c>
      <c r="AF9" s="2">
        <f>IF(popproj!AF9-old!AF9=0,"",(popproj!AF9-old!AF9)/old!AF9)</f>
        <v>2.6717242627075058E-3</v>
      </c>
      <c r="AG9" s="2">
        <f>IF(popproj!AG9-old!AG9=0,"",(popproj!AG9-old!AG9)/old!AG9)</f>
        <v>-1</v>
      </c>
      <c r="AH9" s="2">
        <f>IF(popproj!AH9-old!AH9=0,"",(popproj!AH9-old!AH9)/old!AH9)</f>
        <v>-1</v>
      </c>
      <c r="AI9" s="2">
        <f>IF(popproj!AI9-old!AI9=0,"",(popproj!AI9-old!AI9)/old!AI9)</f>
        <v>-1</v>
      </c>
      <c r="AJ9" s="2">
        <f>IF(popproj!AJ9-old!AJ9=0,"",(popproj!AJ9-old!AJ9)/old!AJ9)</f>
        <v>-1</v>
      </c>
      <c r="AK9" s="2">
        <f>IF(popproj!AK9-old!AK9=0,"",(popproj!AK9-old!AK9)/old!AK9)</f>
        <v>-1</v>
      </c>
      <c r="AL9" s="2">
        <f>IF(popproj!AL9-old!AL9=0,"",(popproj!AL9-old!AL9)/old!AL9)</f>
        <v>-1</v>
      </c>
      <c r="AM9" s="2">
        <f>IF(popproj!AM9-old!AM9=0,"",(popproj!AM9-old!AM9)/old!AM9)</f>
        <v>-1</v>
      </c>
      <c r="AN9" s="2">
        <f>IF(popproj!AN9-old!AN9=0,"",(popproj!AN9-old!AN9)/old!AN9)</f>
        <v>-1</v>
      </c>
      <c r="AO9" s="2">
        <f>IF(popproj!AO9-old!AO9=0,"",(popproj!AO9-old!AO9)/old!AO9)</f>
        <v>-1</v>
      </c>
      <c r="AP9" s="2">
        <f>IF(popproj!AP9-old!AP9=0,"",(popproj!AP9-old!AP9)/old!AP9)</f>
        <v>-1</v>
      </c>
      <c r="AQ9" s="2">
        <f>IF(popproj!AQ9-old!AQ9=0,"",(popproj!AQ9-old!AQ9)/old!AQ9)</f>
        <v>-1</v>
      </c>
      <c r="AR9" s="2">
        <f>IF(popproj!AR9-old!AR9=0,"",(popproj!AR9-old!AR9)/old!AR9)</f>
        <v>-1</v>
      </c>
      <c r="AS9" s="2">
        <f>IF(popproj!AS9-old!AS9=0,"",(popproj!AS9-old!AS9)/old!AS9)</f>
        <v>-1</v>
      </c>
      <c r="AT9" s="2">
        <f>IF(popproj!AT9-old!AT9=0,"",(popproj!AT9-old!AT9)/old!AT9)</f>
        <v>-1</v>
      </c>
      <c r="AU9" s="2">
        <f>IF(popproj!AU9-old!AU9=0,"",(popproj!AU9-old!AU9)/old!AU9)</f>
        <v>-1</v>
      </c>
      <c r="AV9" s="2">
        <f>IF(popproj!AV9-old!AV9=0,"",(popproj!AV9-old!AV9)/old!AV9)</f>
        <v>-1</v>
      </c>
      <c r="AW9" s="2">
        <f>IF(popproj!AW9-old!AW9=0,"",(popproj!AW9-old!AW9)/old!AW9)</f>
        <v>-1</v>
      </c>
      <c r="AX9" s="2">
        <f>IF(popproj!AX9-old!AX9=0,"",(popproj!AX9-old!AX9)/old!AX9)</f>
        <v>-1</v>
      </c>
      <c r="AY9" s="2">
        <f>IF(popproj!AY9-old!AY9=0,"",(popproj!AY9-old!AY9)/old!AY9)</f>
        <v>-1</v>
      </c>
      <c r="AZ9" s="2">
        <f>IF(popproj!AZ9-old!AZ9=0,"",(popproj!AZ9-old!AZ9)/old!AZ9)</f>
        <v>-1</v>
      </c>
      <c r="BA9" s="2">
        <f>IF(popproj!BA9-old!BA9=0,"",(popproj!BA9-old!BA9)/old!BA9)</f>
        <v>-1</v>
      </c>
      <c r="BB9" s="2">
        <f>IF(popproj!BB9-old!BB9=0,"",(popproj!BB9-old!BB9)/old!BB9)</f>
        <v>-1</v>
      </c>
      <c r="BC9" s="2">
        <f>IF(popproj!BC9-old!BC9=0,"",(popproj!BC9-old!BC9)/old!BC9)</f>
        <v>-1</v>
      </c>
      <c r="BD9" s="2">
        <f>IF(popproj!BD9-old!BD9=0,"",(popproj!BD9-old!BD9)/old!BD9)</f>
        <v>-1</v>
      </c>
      <c r="BE9" s="2">
        <f>IF(popproj!BE9-old!BE9=0,"",(popproj!BE9-old!BE9)/old!BE9)</f>
        <v>-1</v>
      </c>
      <c r="BF9" s="2">
        <f>IF(popproj!BF9-old!BF9=0,"",(popproj!BF9-old!BF9)/old!BF9)</f>
        <v>-1</v>
      </c>
      <c r="BG9" s="2">
        <f>IF(popproj!BG9-old!BG9=0,"",(popproj!BG9-old!BG9)/old!BG9)</f>
        <v>-1</v>
      </c>
      <c r="BH9" s="2">
        <f>IF(popproj!BH9-old!BH9=0,"",(popproj!BH9-old!BH9)/old!BH9)</f>
        <v>-1</v>
      </c>
      <c r="BI9" s="2">
        <f>IF(popproj!BI9-old!BI9=0,"",(popproj!BI9-old!BI9)/old!BI9)</f>
        <v>-1</v>
      </c>
      <c r="BJ9" s="2">
        <f>IF(popproj!BJ9-old!BJ9=0,"",(popproj!BJ9-old!BJ9)/old!BJ9)</f>
        <v>-1</v>
      </c>
      <c r="BK9" s="2">
        <f>IF(popproj!BK9-old!BK9=0,"",(popproj!BK9-old!BK9)/old!BK9)</f>
        <v>-1</v>
      </c>
      <c r="BL9" s="2">
        <f>IF(popproj!BL9-old!BL9=0,"",(popproj!BL9-old!BL9)/old!BL9)</f>
        <v>-1</v>
      </c>
      <c r="BM9" s="2">
        <f>IF(popproj!BM9-old!BM9=0,"",(popproj!BM9-old!BM9)/old!BM9)</f>
        <v>-1</v>
      </c>
      <c r="BN9" s="2">
        <f>IF(popproj!BN9-old!BN9=0,"",(popproj!BN9-old!BN9)/old!BN9)</f>
        <v>-1</v>
      </c>
      <c r="BO9" s="2">
        <f>IF(popproj!BO9-old!BO9=0,"",(popproj!BO9-old!BO9)/old!BO9)</f>
        <v>-1</v>
      </c>
    </row>
    <row r="10" spans="1:67" x14ac:dyDescent="0.2">
      <c r="A10" t="str">
        <f>popproj!A10</f>
        <v>ES_POPTF</v>
      </c>
      <c r="B10" s="2"/>
      <c r="C10" s="2"/>
      <c r="D10" s="2">
        <f>IF(popproj!D10-old!D10=0,"",(popproj!D10-old!D10)/old!D10)</f>
        <v>-1</v>
      </c>
      <c r="E10" s="2">
        <f>IF(popproj!E10-old!E10=0,"",(popproj!E10-old!E10)/old!E10)</f>
        <v>2.1879149612474965E-3</v>
      </c>
      <c r="F10" s="2">
        <f>IF(popproj!F10-old!F10=0,"",(popproj!F10-old!F10)/old!F10)</f>
        <v>5.4634769608829991E-3</v>
      </c>
      <c r="G10" s="2">
        <f>IF(popproj!G10-old!G10=0,"",(popproj!G10-old!G10)/old!G10)</f>
        <v>9.0886669412100114E-3</v>
      </c>
      <c r="H10" s="2">
        <f>IF(popproj!H10-old!H10=0,"",(popproj!H10-old!H10)/old!H10)</f>
        <v>1.1583992512377933E-2</v>
      </c>
      <c r="I10" s="2">
        <f>IF(popproj!I10-old!I10=0,"",(popproj!I10-old!I10)/old!I10)</f>
        <v>1.389972274472371E-2</v>
      </c>
      <c r="J10" s="2">
        <f>IF(popproj!J10-old!J10=0,"",(popproj!J10-old!J10)/old!J10)</f>
        <v>1.5946110229812738E-2</v>
      </c>
      <c r="K10" s="2">
        <f>IF(popproj!K10-old!K10=0,"",(popproj!K10-old!K10)/old!K10)</f>
        <v>1.774805280084097E-2</v>
      </c>
      <c r="L10" s="2">
        <f>IF(popproj!L10-old!L10=0,"",(popproj!L10-old!L10)/old!L10)</f>
        <v>1.9512216409668718E-2</v>
      </c>
      <c r="M10" s="2">
        <f>IF(popproj!M10-old!M10=0,"",(popproj!M10-old!M10)/old!M10)</f>
        <v>2.1233844574676988E-2</v>
      </c>
      <c r="N10" s="2">
        <f>IF(popproj!N10-old!N10=0,"",(popproj!N10-old!N10)/old!N10)</f>
        <v>2.2911965473146893E-2</v>
      </c>
      <c r="O10" s="2">
        <f>IF(popproj!O10-old!O10=0,"",(popproj!O10-old!O10)/old!O10)</f>
        <v>2.4540525597875656E-2</v>
      </c>
      <c r="P10" s="2">
        <f>IF(popproj!P10-old!P10=0,"",(popproj!P10-old!P10)/old!P10)</f>
        <v>2.6119972114251339E-2</v>
      </c>
      <c r="Q10" s="2">
        <f>IF(popproj!Q10-old!Q10=0,"",(popproj!Q10-old!Q10)/old!Q10)</f>
        <v>2.7522581977985936E-2</v>
      </c>
      <c r="R10" s="2">
        <f>IF(popproj!R10-old!R10=0,"",(popproj!R10-old!R10)/old!R10)</f>
        <v>2.9004751897759924E-2</v>
      </c>
      <c r="S10" s="2">
        <f>IF(popproj!S10-old!S10=0,"",(popproj!S10-old!S10)/old!S10)</f>
        <v>3.0432863027998698E-2</v>
      </c>
      <c r="T10" s="2">
        <f>IF(popproj!T10-old!T10=0,"",(popproj!T10-old!T10)/old!T10)</f>
        <v>3.1833354091791805E-2</v>
      </c>
      <c r="U10" s="2">
        <f>IF(popproj!U10-old!U10=0,"",(popproj!U10-old!U10)/old!U10)</f>
        <v>3.3207587922155515E-2</v>
      </c>
      <c r="V10" s="2">
        <f>IF(popproj!V10-old!V10=0,"",(popproj!V10-old!V10)/old!V10)</f>
        <v>3.4544505701184378E-2</v>
      </c>
      <c r="W10" s="2">
        <f>IF(popproj!W10-old!W10=0,"",(popproj!W10-old!W10)/old!W10)</f>
        <v>3.5865841426334109E-2</v>
      </c>
      <c r="X10" s="2">
        <f>IF(popproj!X10-old!X10=0,"",(popproj!X10-old!X10)/old!X10)</f>
        <v>3.717926449144663E-2</v>
      </c>
      <c r="Y10" s="2">
        <f>IF(popproj!Y10-old!Y10=0,"",(popproj!Y10-old!Y10)/old!Y10)</f>
        <v>3.84961747113894E-2</v>
      </c>
      <c r="Z10" s="2">
        <f>IF(popproj!Z10-old!Z10=0,"",(popproj!Z10-old!Z10)/old!Z10)</f>
        <v>3.9824203064401417E-2</v>
      </c>
      <c r="AA10" s="2">
        <f>IF(popproj!AA10-old!AA10=0,"",(popproj!AA10-old!AA10)/old!AA10)</f>
        <v>4.1177934557322091E-2</v>
      </c>
      <c r="AB10" s="2">
        <f>IF(popproj!AB10-old!AB10=0,"",(popproj!AB10-old!AB10)/old!AB10)</f>
        <v>4.256556477924392E-2</v>
      </c>
      <c r="AC10" s="2">
        <f>IF(popproj!AC10-old!AC10=0,"",(popproj!AC10-old!AC10)/old!AC10)</f>
        <v>4.3995711365828145E-2</v>
      </c>
      <c r="AD10" s="2">
        <f>IF(popproj!AD10-old!AD10=0,"",(popproj!AD10-old!AD10)/old!AD10)</f>
        <v>4.5473548895603795E-2</v>
      </c>
      <c r="AE10" s="2">
        <f>IF(popproj!AE10-old!AE10=0,"",(popproj!AE10-old!AE10)/old!AE10)</f>
        <v>4.7003554463568083E-2</v>
      </c>
      <c r="AF10" s="2">
        <f>IF(popproj!AF10-old!AF10=0,"",(popproj!AF10-old!AF10)/old!AF10)</f>
        <v>4.8585100630178332E-2</v>
      </c>
      <c r="AG10" s="2">
        <f>IF(popproj!AG10-old!AG10=0,"",(popproj!AG10-old!AG10)/old!AG10)</f>
        <v>-1</v>
      </c>
      <c r="AH10" s="2">
        <f>IF(popproj!AH10-old!AH10=0,"",(popproj!AH10-old!AH10)/old!AH10)</f>
        <v>-1</v>
      </c>
      <c r="AI10" s="2">
        <f>IF(popproj!AI10-old!AI10=0,"",(popproj!AI10-old!AI10)/old!AI10)</f>
        <v>-1</v>
      </c>
      <c r="AJ10" s="2">
        <f>IF(popproj!AJ10-old!AJ10=0,"",(popproj!AJ10-old!AJ10)/old!AJ10)</f>
        <v>-1</v>
      </c>
      <c r="AK10" s="2">
        <f>IF(popproj!AK10-old!AK10=0,"",(popproj!AK10-old!AK10)/old!AK10)</f>
        <v>-1</v>
      </c>
      <c r="AL10" s="2">
        <f>IF(popproj!AL10-old!AL10=0,"",(popproj!AL10-old!AL10)/old!AL10)</f>
        <v>-1</v>
      </c>
      <c r="AM10" s="2">
        <f>IF(popproj!AM10-old!AM10=0,"",(popproj!AM10-old!AM10)/old!AM10)</f>
        <v>-1</v>
      </c>
      <c r="AN10" s="2">
        <f>IF(popproj!AN10-old!AN10=0,"",(popproj!AN10-old!AN10)/old!AN10)</f>
        <v>-1</v>
      </c>
      <c r="AO10" s="2">
        <f>IF(popproj!AO10-old!AO10=0,"",(popproj!AO10-old!AO10)/old!AO10)</f>
        <v>-1</v>
      </c>
      <c r="AP10" s="2">
        <f>IF(popproj!AP10-old!AP10=0,"",(popproj!AP10-old!AP10)/old!AP10)</f>
        <v>-1</v>
      </c>
      <c r="AQ10" s="2">
        <f>IF(popproj!AQ10-old!AQ10=0,"",(popproj!AQ10-old!AQ10)/old!AQ10)</f>
        <v>-1</v>
      </c>
      <c r="AR10" s="2">
        <f>IF(popproj!AR10-old!AR10=0,"",(popproj!AR10-old!AR10)/old!AR10)</f>
        <v>-1</v>
      </c>
      <c r="AS10" s="2">
        <f>IF(popproj!AS10-old!AS10=0,"",(popproj!AS10-old!AS10)/old!AS10)</f>
        <v>-1</v>
      </c>
      <c r="AT10" s="2">
        <f>IF(popproj!AT10-old!AT10=0,"",(popproj!AT10-old!AT10)/old!AT10)</f>
        <v>-1</v>
      </c>
      <c r="AU10" s="2">
        <f>IF(popproj!AU10-old!AU10=0,"",(popproj!AU10-old!AU10)/old!AU10)</f>
        <v>-1</v>
      </c>
      <c r="AV10" s="2">
        <f>IF(popproj!AV10-old!AV10=0,"",(popproj!AV10-old!AV10)/old!AV10)</f>
        <v>-1</v>
      </c>
      <c r="AW10" s="2">
        <f>IF(popproj!AW10-old!AW10=0,"",(popproj!AW10-old!AW10)/old!AW10)</f>
        <v>-1</v>
      </c>
      <c r="AX10" s="2">
        <f>IF(popproj!AX10-old!AX10=0,"",(popproj!AX10-old!AX10)/old!AX10)</f>
        <v>-1</v>
      </c>
      <c r="AY10" s="2">
        <f>IF(popproj!AY10-old!AY10=0,"",(popproj!AY10-old!AY10)/old!AY10)</f>
        <v>-1</v>
      </c>
      <c r="AZ10" s="2">
        <f>IF(popproj!AZ10-old!AZ10=0,"",(popproj!AZ10-old!AZ10)/old!AZ10)</f>
        <v>-1</v>
      </c>
      <c r="BA10" s="2">
        <f>IF(popproj!BA10-old!BA10=0,"",(popproj!BA10-old!BA10)/old!BA10)</f>
        <v>-1</v>
      </c>
      <c r="BB10" s="2">
        <f>IF(popproj!BB10-old!BB10=0,"",(popproj!BB10-old!BB10)/old!BB10)</f>
        <v>-1</v>
      </c>
      <c r="BC10" s="2">
        <f>IF(popproj!BC10-old!BC10=0,"",(popproj!BC10-old!BC10)/old!BC10)</f>
        <v>-1</v>
      </c>
      <c r="BD10" s="2">
        <f>IF(popproj!BD10-old!BD10=0,"",(popproj!BD10-old!BD10)/old!BD10)</f>
        <v>-1</v>
      </c>
      <c r="BE10" s="2">
        <f>IF(popproj!BE10-old!BE10=0,"",(popproj!BE10-old!BE10)/old!BE10)</f>
        <v>-1</v>
      </c>
      <c r="BF10" s="2">
        <f>IF(popproj!BF10-old!BF10=0,"",(popproj!BF10-old!BF10)/old!BF10)</f>
        <v>-1</v>
      </c>
      <c r="BG10" s="2">
        <f>IF(popproj!BG10-old!BG10=0,"",(popproj!BG10-old!BG10)/old!BG10)</f>
        <v>-1</v>
      </c>
      <c r="BH10" s="2">
        <f>IF(popproj!BH10-old!BH10=0,"",(popproj!BH10-old!BH10)/old!BH10)</f>
        <v>-1</v>
      </c>
      <c r="BI10" s="2">
        <f>IF(popproj!BI10-old!BI10=0,"",(popproj!BI10-old!BI10)/old!BI10)</f>
        <v>-1</v>
      </c>
      <c r="BJ10" s="2">
        <f>IF(popproj!BJ10-old!BJ10=0,"",(popproj!BJ10-old!BJ10)/old!BJ10)</f>
        <v>-1</v>
      </c>
      <c r="BK10" s="2">
        <f>IF(popproj!BK10-old!BK10=0,"",(popproj!BK10-old!BK10)/old!BK10)</f>
        <v>-1</v>
      </c>
      <c r="BL10" s="2">
        <f>IF(popproj!BL10-old!BL10=0,"",(popproj!BL10-old!BL10)/old!BL10)</f>
        <v>-1</v>
      </c>
      <c r="BM10" s="2">
        <f>IF(popproj!BM10-old!BM10=0,"",(popproj!BM10-old!BM10)/old!BM10)</f>
        <v>-1</v>
      </c>
      <c r="BN10" s="2">
        <f>IF(popproj!BN10-old!BN10=0,"",(popproj!BN10-old!BN10)/old!BN10)</f>
        <v>-1</v>
      </c>
      <c r="BO10" s="2">
        <f>IF(popproj!BO10-old!BO10=0,"",(popproj!BO10-old!BO10)/old!BO10)</f>
        <v>-1</v>
      </c>
    </row>
    <row r="11" spans="1:67" x14ac:dyDescent="0.2">
      <c r="A11" t="str">
        <f>popproj!A11</f>
        <v>FR_POPTF</v>
      </c>
      <c r="B11" s="2"/>
      <c r="C11" s="2"/>
      <c r="D11" s="2">
        <f>IF(popproj!D11-old!D11=0,"",(popproj!D11-old!D11)/old!D11)</f>
        <v>-1</v>
      </c>
      <c r="E11" s="2">
        <f>IF(popproj!E11-old!E11=0,"",(popproj!E11-old!E11)/old!E11)</f>
        <v>-8.0112698027526557E-4</v>
      </c>
      <c r="F11" s="2">
        <f>IF(popproj!F11-old!F11=0,"",(popproj!F11-old!F11)/old!F11)</f>
        <v>-9.610649233809897E-4</v>
      </c>
      <c r="G11" s="2">
        <f>IF(popproj!G11-old!G11=0,"",(popproj!G11-old!G11)/old!G11)</f>
        <v>-7.3086657078206055E-4</v>
      </c>
      <c r="H11" s="2">
        <f>IF(popproj!H11-old!H11=0,"",(popproj!H11-old!H11)/old!H11)</f>
        <v>-1.8275838587340296E-4</v>
      </c>
      <c r="I11" s="2">
        <f>IF(popproj!I11-old!I11=0,"",(popproj!I11-old!I11)/old!I11)</f>
        <v>5.3865448640968365E-4</v>
      </c>
      <c r="J11" s="2">
        <f>IF(popproj!J11-old!J11=0,"",(popproj!J11-old!J11)/old!J11)</f>
        <v>1.4419536189864354E-3</v>
      </c>
      <c r="K11" s="2">
        <f>IF(popproj!K11-old!K11=0,"",(popproj!K11-old!K11)/old!K11)</f>
        <v>2.2088536089191089E-3</v>
      </c>
      <c r="L11" s="2">
        <f>IF(popproj!L11-old!L11=0,"",(popproj!L11-old!L11)/old!L11)</f>
        <v>2.9269936644904849E-3</v>
      </c>
      <c r="M11" s="2">
        <f>IF(popproj!M11-old!M11=0,"",(popproj!M11-old!M11)/old!M11)</f>
        <v>3.6022164945591533E-3</v>
      </c>
      <c r="N11" s="2">
        <f>IF(popproj!N11-old!N11=0,"",(popproj!N11-old!N11)/old!N11)</f>
        <v>4.2560917015630299E-3</v>
      </c>
      <c r="O11" s="2">
        <f>IF(popproj!O11-old!O11=0,"",(popproj!O11-old!O11)/old!O11)</f>
        <v>4.8954136293392157E-3</v>
      </c>
      <c r="P11" s="2">
        <f>IF(popproj!P11-old!P11=0,"",(popproj!P11-old!P11)/old!P11)</f>
        <v>5.5262069445404524E-3</v>
      </c>
      <c r="Q11" s="2">
        <f>IF(popproj!Q11-old!Q11=0,"",(popproj!Q11-old!Q11)/old!Q11)</f>
        <v>6.0999076547033626E-3</v>
      </c>
      <c r="R11" s="2">
        <f>IF(popproj!R11-old!R11=0,"",(popproj!R11-old!R11)/old!R11)</f>
        <v>6.7382162829658521E-3</v>
      </c>
      <c r="S11" s="2">
        <f>IF(popproj!S11-old!S11=0,"",(popproj!S11-old!S11)/old!S11)</f>
        <v>7.4051383966267786E-3</v>
      </c>
      <c r="T11" s="2">
        <f>IF(popproj!T11-old!T11=0,"",(popproj!T11-old!T11)/old!T11)</f>
        <v>8.2067710985127482E-3</v>
      </c>
      <c r="U11" s="2">
        <f>IF(popproj!U11-old!U11=0,"",(popproj!U11-old!U11)/old!U11)</f>
        <v>9.0296054177064732E-3</v>
      </c>
      <c r="V11" s="2">
        <f>IF(popproj!V11-old!V11=0,"",(popproj!V11-old!V11)/old!V11)</f>
        <v>9.8385357336602426E-3</v>
      </c>
      <c r="W11" s="2">
        <f>IF(popproj!W11-old!W11=0,"",(popproj!W11-old!W11)/old!W11)</f>
        <v>1.0693058585047157E-2</v>
      </c>
      <c r="X11" s="2">
        <f>IF(popproj!X11-old!X11=0,"",(popproj!X11-old!X11)/old!X11)</f>
        <v>1.1607115224761015E-2</v>
      </c>
      <c r="Y11" s="2">
        <f>IF(popproj!Y11-old!Y11=0,"",(popproj!Y11-old!Y11)/old!Y11)</f>
        <v>1.2544288592671281E-2</v>
      </c>
      <c r="Z11" s="2">
        <f>IF(popproj!Z11-old!Z11=0,"",(popproj!Z11-old!Z11)/old!Z11)</f>
        <v>1.3520599322457201E-2</v>
      </c>
      <c r="AA11" s="2">
        <f>IF(popproj!AA11-old!AA11=0,"",(popproj!AA11-old!AA11)/old!AA11)</f>
        <v>1.4520442850334745E-2</v>
      </c>
      <c r="AB11" s="2">
        <f>IF(popproj!AB11-old!AB11=0,"",(popproj!AB11-old!AB11)/old!AB11)</f>
        <v>1.5544132302837615E-2</v>
      </c>
      <c r="AC11" s="2">
        <f>IF(popproj!AC11-old!AC11=0,"",(popproj!AC11-old!AC11)/old!AC11)</f>
        <v>1.6587230628878423E-2</v>
      </c>
      <c r="AD11" s="2">
        <f>IF(popproj!AD11-old!AD11=0,"",(popproj!AD11-old!AD11)/old!AD11)</f>
        <v>1.7639746411725464E-2</v>
      </c>
      <c r="AE11" s="2">
        <f>IF(popproj!AE11-old!AE11=0,"",(popproj!AE11-old!AE11)/old!AE11)</f>
        <v>1.8716064605376156E-2</v>
      </c>
      <c r="AF11" s="2">
        <f>IF(popproj!AF11-old!AF11=0,"",(popproj!AF11-old!AF11)/old!AF11)</f>
        <v>1.9779348085909861E-2</v>
      </c>
      <c r="AG11" s="2">
        <f>IF(popproj!AG11-old!AG11=0,"",(popproj!AG11-old!AG11)/old!AG11)</f>
        <v>-1</v>
      </c>
      <c r="AH11" s="2">
        <f>IF(popproj!AH11-old!AH11=0,"",(popproj!AH11-old!AH11)/old!AH11)</f>
        <v>-1</v>
      </c>
      <c r="AI11" s="2">
        <f>IF(popproj!AI11-old!AI11=0,"",(popproj!AI11-old!AI11)/old!AI11)</f>
        <v>-1</v>
      </c>
      <c r="AJ11" s="2">
        <f>IF(popproj!AJ11-old!AJ11=0,"",(popproj!AJ11-old!AJ11)/old!AJ11)</f>
        <v>-1</v>
      </c>
      <c r="AK11" s="2">
        <f>IF(popproj!AK11-old!AK11=0,"",(popproj!AK11-old!AK11)/old!AK11)</f>
        <v>-1</v>
      </c>
      <c r="AL11" s="2">
        <f>IF(popproj!AL11-old!AL11=0,"",(popproj!AL11-old!AL11)/old!AL11)</f>
        <v>-1</v>
      </c>
      <c r="AM11" s="2">
        <f>IF(popproj!AM11-old!AM11=0,"",(popproj!AM11-old!AM11)/old!AM11)</f>
        <v>-1</v>
      </c>
      <c r="AN11" s="2">
        <f>IF(popproj!AN11-old!AN11=0,"",(popproj!AN11-old!AN11)/old!AN11)</f>
        <v>-1</v>
      </c>
      <c r="AO11" s="2">
        <f>IF(popproj!AO11-old!AO11=0,"",(popproj!AO11-old!AO11)/old!AO11)</f>
        <v>-1</v>
      </c>
      <c r="AP11" s="2">
        <f>IF(popproj!AP11-old!AP11=0,"",(popproj!AP11-old!AP11)/old!AP11)</f>
        <v>-1</v>
      </c>
      <c r="AQ11" s="2">
        <f>IF(popproj!AQ11-old!AQ11=0,"",(popproj!AQ11-old!AQ11)/old!AQ11)</f>
        <v>-1</v>
      </c>
      <c r="AR11" s="2">
        <f>IF(popproj!AR11-old!AR11=0,"",(popproj!AR11-old!AR11)/old!AR11)</f>
        <v>-1</v>
      </c>
      <c r="AS11" s="2">
        <f>IF(popproj!AS11-old!AS11=0,"",(popproj!AS11-old!AS11)/old!AS11)</f>
        <v>-1</v>
      </c>
      <c r="AT11" s="2">
        <f>IF(popproj!AT11-old!AT11=0,"",(popproj!AT11-old!AT11)/old!AT11)</f>
        <v>-1</v>
      </c>
      <c r="AU11" s="2">
        <f>IF(popproj!AU11-old!AU11=0,"",(popproj!AU11-old!AU11)/old!AU11)</f>
        <v>-1</v>
      </c>
      <c r="AV11" s="2">
        <f>IF(popproj!AV11-old!AV11=0,"",(popproj!AV11-old!AV11)/old!AV11)</f>
        <v>-1</v>
      </c>
      <c r="AW11" s="2">
        <f>IF(popproj!AW11-old!AW11=0,"",(popproj!AW11-old!AW11)/old!AW11)</f>
        <v>-1</v>
      </c>
      <c r="AX11" s="2">
        <f>IF(popproj!AX11-old!AX11=0,"",(popproj!AX11-old!AX11)/old!AX11)</f>
        <v>-1</v>
      </c>
      <c r="AY11" s="2">
        <f>IF(popproj!AY11-old!AY11=0,"",(popproj!AY11-old!AY11)/old!AY11)</f>
        <v>-1</v>
      </c>
      <c r="AZ11" s="2">
        <f>IF(popproj!AZ11-old!AZ11=0,"",(popproj!AZ11-old!AZ11)/old!AZ11)</f>
        <v>-1</v>
      </c>
      <c r="BA11" s="2">
        <f>IF(popproj!BA11-old!BA11=0,"",(popproj!BA11-old!BA11)/old!BA11)</f>
        <v>-1</v>
      </c>
      <c r="BB11" s="2">
        <f>IF(popproj!BB11-old!BB11=0,"",(popproj!BB11-old!BB11)/old!BB11)</f>
        <v>-1</v>
      </c>
      <c r="BC11" s="2">
        <f>IF(popproj!BC11-old!BC11=0,"",(popproj!BC11-old!BC11)/old!BC11)</f>
        <v>-1</v>
      </c>
      <c r="BD11" s="2">
        <f>IF(popproj!BD11-old!BD11=0,"",(popproj!BD11-old!BD11)/old!BD11)</f>
        <v>-1</v>
      </c>
      <c r="BE11" s="2">
        <f>IF(popproj!BE11-old!BE11=0,"",(popproj!BE11-old!BE11)/old!BE11)</f>
        <v>-1</v>
      </c>
      <c r="BF11" s="2">
        <f>IF(popproj!BF11-old!BF11=0,"",(popproj!BF11-old!BF11)/old!BF11)</f>
        <v>-1</v>
      </c>
      <c r="BG11" s="2">
        <f>IF(popproj!BG11-old!BG11=0,"",(popproj!BG11-old!BG11)/old!BG11)</f>
        <v>-1</v>
      </c>
      <c r="BH11" s="2">
        <f>IF(popproj!BH11-old!BH11=0,"",(popproj!BH11-old!BH11)/old!BH11)</f>
        <v>-1</v>
      </c>
      <c r="BI11" s="2">
        <f>IF(popproj!BI11-old!BI11=0,"",(popproj!BI11-old!BI11)/old!BI11)</f>
        <v>-1</v>
      </c>
      <c r="BJ11" s="2">
        <f>IF(popproj!BJ11-old!BJ11=0,"",(popproj!BJ11-old!BJ11)/old!BJ11)</f>
        <v>-1</v>
      </c>
      <c r="BK11" s="2">
        <f>IF(popproj!BK11-old!BK11=0,"",(popproj!BK11-old!BK11)/old!BK11)</f>
        <v>-1</v>
      </c>
      <c r="BL11" s="2">
        <f>IF(popproj!BL11-old!BL11=0,"",(popproj!BL11-old!BL11)/old!BL11)</f>
        <v>-1</v>
      </c>
      <c r="BM11" s="2">
        <f>IF(popproj!BM11-old!BM11=0,"",(popproj!BM11-old!BM11)/old!BM11)</f>
        <v>-1</v>
      </c>
      <c r="BN11" s="2">
        <f>IF(popproj!BN11-old!BN11=0,"",(popproj!BN11-old!BN11)/old!BN11)</f>
        <v>-1</v>
      </c>
      <c r="BO11" s="2">
        <f>IF(popproj!BO11-old!BO11=0,"",(popproj!BO11-old!BO11)/old!BO11)</f>
        <v>-1</v>
      </c>
    </row>
    <row r="12" spans="1:67" x14ac:dyDescent="0.2">
      <c r="A12" t="str">
        <f>popproj!A12</f>
        <v>HR_POPTF</v>
      </c>
      <c r="B12" s="2"/>
      <c r="C12" s="2"/>
      <c r="D12" s="2">
        <f>IF(popproj!D12-old!D12=0,"",(popproj!D12-old!D12)/old!D12)</f>
        <v>-1</v>
      </c>
      <c r="E12" s="2">
        <f>IF(popproj!E12-old!E12=0,"",(popproj!E12-old!E12)/old!E12)</f>
        <v>-9.0468482487849537E-4</v>
      </c>
      <c r="F12" s="2">
        <f>IF(popproj!F12-old!F12=0,"",(popproj!F12-old!F12)/old!F12)</f>
        <v>7.2923687170188484E-3</v>
      </c>
      <c r="G12" s="2">
        <f>IF(popproj!G12-old!G12=0,"",(popproj!G12-old!G12)/old!G12)</f>
        <v>9.2869206860391514E-3</v>
      </c>
      <c r="H12" s="2">
        <f>IF(popproj!H12-old!H12=0,"",(popproj!H12-old!H12)/old!H12)</f>
        <v>9.4213134613460574E-3</v>
      </c>
      <c r="I12" s="2">
        <f>IF(popproj!I12-old!I12=0,"",(popproj!I12-old!I12)/old!I12)</f>
        <v>8.9812084382154302E-3</v>
      </c>
      <c r="J12" s="2">
        <f>IF(popproj!J12-old!J12=0,"",(popproj!J12-old!J12)/old!J12)</f>
        <v>1.094695938175198E-2</v>
      </c>
      <c r="K12" s="2">
        <f>IF(popproj!K12-old!K12=0,"",(popproj!K12-old!K12)/old!K12)</f>
        <v>1.0014610474412282E-2</v>
      </c>
      <c r="L12" s="2">
        <f>IF(popproj!L12-old!L12=0,"",(popproj!L12-old!L12)/old!L12)</f>
        <v>9.0631283497319137E-3</v>
      </c>
      <c r="M12" s="2">
        <f>IF(popproj!M12-old!M12=0,"",(popproj!M12-old!M12)/old!M12)</f>
        <v>8.1181709926008375E-3</v>
      </c>
      <c r="N12" s="2">
        <f>IF(popproj!N12-old!N12=0,"",(popproj!N12-old!N12)/old!N12)</f>
        <v>7.1686942563396741E-3</v>
      </c>
      <c r="O12" s="2">
        <f>IF(popproj!O12-old!O12=0,"",(popproj!O12-old!O12)/old!O12)</f>
        <v>6.2152046255655752E-3</v>
      </c>
      <c r="P12" s="2">
        <f>IF(popproj!P12-old!P12=0,"",(popproj!P12-old!P12)/old!P12)</f>
        <v>5.2568979485863648E-3</v>
      </c>
      <c r="Q12" s="2">
        <f>IF(popproj!Q12-old!Q12=0,"",(popproj!Q12-old!Q12)/old!Q12)</f>
        <v>4.0837204435375694E-3</v>
      </c>
      <c r="R12" s="2">
        <f>IF(popproj!R12-old!R12=0,"",(popproj!R12-old!R12)/old!R12)</f>
        <v>3.1170431659689069E-3</v>
      </c>
      <c r="S12" s="2">
        <f>IF(popproj!S12-old!S12=0,"",(popproj!S12-old!S12)/old!S12)</f>
        <v>2.1384710663457833E-3</v>
      </c>
      <c r="T12" s="2">
        <f>IF(popproj!T12-old!T12=0,"",(popproj!T12-old!T12)/old!T12)</f>
        <v>1.2407337560788173E-3</v>
      </c>
      <c r="U12" s="2">
        <f>IF(popproj!U12-old!U12=0,"",(popproj!U12-old!U12)/old!U12)</f>
        <v>2.5690784803687408E-4</v>
      </c>
      <c r="V12" s="2">
        <f>IF(popproj!V12-old!V12=0,"",(popproj!V12-old!V12)/old!V12)</f>
        <v>-7.4837430272598772E-4</v>
      </c>
      <c r="W12" s="2">
        <f>IF(popproj!W12-old!W12=0,"",(popproj!W12-old!W12)/old!W12)</f>
        <v>-1.7647830424341866E-3</v>
      </c>
      <c r="X12" s="2">
        <f>IF(popproj!X12-old!X12=0,"",(popproj!X12-old!X12)/old!X12)</f>
        <v>-2.7898089393056744E-3</v>
      </c>
      <c r="Y12" s="2">
        <f>IF(popproj!Y12-old!Y12=0,"",(popproj!Y12-old!Y12)/old!Y12)</f>
        <v>-3.8197101464450055E-3</v>
      </c>
      <c r="Z12" s="2">
        <f>IF(popproj!Z12-old!Z12=0,"",(popproj!Z12-old!Z12)/old!Z12)</f>
        <v>-4.8453894370627257E-3</v>
      </c>
      <c r="AA12" s="2">
        <f>IF(popproj!AA12-old!AA12=0,"",(popproj!AA12-old!AA12)/old!AA12)</f>
        <v>-5.8679423327268861E-3</v>
      </c>
      <c r="AB12" s="2">
        <f>IF(popproj!AB12-old!AB12=0,"",(popproj!AB12-old!AB12)/old!AB12)</f>
        <v>-6.874325503008441E-3</v>
      </c>
      <c r="AC12" s="2">
        <f>IF(popproj!AC12-old!AC12=0,"",(popproj!AC12-old!AC12)/old!AC12)</f>
        <v>-7.8644697443556802E-3</v>
      </c>
      <c r="AD12" s="2">
        <f>IF(popproj!AD12-old!AD12=0,"",(popproj!AD12-old!AD12)/old!AD12)</f>
        <v>-8.8275338471494273E-3</v>
      </c>
      <c r="AE12" s="2">
        <f>IF(popproj!AE12-old!AE12=0,"",(popproj!AE12-old!AE12)/old!AE12)</f>
        <v>-9.7664719623008593E-3</v>
      </c>
      <c r="AF12" s="2">
        <f>IF(popproj!AF12-old!AF12=0,"",(popproj!AF12-old!AF12)/old!AF12)</f>
        <v>-1.0672799994441092E-2</v>
      </c>
      <c r="AG12" s="2">
        <f>IF(popproj!AG12-old!AG12=0,"",(popproj!AG12-old!AG12)/old!AG12)</f>
        <v>-1</v>
      </c>
      <c r="AH12" s="2">
        <f>IF(popproj!AH12-old!AH12=0,"",(popproj!AH12-old!AH12)/old!AH12)</f>
        <v>-1</v>
      </c>
      <c r="AI12" s="2">
        <f>IF(popproj!AI12-old!AI12=0,"",(popproj!AI12-old!AI12)/old!AI12)</f>
        <v>-1</v>
      </c>
      <c r="AJ12" s="2">
        <f>IF(popproj!AJ12-old!AJ12=0,"",(popproj!AJ12-old!AJ12)/old!AJ12)</f>
        <v>-1</v>
      </c>
      <c r="AK12" s="2">
        <f>IF(popproj!AK12-old!AK12=0,"",(popproj!AK12-old!AK12)/old!AK12)</f>
        <v>-1</v>
      </c>
      <c r="AL12" s="2">
        <f>IF(popproj!AL12-old!AL12=0,"",(popproj!AL12-old!AL12)/old!AL12)</f>
        <v>-1</v>
      </c>
      <c r="AM12" s="2">
        <f>IF(popproj!AM12-old!AM12=0,"",(popproj!AM12-old!AM12)/old!AM12)</f>
        <v>-1</v>
      </c>
      <c r="AN12" s="2">
        <f>IF(popproj!AN12-old!AN12=0,"",(popproj!AN12-old!AN12)/old!AN12)</f>
        <v>-1</v>
      </c>
      <c r="AO12" s="2">
        <f>IF(popproj!AO12-old!AO12=0,"",(popproj!AO12-old!AO12)/old!AO12)</f>
        <v>-1</v>
      </c>
      <c r="AP12" s="2">
        <f>IF(popproj!AP12-old!AP12=0,"",(popproj!AP12-old!AP12)/old!AP12)</f>
        <v>-1</v>
      </c>
      <c r="AQ12" s="2">
        <f>IF(popproj!AQ12-old!AQ12=0,"",(popproj!AQ12-old!AQ12)/old!AQ12)</f>
        <v>-1</v>
      </c>
      <c r="AR12" s="2">
        <f>IF(popproj!AR12-old!AR12=0,"",(popproj!AR12-old!AR12)/old!AR12)</f>
        <v>-1</v>
      </c>
      <c r="AS12" s="2">
        <f>IF(popproj!AS12-old!AS12=0,"",(popproj!AS12-old!AS12)/old!AS12)</f>
        <v>-1</v>
      </c>
      <c r="AT12" s="2">
        <f>IF(popproj!AT12-old!AT12=0,"",(popproj!AT12-old!AT12)/old!AT12)</f>
        <v>-1</v>
      </c>
      <c r="AU12" s="2">
        <f>IF(popproj!AU12-old!AU12=0,"",(popproj!AU12-old!AU12)/old!AU12)</f>
        <v>-1</v>
      </c>
      <c r="AV12" s="2">
        <f>IF(popproj!AV12-old!AV12=0,"",(popproj!AV12-old!AV12)/old!AV12)</f>
        <v>-1</v>
      </c>
      <c r="AW12" s="2">
        <f>IF(popproj!AW12-old!AW12=0,"",(popproj!AW12-old!AW12)/old!AW12)</f>
        <v>-1</v>
      </c>
      <c r="AX12" s="2">
        <f>IF(popproj!AX12-old!AX12=0,"",(popproj!AX12-old!AX12)/old!AX12)</f>
        <v>-1</v>
      </c>
      <c r="AY12" s="2">
        <f>IF(popproj!AY12-old!AY12=0,"",(popproj!AY12-old!AY12)/old!AY12)</f>
        <v>-1</v>
      </c>
      <c r="AZ12" s="2">
        <f>IF(popproj!AZ12-old!AZ12=0,"",(popproj!AZ12-old!AZ12)/old!AZ12)</f>
        <v>-1</v>
      </c>
      <c r="BA12" s="2">
        <f>IF(popproj!BA12-old!BA12=0,"",(popproj!BA12-old!BA12)/old!BA12)</f>
        <v>-1</v>
      </c>
      <c r="BB12" s="2">
        <f>IF(popproj!BB12-old!BB12=0,"",(popproj!BB12-old!BB12)/old!BB12)</f>
        <v>-1</v>
      </c>
      <c r="BC12" s="2">
        <f>IF(popproj!BC12-old!BC12=0,"",(popproj!BC12-old!BC12)/old!BC12)</f>
        <v>-1</v>
      </c>
      <c r="BD12" s="2">
        <f>IF(popproj!BD12-old!BD12=0,"",(popproj!BD12-old!BD12)/old!BD12)</f>
        <v>-1</v>
      </c>
      <c r="BE12" s="2">
        <f>IF(popproj!BE12-old!BE12=0,"",(popproj!BE12-old!BE12)/old!BE12)</f>
        <v>-1</v>
      </c>
      <c r="BF12" s="2">
        <f>IF(popproj!BF12-old!BF12=0,"",(popproj!BF12-old!BF12)/old!BF12)</f>
        <v>-1</v>
      </c>
      <c r="BG12" s="2">
        <f>IF(popproj!BG12-old!BG12=0,"",(popproj!BG12-old!BG12)/old!BG12)</f>
        <v>-1</v>
      </c>
      <c r="BH12" s="2">
        <f>IF(popproj!BH12-old!BH12=0,"",(popproj!BH12-old!BH12)/old!BH12)</f>
        <v>-1</v>
      </c>
      <c r="BI12" s="2">
        <f>IF(popproj!BI12-old!BI12=0,"",(popproj!BI12-old!BI12)/old!BI12)</f>
        <v>-1</v>
      </c>
      <c r="BJ12" s="2">
        <f>IF(popproj!BJ12-old!BJ12=0,"",(popproj!BJ12-old!BJ12)/old!BJ12)</f>
        <v>-1</v>
      </c>
      <c r="BK12" s="2">
        <f>IF(popproj!BK12-old!BK12=0,"",(popproj!BK12-old!BK12)/old!BK12)</f>
        <v>-1</v>
      </c>
      <c r="BL12" s="2">
        <f>IF(popproj!BL12-old!BL12=0,"",(popproj!BL12-old!BL12)/old!BL12)</f>
        <v>-1</v>
      </c>
      <c r="BM12" s="2">
        <f>IF(popproj!BM12-old!BM12=0,"",(popproj!BM12-old!BM12)/old!BM12)</f>
        <v>-1</v>
      </c>
      <c r="BN12" s="2">
        <f>IF(popproj!BN12-old!BN12=0,"",(popproj!BN12-old!BN12)/old!BN12)</f>
        <v>-1</v>
      </c>
      <c r="BO12" s="2">
        <f>IF(popproj!BO12-old!BO12=0,"",(popproj!BO12-old!BO12)/old!BO12)</f>
        <v>-1</v>
      </c>
    </row>
    <row r="13" spans="1:67" x14ac:dyDescent="0.2">
      <c r="A13" t="str">
        <f>popproj!A13</f>
        <v>IT_POPTF</v>
      </c>
      <c r="B13" s="2"/>
      <c r="C13" s="2"/>
      <c r="D13" s="2">
        <f>IF(popproj!D13-old!D13=0,"",(popproj!D13-old!D13)/old!D13)</f>
        <v>-1</v>
      </c>
      <c r="E13" s="2">
        <f>IF(popproj!E13-old!E13=0,"",(popproj!E13-old!E13)/old!E13)</f>
        <v>-1.0398821577512441E-3</v>
      </c>
      <c r="F13" s="2">
        <f>IF(popproj!F13-old!F13=0,"",(popproj!F13-old!F13)/old!F13)</f>
        <v>-3.7346775528984141E-4</v>
      </c>
      <c r="G13" s="2">
        <f>IF(popproj!G13-old!G13=0,"",(popproj!G13-old!G13)/old!G13)</f>
        <v>2.4389718456340148E-4</v>
      </c>
      <c r="H13" s="2">
        <f>IF(popproj!H13-old!H13=0,"",(popproj!H13-old!H13)/old!H13)</f>
        <v>1.855893179875252E-4</v>
      </c>
      <c r="I13" s="2">
        <f>IF(popproj!I13-old!I13=0,"",(popproj!I13-old!I13)/old!I13)</f>
        <v>-3.5604693974970833E-4</v>
      </c>
      <c r="J13" s="2">
        <f>IF(popproj!J13-old!J13=0,"",(popproj!J13-old!J13)/old!J13)</f>
        <v>-1.3911889654259844E-3</v>
      </c>
      <c r="K13" s="2">
        <f>IF(popproj!K13-old!K13=0,"",(popproj!K13-old!K13)/old!K13)</f>
        <v>-2.4432342526012978E-3</v>
      </c>
      <c r="L13" s="2">
        <f>IF(popproj!L13-old!L13=0,"",(popproj!L13-old!L13)/old!L13)</f>
        <v>-3.5488101897405513E-3</v>
      </c>
      <c r="M13" s="2">
        <f>IF(popproj!M13-old!M13=0,"",(popproj!M13-old!M13)/old!M13)</f>
        <v>-4.7102144878687722E-3</v>
      </c>
      <c r="N13" s="2">
        <f>IF(popproj!N13-old!N13=0,"",(popproj!N13-old!N13)/old!N13)</f>
        <v>-5.9249317245093809E-3</v>
      </c>
      <c r="O13" s="2">
        <f>IF(popproj!O13-old!O13=0,"",(popproj!O13-old!O13)/old!O13)</f>
        <v>-7.1896432638858402E-3</v>
      </c>
      <c r="P13" s="2">
        <f>IF(popproj!P13-old!P13=0,"",(popproj!P13-old!P13)/old!P13)</f>
        <v>-8.5014533731807267E-3</v>
      </c>
      <c r="Q13" s="2">
        <f>IF(popproj!Q13-old!Q13=0,"",(popproj!Q13-old!Q13)/old!Q13)</f>
        <v>-9.9533104685147634E-3</v>
      </c>
      <c r="R13" s="2">
        <f>IF(popproj!R13-old!R13=0,"",(popproj!R13-old!R13)/old!R13)</f>
        <v>-1.1389752093437195E-2</v>
      </c>
      <c r="S13" s="2">
        <f>IF(popproj!S13-old!S13=0,"",(popproj!S13-old!S13)/old!S13)</f>
        <v>-1.2850293686144569E-2</v>
      </c>
      <c r="T13" s="2">
        <f>IF(popproj!T13-old!T13=0,"",(popproj!T13-old!T13)/old!T13)</f>
        <v>-1.4327907688681182E-2</v>
      </c>
      <c r="U13" s="2">
        <f>IF(popproj!U13-old!U13=0,"",(popproj!U13-old!U13)/old!U13)</f>
        <v>-1.58054263273315E-2</v>
      </c>
      <c r="V13" s="2">
        <f>IF(popproj!V13-old!V13=0,"",(popproj!V13-old!V13)/old!V13)</f>
        <v>-1.7326247137347851E-2</v>
      </c>
      <c r="W13" s="2">
        <f>IF(popproj!W13-old!W13=0,"",(popproj!W13-old!W13)/old!W13)</f>
        <v>-1.8852193861255872E-2</v>
      </c>
      <c r="X13" s="2">
        <f>IF(popproj!X13-old!X13=0,"",(popproj!X13-old!X13)/old!X13)</f>
        <v>-2.037698960225064E-2</v>
      </c>
      <c r="Y13" s="2">
        <f>IF(popproj!Y13-old!Y13=0,"",(popproj!Y13-old!Y13)/old!Y13)</f>
        <v>-2.189503997455448E-2</v>
      </c>
      <c r="Z13" s="2">
        <f>IF(popproj!Z13-old!Z13=0,"",(popproj!Z13-old!Z13)/old!Z13)</f>
        <v>-2.3401092489948871E-2</v>
      </c>
      <c r="AA13" s="2">
        <f>IF(popproj!AA13-old!AA13=0,"",(popproj!AA13-old!AA13)/old!AA13)</f>
        <v>-2.4890993662110037E-2</v>
      </c>
      <c r="AB13" s="2">
        <f>IF(popproj!AB13-old!AB13=0,"",(popproj!AB13-old!AB13)/old!AB13)</f>
        <v>-2.6361882965368826E-2</v>
      </c>
      <c r="AC13" s="2">
        <f>IF(popproj!AC13-old!AC13=0,"",(popproj!AC13-old!AC13)/old!AC13)</f>
        <v>-2.7810439768916791E-2</v>
      </c>
      <c r="AD13" s="2">
        <f>IF(popproj!AD13-old!AD13=0,"",(popproj!AD13-old!AD13)/old!AD13)</f>
        <v>-2.9235091282194633E-2</v>
      </c>
      <c r="AE13" s="2">
        <f>IF(popproj!AE13-old!AE13=0,"",(popproj!AE13-old!AE13)/old!AE13)</f>
        <v>-3.0638080096891025E-2</v>
      </c>
      <c r="AF13" s="2">
        <f>IF(popproj!AF13-old!AF13=0,"",(popproj!AF13-old!AF13)/old!AF13)</f>
        <v>-3.2020602067161001E-2</v>
      </c>
      <c r="AG13" s="2">
        <f>IF(popproj!AG13-old!AG13=0,"",(popproj!AG13-old!AG13)/old!AG13)</f>
        <v>-1</v>
      </c>
      <c r="AH13" s="2">
        <f>IF(popproj!AH13-old!AH13=0,"",(popproj!AH13-old!AH13)/old!AH13)</f>
        <v>-1</v>
      </c>
      <c r="AI13" s="2">
        <f>IF(popproj!AI13-old!AI13=0,"",(popproj!AI13-old!AI13)/old!AI13)</f>
        <v>-1</v>
      </c>
      <c r="AJ13" s="2">
        <f>IF(popproj!AJ13-old!AJ13=0,"",(popproj!AJ13-old!AJ13)/old!AJ13)</f>
        <v>-1</v>
      </c>
      <c r="AK13" s="2">
        <f>IF(popproj!AK13-old!AK13=0,"",(popproj!AK13-old!AK13)/old!AK13)</f>
        <v>-1</v>
      </c>
      <c r="AL13" s="2">
        <f>IF(popproj!AL13-old!AL13=0,"",(popproj!AL13-old!AL13)/old!AL13)</f>
        <v>-1</v>
      </c>
      <c r="AM13" s="2">
        <f>IF(popproj!AM13-old!AM13=0,"",(popproj!AM13-old!AM13)/old!AM13)</f>
        <v>-1</v>
      </c>
      <c r="AN13" s="2">
        <f>IF(popproj!AN13-old!AN13=0,"",(popproj!AN13-old!AN13)/old!AN13)</f>
        <v>-1</v>
      </c>
      <c r="AO13" s="2">
        <f>IF(popproj!AO13-old!AO13=0,"",(popproj!AO13-old!AO13)/old!AO13)</f>
        <v>-1</v>
      </c>
      <c r="AP13" s="2">
        <f>IF(popproj!AP13-old!AP13=0,"",(popproj!AP13-old!AP13)/old!AP13)</f>
        <v>-1</v>
      </c>
      <c r="AQ13" s="2">
        <f>IF(popproj!AQ13-old!AQ13=0,"",(popproj!AQ13-old!AQ13)/old!AQ13)</f>
        <v>-1</v>
      </c>
      <c r="AR13" s="2">
        <f>IF(popproj!AR13-old!AR13=0,"",(popproj!AR13-old!AR13)/old!AR13)</f>
        <v>-1</v>
      </c>
      <c r="AS13" s="2">
        <f>IF(popproj!AS13-old!AS13=0,"",(popproj!AS13-old!AS13)/old!AS13)</f>
        <v>-1</v>
      </c>
      <c r="AT13" s="2">
        <f>IF(popproj!AT13-old!AT13=0,"",(popproj!AT13-old!AT13)/old!AT13)</f>
        <v>-1</v>
      </c>
      <c r="AU13" s="2">
        <f>IF(popproj!AU13-old!AU13=0,"",(popproj!AU13-old!AU13)/old!AU13)</f>
        <v>-1</v>
      </c>
      <c r="AV13" s="2">
        <f>IF(popproj!AV13-old!AV13=0,"",(popproj!AV13-old!AV13)/old!AV13)</f>
        <v>-1</v>
      </c>
      <c r="AW13" s="2">
        <f>IF(popproj!AW13-old!AW13=0,"",(popproj!AW13-old!AW13)/old!AW13)</f>
        <v>-1</v>
      </c>
      <c r="AX13" s="2">
        <f>IF(popproj!AX13-old!AX13=0,"",(popproj!AX13-old!AX13)/old!AX13)</f>
        <v>-1</v>
      </c>
      <c r="AY13" s="2">
        <f>IF(popproj!AY13-old!AY13=0,"",(popproj!AY13-old!AY13)/old!AY13)</f>
        <v>-1</v>
      </c>
      <c r="AZ13" s="2">
        <f>IF(popproj!AZ13-old!AZ13=0,"",(popproj!AZ13-old!AZ13)/old!AZ13)</f>
        <v>-1</v>
      </c>
      <c r="BA13" s="2">
        <f>IF(popproj!BA13-old!BA13=0,"",(popproj!BA13-old!BA13)/old!BA13)</f>
        <v>-1</v>
      </c>
      <c r="BB13" s="2">
        <f>IF(popproj!BB13-old!BB13=0,"",(popproj!BB13-old!BB13)/old!BB13)</f>
        <v>-1</v>
      </c>
      <c r="BC13" s="2">
        <f>IF(popproj!BC13-old!BC13=0,"",(popproj!BC13-old!BC13)/old!BC13)</f>
        <v>-1</v>
      </c>
      <c r="BD13" s="2">
        <f>IF(popproj!BD13-old!BD13=0,"",(popproj!BD13-old!BD13)/old!BD13)</f>
        <v>-1</v>
      </c>
      <c r="BE13" s="2">
        <f>IF(popproj!BE13-old!BE13=0,"",(popproj!BE13-old!BE13)/old!BE13)</f>
        <v>-1</v>
      </c>
      <c r="BF13" s="2">
        <f>IF(popproj!BF13-old!BF13=0,"",(popproj!BF13-old!BF13)/old!BF13)</f>
        <v>-1</v>
      </c>
      <c r="BG13" s="2">
        <f>IF(popproj!BG13-old!BG13=0,"",(popproj!BG13-old!BG13)/old!BG13)</f>
        <v>-1</v>
      </c>
      <c r="BH13" s="2">
        <f>IF(popproj!BH13-old!BH13=0,"",(popproj!BH13-old!BH13)/old!BH13)</f>
        <v>-1</v>
      </c>
      <c r="BI13" s="2">
        <f>IF(popproj!BI13-old!BI13=0,"",(popproj!BI13-old!BI13)/old!BI13)</f>
        <v>-1</v>
      </c>
      <c r="BJ13" s="2">
        <f>IF(popproj!BJ13-old!BJ13=0,"",(popproj!BJ13-old!BJ13)/old!BJ13)</f>
        <v>-1</v>
      </c>
      <c r="BK13" s="2">
        <f>IF(popproj!BK13-old!BK13=0,"",(popproj!BK13-old!BK13)/old!BK13)</f>
        <v>-1</v>
      </c>
      <c r="BL13" s="2">
        <f>IF(popproj!BL13-old!BL13=0,"",(popproj!BL13-old!BL13)/old!BL13)</f>
        <v>-1</v>
      </c>
      <c r="BM13" s="2">
        <f>IF(popproj!BM13-old!BM13=0,"",(popproj!BM13-old!BM13)/old!BM13)</f>
        <v>-1</v>
      </c>
      <c r="BN13" s="2">
        <f>IF(popproj!BN13-old!BN13=0,"",(popproj!BN13-old!BN13)/old!BN13)</f>
        <v>-1</v>
      </c>
      <c r="BO13" s="2">
        <f>IF(popproj!BO13-old!BO13=0,"",(popproj!BO13-old!BO13)/old!BO13)</f>
        <v>-1</v>
      </c>
    </row>
    <row r="14" spans="1:67" x14ac:dyDescent="0.2">
      <c r="A14" t="str">
        <f>popproj!A14</f>
        <v>CY_POPTF</v>
      </c>
      <c r="B14" s="2"/>
      <c r="C14" s="2"/>
      <c r="D14" s="2">
        <f>IF(popproj!D14-old!D14=0,"",(popproj!D14-old!D14)/old!D14)</f>
        <v>-1</v>
      </c>
      <c r="E14" s="2">
        <f>IF(popproj!E14-old!E14=0,"",(popproj!E14-old!E14)/old!E14)</f>
        <v>-5.7289045643332762E-3</v>
      </c>
      <c r="F14" s="2">
        <f>IF(popproj!F14-old!F14=0,"",(popproj!F14-old!F14)/old!F14)</f>
        <v>-2.7540292901377336E-3</v>
      </c>
      <c r="G14" s="2">
        <f>IF(popproj!G14-old!G14=0,"",(popproj!G14-old!G14)/old!G14)</f>
        <v>5.1392863400105118E-4</v>
      </c>
      <c r="H14" s="2">
        <f>IF(popproj!H14-old!H14=0,"",(popproj!H14-old!H14)/old!H14)</f>
        <v>-8.9704482371325835E-4</v>
      </c>
      <c r="I14" s="2">
        <f>IF(popproj!I14-old!I14=0,"",(popproj!I14-old!I14)/old!I14)</f>
        <v>-1.6039538936927986E-3</v>
      </c>
      <c r="J14" s="2">
        <f>IF(popproj!J14-old!J14=0,"",(popproj!J14-old!J14)/old!J14)</f>
        <v>-1.6792205897632614E-3</v>
      </c>
      <c r="K14" s="2">
        <f>IF(popproj!K14-old!K14=0,"",(popproj!K14-old!K14)/old!K14)</f>
        <v>-1.8348758292529241E-3</v>
      </c>
      <c r="L14" s="2">
        <f>IF(popproj!L14-old!L14=0,"",(popproj!L14-old!L14)/old!L14)</f>
        <v>-1.9034313971165572E-3</v>
      </c>
      <c r="M14" s="2">
        <f>IF(popproj!M14-old!M14=0,"",(popproj!M14-old!M14)/old!M14)</f>
        <v>-1.8834942151308757E-3</v>
      </c>
      <c r="N14" s="2">
        <f>IF(popproj!N14-old!N14=0,"",(popproj!N14-old!N14)/old!N14)</f>
        <v>-1.773580511822484E-3</v>
      </c>
      <c r="O14" s="2">
        <f>IF(popproj!O14-old!O14=0,"",(popproj!O14-old!O14)/old!O14)</f>
        <v>-1.5616909429188989E-3</v>
      </c>
      <c r="P14" s="2">
        <f>IF(popproj!P14-old!P14=0,"",(popproj!P14-old!P14)/old!P14)</f>
        <v>-1.2493460616074712E-3</v>
      </c>
      <c r="Q14" s="2">
        <f>IF(popproj!Q14-old!Q14=0,"",(popproj!Q14-old!Q14)/old!Q14)</f>
        <v>-1.3792290585159122E-3</v>
      </c>
      <c r="R14" s="2">
        <f>IF(popproj!R14-old!R14=0,"",(popproj!R14-old!R14)/old!R14)</f>
        <v>-6.0481145054634288E-4</v>
      </c>
      <c r="S14" s="2">
        <f>IF(popproj!S14-old!S14=0,"",(popproj!S14-old!S14)/old!S14)</f>
        <v>2.535136371787024E-4</v>
      </c>
      <c r="T14" s="2">
        <f>IF(popproj!T14-old!T14=0,"",(popproj!T14-old!T14)/old!T14)</f>
        <v>1.1392850600311631E-3</v>
      </c>
      <c r="U14" s="2">
        <f>IF(popproj!U14-old!U14=0,"",(popproj!U14-old!U14)/old!U14)</f>
        <v>2.033230678141023E-3</v>
      </c>
      <c r="V14" s="2">
        <f>IF(popproj!V14-old!V14=0,"",(popproj!V14-old!V14)/old!V14)</f>
        <v>2.9582821632322801E-3</v>
      </c>
      <c r="W14" s="2">
        <f>IF(popproj!W14-old!W14=0,"",(popproj!W14-old!W14)/old!W14)</f>
        <v>3.8868793969746148E-3</v>
      </c>
      <c r="X14" s="2">
        <f>IF(popproj!X14-old!X14=0,"",(popproj!X14-old!X14)/old!X14)</f>
        <v>4.7757792155218972E-3</v>
      </c>
      <c r="Y14" s="2">
        <f>IF(popproj!Y14-old!Y14=0,"",(popproj!Y14-old!Y14)/old!Y14)</f>
        <v>5.6328019324166168E-3</v>
      </c>
      <c r="Z14" s="2">
        <f>IF(popproj!Z14-old!Z14=0,"",(popproj!Z14-old!Z14)/old!Z14)</f>
        <v>6.4402534769184179E-3</v>
      </c>
      <c r="AA14" s="2">
        <f>IF(popproj!AA14-old!AA14=0,"",(popproj!AA14-old!AA14)/old!AA14)</f>
        <v>7.2086659368045735E-3</v>
      </c>
      <c r="AB14" s="2">
        <f>IF(popproj!AB14-old!AB14=0,"",(popproj!AB14-old!AB14)/old!AB14)</f>
        <v>7.9317740782351136E-3</v>
      </c>
      <c r="AC14" s="2">
        <f>IF(popproj!AC14-old!AC14=0,"",(popproj!AC14-old!AC14)/old!AC14)</f>
        <v>8.6110651881514677E-3</v>
      </c>
      <c r="AD14" s="2">
        <f>IF(popproj!AD14-old!AD14=0,"",(popproj!AD14-old!AD14)/old!AD14)</f>
        <v>9.1954632451685062E-3</v>
      </c>
      <c r="AE14" s="2">
        <f>IF(popproj!AE14-old!AE14=0,"",(popproj!AE14-old!AE14)/old!AE14)</f>
        <v>9.71013252481784E-3</v>
      </c>
      <c r="AF14" s="2">
        <f>IF(popproj!AF14-old!AF14=0,"",(popproj!AF14-old!AF14)/old!AF14)</f>
        <v>1.0158587976629141E-2</v>
      </c>
      <c r="AG14" s="2">
        <f>IF(popproj!AG14-old!AG14=0,"",(popproj!AG14-old!AG14)/old!AG14)</f>
        <v>-1</v>
      </c>
      <c r="AH14" s="2">
        <f>IF(popproj!AH14-old!AH14=0,"",(popproj!AH14-old!AH14)/old!AH14)</f>
        <v>-1</v>
      </c>
      <c r="AI14" s="2">
        <f>IF(popproj!AI14-old!AI14=0,"",(popproj!AI14-old!AI14)/old!AI14)</f>
        <v>-1</v>
      </c>
      <c r="AJ14" s="2">
        <f>IF(popproj!AJ14-old!AJ14=0,"",(popproj!AJ14-old!AJ14)/old!AJ14)</f>
        <v>-1</v>
      </c>
      <c r="AK14" s="2">
        <f>IF(popproj!AK14-old!AK14=0,"",(popproj!AK14-old!AK14)/old!AK14)</f>
        <v>-1</v>
      </c>
      <c r="AL14" s="2">
        <f>IF(popproj!AL14-old!AL14=0,"",(popproj!AL14-old!AL14)/old!AL14)</f>
        <v>-1</v>
      </c>
      <c r="AM14" s="2">
        <f>IF(popproj!AM14-old!AM14=0,"",(popproj!AM14-old!AM14)/old!AM14)</f>
        <v>-1</v>
      </c>
      <c r="AN14" s="2">
        <f>IF(popproj!AN14-old!AN14=0,"",(popproj!AN14-old!AN14)/old!AN14)</f>
        <v>-1</v>
      </c>
      <c r="AO14" s="2">
        <f>IF(popproj!AO14-old!AO14=0,"",(popproj!AO14-old!AO14)/old!AO14)</f>
        <v>-1</v>
      </c>
      <c r="AP14" s="2">
        <f>IF(popproj!AP14-old!AP14=0,"",(popproj!AP14-old!AP14)/old!AP14)</f>
        <v>-1</v>
      </c>
      <c r="AQ14" s="2">
        <f>IF(popproj!AQ14-old!AQ14=0,"",(popproj!AQ14-old!AQ14)/old!AQ14)</f>
        <v>-1</v>
      </c>
      <c r="AR14" s="2">
        <f>IF(popproj!AR14-old!AR14=0,"",(popproj!AR14-old!AR14)/old!AR14)</f>
        <v>-1</v>
      </c>
      <c r="AS14" s="2">
        <f>IF(popproj!AS14-old!AS14=0,"",(popproj!AS14-old!AS14)/old!AS14)</f>
        <v>-1</v>
      </c>
      <c r="AT14" s="2">
        <f>IF(popproj!AT14-old!AT14=0,"",(popproj!AT14-old!AT14)/old!AT14)</f>
        <v>-1</v>
      </c>
      <c r="AU14" s="2">
        <f>IF(popproj!AU14-old!AU14=0,"",(popproj!AU14-old!AU14)/old!AU14)</f>
        <v>-1</v>
      </c>
      <c r="AV14" s="2">
        <f>IF(popproj!AV14-old!AV14=0,"",(popproj!AV14-old!AV14)/old!AV14)</f>
        <v>-1</v>
      </c>
      <c r="AW14" s="2">
        <f>IF(popproj!AW14-old!AW14=0,"",(popproj!AW14-old!AW14)/old!AW14)</f>
        <v>-1</v>
      </c>
      <c r="AX14" s="2">
        <f>IF(popproj!AX14-old!AX14=0,"",(popproj!AX14-old!AX14)/old!AX14)</f>
        <v>-1</v>
      </c>
      <c r="AY14" s="2">
        <f>IF(popproj!AY14-old!AY14=0,"",(popproj!AY14-old!AY14)/old!AY14)</f>
        <v>-1</v>
      </c>
      <c r="AZ14" s="2">
        <f>IF(popproj!AZ14-old!AZ14=0,"",(popproj!AZ14-old!AZ14)/old!AZ14)</f>
        <v>-1</v>
      </c>
      <c r="BA14" s="2">
        <f>IF(popproj!BA14-old!BA14=0,"",(popproj!BA14-old!BA14)/old!BA14)</f>
        <v>-1</v>
      </c>
      <c r="BB14" s="2">
        <f>IF(popproj!BB14-old!BB14=0,"",(popproj!BB14-old!BB14)/old!BB14)</f>
        <v>-1</v>
      </c>
      <c r="BC14" s="2">
        <f>IF(popproj!BC14-old!BC14=0,"",(popproj!BC14-old!BC14)/old!BC14)</f>
        <v>-1</v>
      </c>
      <c r="BD14" s="2">
        <f>IF(popproj!BD14-old!BD14=0,"",(popproj!BD14-old!BD14)/old!BD14)</f>
        <v>-1</v>
      </c>
      <c r="BE14" s="2">
        <f>IF(popproj!BE14-old!BE14=0,"",(popproj!BE14-old!BE14)/old!BE14)</f>
        <v>-1</v>
      </c>
      <c r="BF14" s="2">
        <f>IF(popproj!BF14-old!BF14=0,"",(popproj!BF14-old!BF14)/old!BF14)</f>
        <v>-1</v>
      </c>
      <c r="BG14" s="2">
        <f>IF(popproj!BG14-old!BG14=0,"",(popproj!BG14-old!BG14)/old!BG14)</f>
        <v>-1</v>
      </c>
      <c r="BH14" s="2">
        <f>IF(popproj!BH14-old!BH14=0,"",(popproj!BH14-old!BH14)/old!BH14)</f>
        <v>-1</v>
      </c>
      <c r="BI14" s="2">
        <f>IF(popproj!BI14-old!BI14=0,"",(popproj!BI14-old!BI14)/old!BI14)</f>
        <v>-1</v>
      </c>
      <c r="BJ14" s="2">
        <f>IF(popproj!BJ14-old!BJ14=0,"",(popproj!BJ14-old!BJ14)/old!BJ14)</f>
        <v>-1</v>
      </c>
      <c r="BK14" s="2">
        <f>IF(popproj!BK14-old!BK14=0,"",(popproj!BK14-old!BK14)/old!BK14)</f>
        <v>-1</v>
      </c>
      <c r="BL14" s="2">
        <f>IF(popproj!BL14-old!BL14=0,"",(popproj!BL14-old!BL14)/old!BL14)</f>
        <v>-1</v>
      </c>
      <c r="BM14" s="2">
        <f>IF(popproj!BM14-old!BM14=0,"",(popproj!BM14-old!BM14)/old!BM14)</f>
        <v>-1</v>
      </c>
      <c r="BN14" s="2">
        <f>IF(popproj!BN14-old!BN14=0,"",(popproj!BN14-old!BN14)/old!BN14)</f>
        <v>-1</v>
      </c>
      <c r="BO14" s="2">
        <f>IF(popproj!BO14-old!BO14=0,"",(popproj!BO14-old!BO14)/old!BO14)</f>
        <v>-1</v>
      </c>
    </row>
    <row r="15" spans="1:67" x14ac:dyDescent="0.2">
      <c r="A15" t="str">
        <f>popproj!A15</f>
        <v>LV_POPTF</v>
      </c>
      <c r="B15" s="2"/>
      <c r="C15" s="2"/>
      <c r="D15" s="2">
        <f>IF(popproj!D15-old!D15=0,"",(popproj!D15-old!D15)/old!D15)</f>
        <v>-1</v>
      </c>
      <c r="E15" s="2">
        <f>IF(popproj!E15-old!E15=0,"",(popproj!E15-old!E15)/old!E15)</f>
        <v>-5.880222538283744E-3</v>
      </c>
      <c r="F15" s="2">
        <f>IF(popproj!F15-old!F15=0,"",(popproj!F15-old!F15)/old!F15)</f>
        <v>-6.1181742641651686E-3</v>
      </c>
      <c r="G15" s="2">
        <f>IF(popproj!G15-old!G15=0,"",(popproj!G15-old!G15)/old!G15)</f>
        <v>-3.1174034090695616E-3</v>
      </c>
      <c r="H15" s="2">
        <f>IF(popproj!H15-old!H15=0,"",(popproj!H15-old!H15)/old!H15)</f>
        <v>-4.0718428969897568E-3</v>
      </c>
      <c r="I15" s="2">
        <f>IF(popproj!I15-old!I15=0,"",(popproj!I15-old!I15)/old!I15)</f>
        <v>-4.8199227867917202E-3</v>
      </c>
      <c r="J15" s="2">
        <f>IF(popproj!J15-old!J15=0,"",(popproj!J15-old!J15)/old!J15)</f>
        <v>-5.361764897141596E-3</v>
      </c>
      <c r="K15" s="2">
        <f>IF(popproj!K15-old!K15=0,"",(popproj!K15-old!K15)/old!K15)</f>
        <v>-5.4781758990638495E-3</v>
      </c>
      <c r="L15" s="2">
        <f>IF(popproj!L15-old!L15=0,"",(popproj!L15-old!L15)/old!L15)</f>
        <v>-5.6276311908782725E-3</v>
      </c>
      <c r="M15" s="2">
        <f>IF(popproj!M15-old!M15=0,"",(popproj!M15-old!M15)/old!M15)</f>
        <v>-5.8167876120574311E-3</v>
      </c>
      <c r="N15" s="2">
        <f>IF(popproj!N15-old!N15=0,"",(popproj!N15-old!N15)/old!N15)</f>
        <v>-6.0519637546777236E-3</v>
      </c>
      <c r="O15" s="2">
        <f>IF(popproj!O15-old!O15=0,"",(popproj!O15-old!O15)/old!O15)</f>
        <v>-6.3424598082874178E-3</v>
      </c>
      <c r="P15" s="2">
        <f>IF(popproj!P15-old!P15=0,"",(popproj!P15-old!P15)/old!P15)</f>
        <v>-6.6848116095836298E-3</v>
      </c>
      <c r="Q15" s="2">
        <f>IF(popproj!Q15-old!Q15=0,"",(popproj!Q15-old!Q15)/old!Q15)</f>
        <v>-7.9559912594286599E-3</v>
      </c>
      <c r="R15" s="2">
        <f>IF(popproj!R15-old!R15=0,"",(popproj!R15-old!R15)/old!R15)</f>
        <v>-8.3291234814897221E-3</v>
      </c>
      <c r="S15" s="2">
        <f>IF(popproj!S15-old!S15=0,"",(popproj!S15-old!S15)/old!S15)</f>
        <v>-8.7513791000229484E-3</v>
      </c>
      <c r="T15" s="2">
        <f>IF(popproj!T15-old!T15=0,"",(popproj!T15-old!T15)/old!T15)</f>
        <v>-9.2339528104330732E-3</v>
      </c>
      <c r="U15" s="2">
        <f>IF(popproj!U15-old!U15=0,"",(popproj!U15-old!U15)/old!U15)</f>
        <v>-9.7098599151394602E-3</v>
      </c>
      <c r="V15" s="2">
        <f>IF(popproj!V15-old!V15=0,"",(popproj!V15-old!V15)/old!V15)</f>
        <v>-1.0264434104462939E-2</v>
      </c>
      <c r="W15" s="2">
        <f>IF(popproj!W15-old!W15=0,"",(popproj!W15-old!W15)/old!W15)</f>
        <v>-1.0891109872602358E-2</v>
      </c>
      <c r="X15" s="2">
        <f>IF(popproj!X15-old!X15=0,"",(popproj!X15-old!X15)/old!X15)</f>
        <v>-1.15777467351882E-2</v>
      </c>
      <c r="Y15" s="2">
        <f>IF(popproj!Y15-old!Y15=0,"",(popproj!Y15-old!Y15)/old!Y15)</f>
        <v>-1.2334114175186801E-2</v>
      </c>
      <c r="Z15" s="2">
        <f>IF(popproj!Z15-old!Z15=0,"",(popproj!Z15-old!Z15)/old!Z15)</f>
        <v>-1.3133215586364275E-2</v>
      </c>
      <c r="AA15" s="2">
        <f>IF(popproj!AA15-old!AA15=0,"",(popproj!AA15-old!AA15)/old!AA15)</f>
        <v>-1.3952590731226035E-2</v>
      </c>
      <c r="AB15" s="2">
        <f>IF(popproj!AB15-old!AB15=0,"",(popproj!AB15-old!AB15)/old!AB15)</f>
        <v>-1.4778083949996527E-2</v>
      </c>
      <c r="AC15" s="2">
        <f>IF(popproj!AC15-old!AC15=0,"",(popproj!AC15-old!AC15)/old!AC15)</f>
        <v>-1.5599778374734721E-2</v>
      </c>
      <c r="AD15" s="2">
        <f>IF(popproj!AD15-old!AD15=0,"",(popproj!AD15-old!AD15)/old!AD15)</f>
        <v>-1.6414568122372551E-2</v>
      </c>
      <c r="AE15" s="2">
        <f>IF(popproj!AE15-old!AE15=0,"",(popproj!AE15-old!AE15)/old!AE15)</f>
        <v>-1.7195006949084501E-2</v>
      </c>
      <c r="AF15" s="2">
        <f>IF(popproj!AF15-old!AF15=0,"",(popproj!AF15-old!AF15)/old!AF15)</f>
        <v>-1.7943150805003208E-2</v>
      </c>
      <c r="AG15" s="2">
        <f>IF(popproj!AG15-old!AG15=0,"",(popproj!AG15-old!AG15)/old!AG15)</f>
        <v>-1</v>
      </c>
      <c r="AH15" s="2">
        <f>IF(popproj!AH15-old!AH15=0,"",(popproj!AH15-old!AH15)/old!AH15)</f>
        <v>-1</v>
      </c>
      <c r="AI15" s="2">
        <f>IF(popproj!AI15-old!AI15=0,"",(popproj!AI15-old!AI15)/old!AI15)</f>
        <v>-1</v>
      </c>
      <c r="AJ15" s="2">
        <f>IF(popproj!AJ15-old!AJ15=0,"",(popproj!AJ15-old!AJ15)/old!AJ15)</f>
        <v>-1</v>
      </c>
      <c r="AK15" s="2">
        <f>IF(popproj!AK15-old!AK15=0,"",(popproj!AK15-old!AK15)/old!AK15)</f>
        <v>-1</v>
      </c>
      <c r="AL15" s="2">
        <f>IF(popproj!AL15-old!AL15=0,"",(popproj!AL15-old!AL15)/old!AL15)</f>
        <v>-1</v>
      </c>
      <c r="AM15" s="2">
        <f>IF(popproj!AM15-old!AM15=0,"",(popproj!AM15-old!AM15)/old!AM15)</f>
        <v>-1</v>
      </c>
      <c r="AN15" s="2">
        <f>IF(popproj!AN15-old!AN15=0,"",(popproj!AN15-old!AN15)/old!AN15)</f>
        <v>-1</v>
      </c>
      <c r="AO15" s="2">
        <f>IF(popproj!AO15-old!AO15=0,"",(popproj!AO15-old!AO15)/old!AO15)</f>
        <v>-1</v>
      </c>
      <c r="AP15" s="2">
        <f>IF(popproj!AP15-old!AP15=0,"",(popproj!AP15-old!AP15)/old!AP15)</f>
        <v>-1</v>
      </c>
      <c r="AQ15" s="2">
        <f>IF(popproj!AQ15-old!AQ15=0,"",(popproj!AQ15-old!AQ15)/old!AQ15)</f>
        <v>-1</v>
      </c>
      <c r="AR15" s="2">
        <f>IF(popproj!AR15-old!AR15=0,"",(popproj!AR15-old!AR15)/old!AR15)</f>
        <v>-1</v>
      </c>
      <c r="AS15" s="2">
        <f>IF(popproj!AS15-old!AS15=0,"",(popproj!AS15-old!AS15)/old!AS15)</f>
        <v>-1</v>
      </c>
      <c r="AT15" s="2">
        <f>IF(popproj!AT15-old!AT15=0,"",(popproj!AT15-old!AT15)/old!AT15)</f>
        <v>-1</v>
      </c>
      <c r="AU15" s="2">
        <f>IF(popproj!AU15-old!AU15=0,"",(popproj!AU15-old!AU15)/old!AU15)</f>
        <v>-1</v>
      </c>
      <c r="AV15" s="2">
        <f>IF(popproj!AV15-old!AV15=0,"",(popproj!AV15-old!AV15)/old!AV15)</f>
        <v>-1</v>
      </c>
      <c r="AW15" s="2">
        <f>IF(popproj!AW15-old!AW15=0,"",(popproj!AW15-old!AW15)/old!AW15)</f>
        <v>-1</v>
      </c>
      <c r="AX15" s="2">
        <f>IF(popproj!AX15-old!AX15=0,"",(popproj!AX15-old!AX15)/old!AX15)</f>
        <v>-1</v>
      </c>
      <c r="AY15" s="2">
        <f>IF(popproj!AY15-old!AY15=0,"",(popproj!AY15-old!AY15)/old!AY15)</f>
        <v>-1</v>
      </c>
      <c r="AZ15" s="2">
        <f>IF(popproj!AZ15-old!AZ15=0,"",(popproj!AZ15-old!AZ15)/old!AZ15)</f>
        <v>-1</v>
      </c>
      <c r="BA15" s="2">
        <f>IF(popproj!BA15-old!BA15=0,"",(popproj!BA15-old!BA15)/old!BA15)</f>
        <v>-1</v>
      </c>
      <c r="BB15" s="2">
        <f>IF(popproj!BB15-old!BB15=0,"",(popproj!BB15-old!BB15)/old!BB15)</f>
        <v>-1</v>
      </c>
      <c r="BC15" s="2">
        <f>IF(popproj!BC15-old!BC15=0,"",(popproj!BC15-old!BC15)/old!BC15)</f>
        <v>-1</v>
      </c>
      <c r="BD15" s="2">
        <f>IF(popproj!BD15-old!BD15=0,"",(popproj!BD15-old!BD15)/old!BD15)</f>
        <v>-1</v>
      </c>
      <c r="BE15" s="2">
        <f>IF(popproj!BE15-old!BE15=0,"",(popproj!BE15-old!BE15)/old!BE15)</f>
        <v>-1</v>
      </c>
      <c r="BF15" s="2">
        <f>IF(popproj!BF15-old!BF15=0,"",(popproj!BF15-old!BF15)/old!BF15)</f>
        <v>-1</v>
      </c>
      <c r="BG15" s="2">
        <f>IF(popproj!BG15-old!BG15=0,"",(popproj!BG15-old!BG15)/old!BG15)</f>
        <v>-1</v>
      </c>
      <c r="BH15" s="2">
        <f>IF(popproj!BH15-old!BH15=0,"",(popproj!BH15-old!BH15)/old!BH15)</f>
        <v>-1</v>
      </c>
      <c r="BI15" s="2">
        <f>IF(popproj!BI15-old!BI15=0,"",(popproj!BI15-old!BI15)/old!BI15)</f>
        <v>-1</v>
      </c>
      <c r="BJ15" s="2">
        <f>IF(popproj!BJ15-old!BJ15=0,"",(popproj!BJ15-old!BJ15)/old!BJ15)</f>
        <v>-1</v>
      </c>
      <c r="BK15" s="2">
        <f>IF(popproj!BK15-old!BK15=0,"",(popproj!BK15-old!BK15)/old!BK15)</f>
        <v>-1</v>
      </c>
      <c r="BL15" s="2">
        <f>IF(popproj!BL15-old!BL15=0,"",(popproj!BL15-old!BL15)/old!BL15)</f>
        <v>-1</v>
      </c>
      <c r="BM15" s="2">
        <f>IF(popproj!BM15-old!BM15=0,"",(popproj!BM15-old!BM15)/old!BM15)</f>
        <v>-1</v>
      </c>
      <c r="BN15" s="2">
        <f>IF(popproj!BN15-old!BN15=0,"",(popproj!BN15-old!BN15)/old!BN15)</f>
        <v>-1</v>
      </c>
      <c r="BO15" s="2">
        <f>IF(popproj!BO15-old!BO15=0,"",(popproj!BO15-old!BO15)/old!BO15)</f>
        <v>-1</v>
      </c>
    </row>
    <row r="16" spans="1:67" x14ac:dyDescent="0.2">
      <c r="A16" t="str">
        <f>popproj!A16</f>
        <v>LT_POPTF</v>
      </c>
      <c r="B16" s="2"/>
      <c r="C16" s="2"/>
      <c r="D16" s="2">
        <f>IF(popproj!D16-old!D16=0,"",(popproj!D16-old!D16)/old!D16)</f>
        <v>-1</v>
      </c>
      <c r="E16" s="2">
        <f>IF(popproj!E16-old!E16=0,"",(popproj!E16-old!E16)/old!E16)</f>
        <v>-4.2228399286818553E-3</v>
      </c>
      <c r="F16" s="2">
        <f>IF(popproj!F16-old!F16=0,"",(popproj!F16-old!F16)/old!F16)</f>
        <v>3.7120663546207629E-3</v>
      </c>
      <c r="G16" s="2">
        <f>IF(popproj!G16-old!G16=0,"",(popproj!G16-old!G16)/old!G16)</f>
        <v>1.211478385385349E-2</v>
      </c>
      <c r="H16" s="2">
        <f>IF(popproj!H16-old!H16=0,"",(popproj!H16-old!H16)/old!H16)</f>
        <v>1.5873228102928804E-2</v>
      </c>
      <c r="I16" s="2">
        <f>IF(popproj!I16-old!I16=0,"",(popproj!I16-old!I16)/old!I16)</f>
        <v>1.9797721324084538E-2</v>
      </c>
      <c r="J16" s="2">
        <f>IF(popproj!J16-old!J16=0,"",(popproj!J16-old!J16)/old!J16)</f>
        <v>2.3910075550340523E-2</v>
      </c>
      <c r="K16" s="2">
        <f>IF(popproj!K16-old!K16=0,"",(popproj!K16-old!K16)/old!K16)</f>
        <v>2.8207787139945945E-2</v>
      </c>
      <c r="L16" s="2">
        <f>IF(popproj!L16-old!L16=0,"",(popproj!L16-old!L16)/old!L16)</f>
        <v>3.261392444073092E-2</v>
      </c>
      <c r="M16" s="2">
        <f>IF(popproj!M16-old!M16=0,"",(popproj!M16-old!M16)/old!M16)</f>
        <v>3.7109531743641809E-2</v>
      </c>
      <c r="N16" s="2">
        <f>IF(popproj!N16-old!N16=0,"",(popproj!N16-old!N16)/old!N16)</f>
        <v>4.1642143530202097E-2</v>
      </c>
      <c r="O16" s="2">
        <f>IF(popproj!O16-old!O16=0,"",(popproj!O16-old!O16)/old!O16)</f>
        <v>4.6219404365228464E-2</v>
      </c>
      <c r="P16" s="2">
        <f>IF(popproj!P16-old!P16=0,"",(popproj!P16-old!P16)/old!P16)</f>
        <v>5.0843827733671153E-2</v>
      </c>
      <c r="Q16" s="2">
        <f>IF(popproj!Q16-old!Q16=0,"",(popproj!Q16-old!Q16)/old!Q16)</f>
        <v>5.4438829350074117E-2</v>
      </c>
      <c r="R16" s="2">
        <f>IF(popproj!R16-old!R16=0,"",(popproj!R16-old!R16)/old!R16)</f>
        <v>5.8972768376695156E-2</v>
      </c>
      <c r="S16" s="2">
        <f>IF(popproj!S16-old!S16=0,"",(popproj!S16-old!S16)/old!S16)</f>
        <v>6.3528342753030417E-2</v>
      </c>
      <c r="T16" s="2">
        <f>IF(popproj!T16-old!T16=0,"",(popproj!T16-old!T16)/old!T16)</f>
        <v>6.809232288420218E-2</v>
      </c>
      <c r="U16" s="2">
        <f>IF(popproj!U16-old!U16=0,"",(popproj!U16-old!U16)/old!U16)</f>
        <v>7.2813339947030112E-2</v>
      </c>
      <c r="V16" s="2">
        <f>IF(popproj!V16-old!V16=0,"",(popproj!V16-old!V16)/old!V16)</f>
        <v>7.7503780918797949E-2</v>
      </c>
      <c r="W16" s="2">
        <f>IF(popproj!W16-old!W16=0,"",(popproj!W16-old!W16)/old!W16)</f>
        <v>8.2204247400555541E-2</v>
      </c>
      <c r="X16" s="2">
        <f>IF(popproj!X16-old!X16=0,"",(popproj!X16-old!X16)/old!X16)</f>
        <v>8.6914198919248814E-2</v>
      </c>
      <c r="Y16" s="2">
        <f>IF(popproj!Y16-old!Y16=0,"",(popproj!Y16-old!Y16)/old!Y16)</f>
        <v>9.1628808300160361E-2</v>
      </c>
      <c r="Z16" s="2">
        <f>IF(popproj!Z16-old!Z16=0,"",(popproj!Z16-old!Z16)/old!Z16)</f>
        <v>9.6333432797995444E-2</v>
      </c>
      <c r="AA16" s="2">
        <f>IF(popproj!AA16-old!AA16=0,"",(popproj!AA16-old!AA16)/old!AA16)</f>
        <v>0.1010527616458668</v>
      </c>
      <c r="AB16" s="2">
        <f>IF(popproj!AB16-old!AB16=0,"",(popproj!AB16-old!AB16)/old!AB16)</f>
        <v>0.10578486603411338</v>
      </c>
      <c r="AC16" s="2">
        <f>IF(popproj!AC16-old!AC16=0,"",(popproj!AC16-old!AC16)/old!AC16)</f>
        <v>0.11052498636681465</v>
      </c>
      <c r="AD16" s="2">
        <f>IF(popproj!AD16-old!AD16=0,"",(popproj!AD16-old!AD16)/old!AD16)</f>
        <v>0.11528253958621992</v>
      </c>
      <c r="AE16" s="2">
        <f>IF(popproj!AE16-old!AE16=0,"",(popproj!AE16-old!AE16)/old!AE16)</f>
        <v>0.12004860845145057</v>
      </c>
      <c r="AF16" s="2">
        <f>IF(popproj!AF16-old!AF16=0,"",(popproj!AF16-old!AF16)/old!AF16)</f>
        <v>0.12481667194332019</v>
      </c>
      <c r="AG16" s="2">
        <f>IF(popproj!AG16-old!AG16=0,"",(popproj!AG16-old!AG16)/old!AG16)</f>
        <v>-1</v>
      </c>
      <c r="AH16" s="2">
        <f>IF(popproj!AH16-old!AH16=0,"",(popproj!AH16-old!AH16)/old!AH16)</f>
        <v>-1</v>
      </c>
      <c r="AI16" s="2">
        <f>IF(popproj!AI16-old!AI16=0,"",(popproj!AI16-old!AI16)/old!AI16)</f>
        <v>-1</v>
      </c>
      <c r="AJ16" s="2">
        <f>IF(popproj!AJ16-old!AJ16=0,"",(popproj!AJ16-old!AJ16)/old!AJ16)</f>
        <v>-1</v>
      </c>
      <c r="AK16" s="2">
        <f>IF(popproj!AK16-old!AK16=0,"",(popproj!AK16-old!AK16)/old!AK16)</f>
        <v>-1</v>
      </c>
      <c r="AL16" s="2">
        <f>IF(popproj!AL16-old!AL16=0,"",(popproj!AL16-old!AL16)/old!AL16)</f>
        <v>-1</v>
      </c>
      <c r="AM16" s="2">
        <f>IF(popproj!AM16-old!AM16=0,"",(popproj!AM16-old!AM16)/old!AM16)</f>
        <v>-1</v>
      </c>
      <c r="AN16" s="2">
        <f>IF(popproj!AN16-old!AN16=0,"",(popproj!AN16-old!AN16)/old!AN16)</f>
        <v>-1</v>
      </c>
      <c r="AO16" s="2">
        <f>IF(popproj!AO16-old!AO16=0,"",(popproj!AO16-old!AO16)/old!AO16)</f>
        <v>-1</v>
      </c>
      <c r="AP16" s="2">
        <f>IF(popproj!AP16-old!AP16=0,"",(popproj!AP16-old!AP16)/old!AP16)</f>
        <v>-1</v>
      </c>
      <c r="AQ16" s="2">
        <f>IF(popproj!AQ16-old!AQ16=0,"",(popproj!AQ16-old!AQ16)/old!AQ16)</f>
        <v>-1</v>
      </c>
      <c r="AR16" s="2">
        <f>IF(popproj!AR16-old!AR16=0,"",(popproj!AR16-old!AR16)/old!AR16)</f>
        <v>-1</v>
      </c>
      <c r="AS16" s="2">
        <f>IF(popproj!AS16-old!AS16=0,"",(popproj!AS16-old!AS16)/old!AS16)</f>
        <v>-1</v>
      </c>
      <c r="AT16" s="2">
        <f>IF(popproj!AT16-old!AT16=0,"",(popproj!AT16-old!AT16)/old!AT16)</f>
        <v>-1</v>
      </c>
      <c r="AU16" s="2">
        <f>IF(popproj!AU16-old!AU16=0,"",(popproj!AU16-old!AU16)/old!AU16)</f>
        <v>-1</v>
      </c>
      <c r="AV16" s="2">
        <f>IF(popproj!AV16-old!AV16=0,"",(popproj!AV16-old!AV16)/old!AV16)</f>
        <v>-1</v>
      </c>
      <c r="AW16" s="2">
        <f>IF(popproj!AW16-old!AW16=0,"",(popproj!AW16-old!AW16)/old!AW16)</f>
        <v>-1</v>
      </c>
      <c r="AX16" s="2">
        <f>IF(popproj!AX16-old!AX16=0,"",(popproj!AX16-old!AX16)/old!AX16)</f>
        <v>-1</v>
      </c>
      <c r="AY16" s="2">
        <f>IF(popproj!AY16-old!AY16=0,"",(popproj!AY16-old!AY16)/old!AY16)</f>
        <v>-1</v>
      </c>
      <c r="AZ16" s="2">
        <f>IF(popproj!AZ16-old!AZ16=0,"",(popproj!AZ16-old!AZ16)/old!AZ16)</f>
        <v>-1</v>
      </c>
      <c r="BA16" s="2">
        <f>IF(popproj!BA16-old!BA16=0,"",(popproj!BA16-old!BA16)/old!BA16)</f>
        <v>-1</v>
      </c>
      <c r="BB16" s="2">
        <f>IF(popproj!BB16-old!BB16=0,"",(popproj!BB16-old!BB16)/old!BB16)</f>
        <v>-1</v>
      </c>
      <c r="BC16" s="2">
        <f>IF(popproj!BC16-old!BC16=0,"",(popproj!BC16-old!BC16)/old!BC16)</f>
        <v>-1</v>
      </c>
      <c r="BD16" s="2">
        <f>IF(popproj!BD16-old!BD16=0,"",(popproj!BD16-old!BD16)/old!BD16)</f>
        <v>-1</v>
      </c>
      <c r="BE16" s="2">
        <f>IF(popproj!BE16-old!BE16=0,"",(popproj!BE16-old!BE16)/old!BE16)</f>
        <v>-1</v>
      </c>
      <c r="BF16" s="2">
        <f>IF(popproj!BF16-old!BF16=0,"",(popproj!BF16-old!BF16)/old!BF16)</f>
        <v>-1</v>
      </c>
      <c r="BG16" s="2">
        <f>IF(popproj!BG16-old!BG16=0,"",(popproj!BG16-old!BG16)/old!BG16)</f>
        <v>-1</v>
      </c>
      <c r="BH16" s="2">
        <f>IF(popproj!BH16-old!BH16=0,"",(popproj!BH16-old!BH16)/old!BH16)</f>
        <v>-1</v>
      </c>
      <c r="BI16" s="2">
        <f>IF(popproj!BI16-old!BI16=0,"",(popproj!BI16-old!BI16)/old!BI16)</f>
        <v>-1</v>
      </c>
      <c r="BJ16" s="2">
        <f>IF(popproj!BJ16-old!BJ16=0,"",(popproj!BJ16-old!BJ16)/old!BJ16)</f>
        <v>-1</v>
      </c>
      <c r="BK16" s="2">
        <f>IF(popproj!BK16-old!BK16=0,"",(popproj!BK16-old!BK16)/old!BK16)</f>
        <v>-1</v>
      </c>
      <c r="BL16" s="2">
        <f>IF(popproj!BL16-old!BL16=0,"",(popproj!BL16-old!BL16)/old!BL16)</f>
        <v>-1</v>
      </c>
      <c r="BM16" s="2">
        <f>IF(popproj!BM16-old!BM16=0,"",(popproj!BM16-old!BM16)/old!BM16)</f>
        <v>-1</v>
      </c>
      <c r="BN16" s="2">
        <f>IF(popproj!BN16-old!BN16=0,"",(popproj!BN16-old!BN16)/old!BN16)</f>
        <v>-1</v>
      </c>
      <c r="BO16" s="2">
        <f>IF(popproj!BO16-old!BO16=0,"",(popproj!BO16-old!BO16)/old!BO16)</f>
        <v>-1</v>
      </c>
    </row>
    <row r="17" spans="1:67" x14ac:dyDescent="0.2">
      <c r="A17" t="str">
        <f>popproj!A17</f>
        <v>LU_POPTF</v>
      </c>
      <c r="B17" s="2"/>
      <c r="C17" s="2"/>
      <c r="D17" s="2">
        <f>IF(popproj!D17-old!D17=0,"",(popproj!D17-old!D17)/old!D17)</f>
        <v>-1</v>
      </c>
      <c r="E17" s="2">
        <f>IF(popproj!E17-old!E17=0,"",(popproj!E17-old!E17)/old!E17)</f>
        <v>-2.6081562237278825E-3</v>
      </c>
      <c r="F17" s="2">
        <f>IF(popproj!F17-old!F17=0,"",(popproj!F17-old!F17)/old!F17)</f>
        <v>-5.270784519494206E-3</v>
      </c>
      <c r="G17" s="2">
        <f>IF(popproj!G17-old!G17=0,"",(popproj!G17-old!G17)/old!G17)</f>
        <v>-4.9339160884961158E-3</v>
      </c>
      <c r="H17" s="2">
        <f>IF(popproj!H17-old!H17=0,"",(popproj!H17-old!H17)/old!H17)</f>
        <v>-3.7033960686145059E-3</v>
      </c>
      <c r="I17" s="2">
        <f>IF(popproj!I17-old!I17=0,"",(popproj!I17-old!I17)/old!I17)</f>
        <v>-2.4027411554026425E-3</v>
      </c>
      <c r="J17" s="2">
        <f>IF(popproj!J17-old!J17=0,"",(popproj!J17-old!J17)/old!J17)</f>
        <v>-1.0016991373717138E-3</v>
      </c>
      <c r="K17" s="2">
        <f>IF(popproj!K17-old!K17=0,"",(popproj!K17-old!K17)/old!K17)</f>
        <v>-1.0435640038893986E-3</v>
      </c>
      <c r="L17" s="2">
        <f>IF(popproj!L17-old!L17=0,"",(popproj!L17-old!L17)/old!L17)</f>
        <v>-1.4316198914129819E-3</v>
      </c>
      <c r="M17" s="2">
        <f>IF(popproj!M17-old!M17=0,"",(popproj!M17-old!M17)/old!M17)</f>
        <v>-2.0641388849652336E-3</v>
      </c>
      <c r="N17" s="2">
        <f>IF(popproj!N17-old!N17=0,"",(popproj!N17-old!N17)/old!N17)</f>
        <v>-2.9293458101278809E-3</v>
      </c>
      <c r="O17" s="2">
        <f>IF(popproj!O17-old!O17=0,"",(popproj!O17-old!O17)/old!O17)</f>
        <v>-3.9711200714983479E-3</v>
      </c>
      <c r="P17" s="2">
        <f>IF(popproj!P17-old!P17=0,"",(popproj!P17-old!P17)/old!P17)</f>
        <v>-5.1480431403704893E-3</v>
      </c>
      <c r="Q17" s="2">
        <f>IF(popproj!Q17-old!Q17=0,"",(popproj!Q17-old!Q17)/old!Q17)</f>
        <v>-6.6881614595488631E-3</v>
      </c>
      <c r="R17" s="2">
        <f>IF(popproj!R17-old!R17=0,"",(popproj!R17-old!R17)/old!R17)</f>
        <v>-8.1487900338466975E-3</v>
      </c>
      <c r="S17" s="2">
        <f>IF(popproj!S17-old!S17=0,"",(popproj!S17-old!S17)/old!S17)</f>
        <v>-9.6334668075837189E-3</v>
      </c>
      <c r="T17" s="2">
        <f>IF(popproj!T17-old!T17=0,"",(popproj!T17-old!T17)/old!T17)</f>
        <v>-1.1130561598027999E-2</v>
      </c>
      <c r="U17" s="2">
        <f>IF(popproj!U17-old!U17=0,"",(popproj!U17-old!U17)/old!U17)</f>
        <v>-1.2648228069173302E-2</v>
      </c>
      <c r="V17" s="2">
        <f>IF(popproj!V17-old!V17=0,"",(popproj!V17-old!V17)/old!V17)</f>
        <v>-1.4171753515252119E-2</v>
      </c>
      <c r="W17" s="2">
        <f>IF(popproj!W17-old!W17=0,"",(popproj!W17-old!W17)/old!W17)</f>
        <v>-1.5741119530175648E-2</v>
      </c>
      <c r="X17" s="2">
        <f>IF(popproj!X17-old!X17=0,"",(popproj!X17-old!X17)/old!X17)</f>
        <v>-1.7320300844321811E-2</v>
      </c>
      <c r="Y17" s="2">
        <f>IF(popproj!Y17-old!Y17=0,"",(popproj!Y17-old!Y17)/old!Y17)</f>
        <v>-1.891733483377878E-2</v>
      </c>
      <c r="Z17" s="2">
        <f>IF(popproj!Z17-old!Z17=0,"",(popproj!Z17-old!Z17)/old!Z17)</f>
        <v>-2.0558226604421862E-2</v>
      </c>
      <c r="AA17" s="2">
        <f>IF(popproj!AA17-old!AA17=0,"",(popproj!AA17-old!AA17)/old!AA17)</f>
        <v>-2.224319379036482E-2</v>
      </c>
      <c r="AB17" s="2">
        <f>IF(popproj!AB17-old!AB17=0,"",(popproj!AB17-old!AB17)/old!AB17)</f>
        <v>-2.3962559502747689E-2</v>
      </c>
      <c r="AC17" s="2">
        <f>IF(popproj!AC17-old!AC17=0,"",(popproj!AC17-old!AC17)/old!AC17)</f>
        <v>-2.5746964391286552E-2</v>
      </c>
      <c r="AD17" s="2">
        <f>IF(popproj!AD17-old!AD17=0,"",(popproj!AD17-old!AD17)/old!AD17)</f>
        <v>-2.7582180829441468E-2</v>
      </c>
      <c r="AE17" s="2">
        <f>IF(popproj!AE17-old!AE17=0,"",(popproj!AE17-old!AE17)/old!AE17)</f>
        <v>-2.9492565441502281E-2</v>
      </c>
      <c r="AF17" s="2">
        <f>IF(popproj!AF17-old!AF17=0,"",(popproj!AF17-old!AF17)/old!AF17)</f>
        <v>-3.1479078602386433E-2</v>
      </c>
      <c r="AG17" s="2">
        <f>IF(popproj!AG17-old!AG17=0,"",(popproj!AG17-old!AG17)/old!AG17)</f>
        <v>-1</v>
      </c>
      <c r="AH17" s="2">
        <f>IF(popproj!AH17-old!AH17=0,"",(popproj!AH17-old!AH17)/old!AH17)</f>
        <v>-1</v>
      </c>
      <c r="AI17" s="2">
        <f>IF(popproj!AI17-old!AI17=0,"",(popproj!AI17-old!AI17)/old!AI17)</f>
        <v>-1</v>
      </c>
      <c r="AJ17" s="2">
        <f>IF(popproj!AJ17-old!AJ17=0,"",(popproj!AJ17-old!AJ17)/old!AJ17)</f>
        <v>-1</v>
      </c>
      <c r="AK17" s="2">
        <f>IF(popproj!AK17-old!AK17=0,"",(popproj!AK17-old!AK17)/old!AK17)</f>
        <v>-1</v>
      </c>
      <c r="AL17" s="2">
        <f>IF(popproj!AL17-old!AL17=0,"",(popproj!AL17-old!AL17)/old!AL17)</f>
        <v>-1</v>
      </c>
      <c r="AM17" s="2">
        <f>IF(popproj!AM17-old!AM17=0,"",(popproj!AM17-old!AM17)/old!AM17)</f>
        <v>-1</v>
      </c>
      <c r="AN17" s="2">
        <f>IF(popproj!AN17-old!AN17=0,"",(popproj!AN17-old!AN17)/old!AN17)</f>
        <v>-1</v>
      </c>
      <c r="AO17" s="2">
        <f>IF(popproj!AO17-old!AO17=0,"",(popproj!AO17-old!AO17)/old!AO17)</f>
        <v>-1</v>
      </c>
      <c r="AP17" s="2">
        <f>IF(popproj!AP17-old!AP17=0,"",(popproj!AP17-old!AP17)/old!AP17)</f>
        <v>-1</v>
      </c>
      <c r="AQ17" s="2">
        <f>IF(popproj!AQ17-old!AQ17=0,"",(popproj!AQ17-old!AQ17)/old!AQ17)</f>
        <v>-1</v>
      </c>
      <c r="AR17" s="2">
        <f>IF(popproj!AR17-old!AR17=0,"",(popproj!AR17-old!AR17)/old!AR17)</f>
        <v>-1</v>
      </c>
      <c r="AS17" s="2">
        <f>IF(popproj!AS17-old!AS17=0,"",(popproj!AS17-old!AS17)/old!AS17)</f>
        <v>-1</v>
      </c>
      <c r="AT17" s="2">
        <f>IF(popproj!AT17-old!AT17=0,"",(popproj!AT17-old!AT17)/old!AT17)</f>
        <v>-1</v>
      </c>
      <c r="AU17" s="2">
        <f>IF(popproj!AU17-old!AU17=0,"",(popproj!AU17-old!AU17)/old!AU17)</f>
        <v>-1</v>
      </c>
      <c r="AV17" s="2">
        <f>IF(popproj!AV17-old!AV17=0,"",(popproj!AV17-old!AV17)/old!AV17)</f>
        <v>-1</v>
      </c>
      <c r="AW17" s="2">
        <f>IF(popproj!AW17-old!AW17=0,"",(popproj!AW17-old!AW17)/old!AW17)</f>
        <v>-1</v>
      </c>
      <c r="AX17" s="2">
        <f>IF(popproj!AX17-old!AX17=0,"",(popproj!AX17-old!AX17)/old!AX17)</f>
        <v>-1</v>
      </c>
      <c r="AY17" s="2">
        <f>IF(popproj!AY17-old!AY17=0,"",(popproj!AY17-old!AY17)/old!AY17)</f>
        <v>-1</v>
      </c>
      <c r="AZ17" s="2">
        <f>IF(popproj!AZ17-old!AZ17=0,"",(popproj!AZ17-old!AZ17)/old!AZ17)</f>
        <v>-1</v>
      </c>
      <c r="BA17" s="2">
        <f>IF(popproj!BA17-old!BA17=0,"",(popproj!BA17-old!BA17)/old!BA17)</f>
        <v>-1</v>
      </c>
      <c r="BB17" s="2">
        <f>IF(popproj!BB17-old!BB17=0,"",(popproj!BB17-old!BB17)/old!BB17)</f>
        <v>-1</v>
      </c>
      <c r="BC17" s="2">
        <f>IF(popproj!BC17-old!BC17=0,"",(popproj!BC17-old!BC17)/old!BC17)</f>
        <v>-1</v>
      </c>
      <c r="BD17" s="2">
        <f>IF(popproj!BD17-old!BD17=0,"",(popproj!BD17-old!BD17)/old!BD17)</f>
        <v>-1</v>
      </c>
      <c r="BE17" s="2">
        <f>IF(popproj!BE17-old!BE17=0,"",(popproj!BE17-old!BE17)/old!BE17)</f>
        <v>-1</v>
      </c>
      <c r="BF17" s="2">
        <f>IF(popproj!BF17-old!BF17=0,"",(popproj!BF17-old!BF17)/old!BF17)</f>
        <v>-1</v>
      </c>
      <c r="BG17" s="2">
        <f>IF(popproj!BG17-old!BG17=0,"",(popproj!BG17-old!BG17)/old!BG17)</f>
        <v>-1</v>
      </c>
      <c r="BH17" s="2">
        <f>IF(popproj!BH17-old!BH17=0,"",(popproj!BH17-old!BH17)/old!BH17)</f>
        <v>-1</v>
      </c>
      <c r="BI17" s="2">
        <f>IF(popproj!BI17-old!BI17=0,"",(popproj!BI17-old!BI17)/old!BI17)</f>
        <v>-1</v>
      </c>
      <c r="BJ17" s="2">
        <f>IF(popproj!BJ17-old!BJ17=0,"",(popproj!BJ17-old!BJ17)/old!BJ17)</f>
        <v>-1</v>
      </c>
      <c r="BK17" s="2">
        <f>IF(popproj!BK17-old!BK17=0,"",(popproj!BK17-old!BK17)/old!BK17)</f>
        <v>-1</v>
      </c>
      <c r="BL17" s="2">
        <f>IF(popproj!BL17-old!BL17=0,"",(popproj!BL17-old!BL17)/old!BL17)</f>
        <v>-1</v>
      </c>
      <c r="BM17" s="2">
        <f>IF(popproj!BM17-old!BM17=0,"",(popproj!BM17-old!BM17)/old!BM17)</f>
        <v>-1</v>
      </c>
      <c r="BN17" s="2">
        <f>IF(popproj!BN17-old!BN17=0,"",(popproj!BN17-old!BN17)/old!BN17)</f>
        <v>-1</v>
      </c>
      <c r="BO17" s="2">
        <f>IF(popproj!BO17-old!BO17=0,"",(popproj!BO17-old!BO17)/old!BO17)</f>
        <v>-1</v>
      </c>
    </row>
    <row r="18" spans="1:67" x14ac:dyDescent="0.2">
      <c r="A18" t="str">
        <f>popproj!A18</f>
        <v>HU_POPTF</v>
      </c>
      <c r="B18" s="2"/>
      <c r="C18" s="2"/>
      <c r="D18" s="2">
        <f>IF(popproj!D18-old!D18=0,"",(popproj!D18-old!D18)/old!D18)</f>
        <v>-1</v>
      </c>
      <c r="E18" s="2">
        <f>IF(popproj!E18-old!E18=0,"",(popproj!E18-old!E18)/old!E18)</f>
        <v>-9.2490103320538881E-3</v>
      </c>
      <c r="F18" s="2">
        <f>IF(popproj!F18-old!F18=0,"",(popproj!F18-old!F18)/old!F18)</f>
        <v>-8.8400226222842739E-3</v>
      </c>
      <c r="G18" s="2">
        <f>IF(popproj!G18-old!G18=0,"",(popproj!G18-old!G18)/old!G18)</f>
        <v>-8.0056220694843579E-3</v>
      </c>
      <c r="H18" s="2">
        <f>IF(popproj!H18-old!H18=0,"",(popproj!H18-old!H18)/old!H18)</f>
        <v>-8.1638142757197718E-3</v>
      </c>
      <c r="I18" s="2">
        <f>IF(popproj!I18-old!I18=0,"",(popproj!I18-old!I18)/old!I18)</f>
        <v>-8.3881656064892229E-3</v>
      </c>
      <c r="J18" s="2">
        <f>IF(popproj!J18-old!J18=0,"",(popproj!J18-old!J18)/old!J18)</f>
        <v>-8.6808747288303865E-3</v>
      </c>
      <c r="K18" s="2">
        <f>IF(popproj!K18-old!K18=0,"",(popproj!K18-old!K18)/old!K18)</f>
        <v>-8.897883397989366E-3</v>
      </c>
      <c r="L18" s="2">
        <f>IF(popproj!L18-old!L18=0,"",(popproj!L18-old!L18)/old!L18)</f>
        <v>-9.179198212025539E-3</v>
      </c>
      <c r="M18" s="2">
        <f>IF(popproj!M18-old!M18=0,"",(popproj!M18-old!M18)/old!M18)</f>
        <v>-9.5298981984818162E-3</v>
      </c>
      <c r="N18" s="2">
        <f>IF(popproj!N18-old!N18=0,"",(popproj!N18-old!N18)/old!N18)</f>
        <v>-9.9118992677660889E-3</v>
      </c>
      <c r="O18" s="2">
        <f>IF(popproj!O18-old!O18=0,"",(popproj!O18-old!O18)/old!O18)</f>
        <v>-1.0341391165776618E-2</v>
      </c>
      <c r="P18" s="2">
        <f>IF(popproj!P18-old!P18=0,"",(popproj!P18-old!P18)/old!P18)</f>
        <v>-1.0817363328860789E-2</v>
      </c>
      <c r="Q18" s="2">
        <f>IF(popproj!Q18-old!Q18=0,"",(popproj!Q18-old!Q18)/old!Q18)</f>
        <v>-1.1459064648674121E-2</v>
      </c>
      <c r="R18" s="2">
        <f>IF(popproj!R18-old!R18=0,"",(popproj!R18-old!R18)/old!R18)</f>
        <v>-1.2044851525661343E-2</v>
      </c>
      <c r="S18" s="2">
        <f>IF(popproj!S18-old!S18=0,"",(popproj!S18-old!S18)/old!S18)</f>
        <v>-1.268119802062896E-2</v>
      </c>
      <c r="T18" s="2">
        <f>IF(popproj!T18-old!T18=0,"",(popproj!T18-old!T18)/old!T18)</f>
        <v>-1.3372736164851544E-2</v>
      </c>
      <c r="U18" s="2">
        <f>IF(popproj!U18-old!U18=0,"",(popproj!U18-old!U18)/old!U18)</f>
        <v>-1.404132717627635E-2</v>
      </c>
      <c r="V18" s="2">
        <f>IF(popproj!V18-old!V18=0,"",(popproj!V18-old!V18)/old!V18)</f>
        <v>-1.4734747037949259E-2</v>
      </c>
      <c r="W18" s="2">
        <f>IF(popproj!W18-old!W18=0,"",(popproj!W18-old!W18)/old!W18)</f>
        <v>-1.5469119542311312E-2</v>
      </c>
      <c r="X18" s="2">
        <f>IF(popproj!X18-old!X18=0,"",(popproj!X18-old!X18)/old!X18)</f>
        <v>-1.6258679952715838E-2</v>
      </c>
      <c r="Y18" s="2">
        <f>IF(popproj!Y18-old!Y18=0,"",(popproj!Y18-old!Y18)/old!Y18)</f>
        <v>-1.7085418494793298E-2</v>
      </c>
      <c r="Z18" s="2">
        <f>IF(popproj!Z18-old!Z18=0,"",(popproj!Z18-old!Z18)/old!Z18)</f>
        <v>-1.7950957192133112E-2</v>
      </c>
      <c r="AA18" s="2">
        <f>IF(popproj!AA18-old!AA18=0,"",(popproj!AA18-old!AA18)/old!AA18)</f>
        <v>-1.8852189688624781E-2</v>
      </c>
      <c r="AB18" s="2">
        <f>IF(popproj!AB18-old!AB18=0,"",(popproj!AB18-old!AB18)/old!AB18)</f>
        <v>-1.9785832436672136E-2</v>
      </c>
      <c r="AC18" s="2">
        <f>IF(popproj!AC18-old!AC18=0,"",(popproj!AC18-old!AC18)/old!AC18)</f>
        <v>-2.0733880502297783E-2</v>
      </c>
      <c r="AD18" s="2">
        <f>IF(popproj!AD18-old!AD18=0,"",(popproj!AD18-old!AD18)/old!AD18)</f>
        <v>-2.1697332422967341E-2</v>
      </c>
      <c r="AE18" s="2">
        <f>IF(popproj!AE18-old!AE18=0,"",(popproj!AE18-old!AE18)/old!AE18)</f>
        <v>-2.2667583805430366E-2</v>
      </c>
      <c r="AF18" s="2">
        <f>IF(popproj!AF18-old!AF18=0,"",(popproj!AF18-old!AF18)/old!AF18)</f>
        <v>-2.3645676791103114E-2</v>
      </c>
      <c r="AG18" s="2">
        <f>IF(popproj!AG18-old!AG18=0,"",(popproj!AG18-old!AG18)/old!AG18)</f>
        <v>-1</v>
      </c>
      <c r="AH18" s="2">
        <f>IF(popproj!AH18-old!AH18=0,"",(popproj!AH18-old!AH18)/old!AH18)</f>
        <v>-1</v>
      </c>
      <c r="AI18" s="2">
        <f>IF(popproj!AI18-old!AI18=0,"",(popproj!AI18-old!AI18)/old!AI18)</f>
        <v>-1</v>
      </c>
      <c r="AJ18" s="2">
        <f>IF(popproj!AJ18-old!AJ18=0,"",(popproj!AJ18-old!AJ18)/old!AJ18)</f>
        <v>-1</v>
      </c>
      <c r="AK18" s="2">
        <f>IF(popproj!AK18-old!AK18=0,"",(popproj!AK18-old!AK18)/old!AK18)</f>
        <v>-1</v>
      </c>
      <c r="AL18" s="2">
        <f>IF(popproj!AL18-old!AL18=0,"",(popproj!AL18-old!AL18)/old!AL18)</f>
        <v>-1</v>
      </c>
      <c r="AM18" s="2">
        <f>IF(popproj!AM18-old!AM18=0,"",(popproj!AM18-old!AM18)/old!AM18)</f>
        <v>-1</v>
      </c>
      <c r="AN18" s="2">
        <f>IF(popproj!AN18-old!AN18=0,"",(popproj!AN18-old!AN18)/old!AN18)</f>
        <v>-1</v>
      </c>
      <c r="AO18" s="2">
        <f>IF(popproj!AO18-old!AO18=0,"",(popproj!AO18-old!AO18)/old!AO18)</f>
        <v>-1</v>
      </c>
      <c r="AP18" s="2">
        <f>IF(popproj!AP18-old!AP18=0,"",(popproj!AP18-old!AP18)/old!AP18)</f>
        <v>-1</v>
      </c>
      <c r="AQ18" s="2">
        <f>IF(popproj!AQ18-old!AQ18=0,"",(popproj!AQ18-old!AQ18)/old!AQ18)</f>
        <v>-1</v>
      </c>
      <c r="AR18" s="2">
        <f>IF(popproj!AR18-old!AR18=0,"",(popproj!AR18-old!AR18)/old!AR18)</f>
        <v>-1</v>
      </c>
      <c r="AS18" s="2">
        <f>IF(popproj!AS18-old!AS18=0,"",(popproj!AS18-old!AS18)/old!AS18)</f>
        <v>-1</v>
      </c>
      <c r="AT18" s="2">
        <f>IF(popproj!AT18-old!AT18=0,"",(popproj!AT18-old!AT18)/old!AT18)</f>
        <v>-1</v>
      </c>
      <c r="AU18" s="2">
        <f>IF(popproj!AU18-old!AU18=0,"",(popproj!AU18-old!AU18)/old!AU18)</f>
        <v>-1</v>
      </c>
      <c r="AV18" s="2">
        <f>IF(popproj!AV18-old!AV18=0,"",(popproj!AV18-old!AV18)/old!AV18)</f>
        <v>-1</v>
      </c>
      <c r="AW18" s="2">
        <f>IF(popproj!AW18-old!AW18=0,"",(popproj!AW18-old!AW18)/old!AW18)</f>
        <v>-1</v>
      </c>
      <c r="AX18" s="2">
        <f>IF(popproj!AX18-old!AX18=0,"",(popproj!AX18-old!AX18)/old!AX18)</f>
        <v>-1</v>
      </c>
      <c r="AY18" s="2">
        <f>IF(popproj!AY18-old!AY18=0,"",(popproj!AY18-old!AY18)/old!AY18)</f>
        <v>-1</v>
      </c>
      <c r="AZ18" s="2">
        <f>IF(popproj!AZ18-old!AZ18=0,"",(popproj!AZ18-old!AZ18)/old!AZ18)</f>
        <v>-1</v>
      </c>
      <c r="BA18" s="2">
        <f>IF(popproj!BA18-old!BA18=0,"",(popproj!BA18-old!BA18)/old!BA18)</f>
        <v>-1</v>
      </c>
      <c r="BB18" s="2">
        <f>IF(popproj!BB18-old!BB18=0,"",(popproj!BB18-old!BB18)/old!BB18)</f>
        <v>-1</v>
      </c>
      <c r="BC18" s="2">
        <f>IF(popproj!BC18-old!BC18=0,"",(popproj!BC18-old!BC18)/old!BC18)</f>
        <v>-1</v>
      </c>
      <c r="BD18" s="2">
        <f>IF(popproj!BD18-old!BD18=0,"",(popproj!BD18-old!BD18)/old!BD18)</f>
        <v>-1</v>
      </c>
      <c r="BE18" s="2">
        <f>IF(popproj!BE18-old!BE18=0,"",(popproj!BE18-old!BE18)/old!BE18)</f>
        <v>-1</v>
      </c>
      <c r="BF18" s="2">
        <f>IF(popproj!BF18-old!BF18=0,"",(popproj!BF18-old!BF18)/old!BF18)</f>
        <v>-1</v>
      </c>
      <c r="BG18" s="2">
        <f>IF(popproj!BG18-old!BG18=0,"",(popproj!BG18-old!BG18)/old!BG18)</f>
        <v>-1</v>
      </c>
      <c r="BH18" s="2">
        <f>IF(popproj!BH18-old!BH18=0,"",(popproj!BH18-old!BH18)/old!BH18)</f>
        <v>-1</v>
      </c>
      <c r="BI18" s="2">
        <f>IF(popproj!BI18-old!BI18=0,"",(popproj!BI18-old!BI18)/old!BI18)</f>
        <v>-1</v>
      </c>
      <c r="BJ18" s="2">
        <f>IF(popproj!BJ18-old!BJ18=0,"",(popproj!BJ18-old!BJ18)/old!BJ18)</f>
        <v>-1</v>
      </c>
      <c r="BK18" s="2">
        <f>IF(popproj!BK18-old!BK18=0,"",(popproj!BK18-old!BK18)/old!BK18)</f>
        <v>-1</v>
      </c>
      <c r="BL18" s="2">
        <f>IF(popproj!BL18-old!BL18=0,"",(popproj!BL18-old!BL18)/old!BL18)</f>
        <v>-1</v>
      </c>
      <c r="BM18" s="2">
        <f>IF(popproj!BM18-old!BM18=0,"",(popproj!BM18-old!BM18)/old!BM18)</f>
        <v>-1</v>
      </c>
      <c r="BN18" s="2">
        <f>IF(popproj!BN18-old!BN18=0,"",(popproj!BN18-old!BN18)/old!BN18)</f>
        <v>-1</v>
      </c>
      <c r="BO18" s="2">
        <f>IF(popproj!BO18-old!BO18=0,"",(popproj!BO18-old!BO18)/old!BO18)</f>
        <v>-1</v>
      </c>
    </row>
    <row r="19" spans="1:67" x14ac:dyDescent="0.2">
      <c r="A19" t="str">
        <f>popproj!A19</f>
        <v>MT_POPTF</v>
      </c>
      <c r="B19" s="2"/>
      <c r="C19" s="2"/>
      <c r="D19" s="2">
        <f>IF(popproj!D19-old!D19=0,"",(popproj!D19-old!D19)/old!D19)</f>
        <v>-1</v>
      </c>
      <c r="E19" s="2">
        <f>IF(popproj!E19-old!E19=0,"",(popproj!E19-old!E19)/old!E19)</f>
        <v>1.7668594172424151E-2</v>
      </c>
      <c r="F19" s="2">
        <f>IF(popproj!F19-old!F19=0,"",(popproj!F19-old!F19)/old!F19)</f>
        <v>3.7075280692066996E-2</v>
      </c>
      <c r="G19" s="2">
        <f>IF(popproj!G19-old!G19=0,"",(popproj!G19-old!G19)/old!G19)</f>
        <v>5.013158774111625E-2</v>
      </c>
      <c r="H19" s="2">
        <f>IF(popproj!H19-old!H19=0,"",(popproj!H19-old!H19)/old!H19)</f>
        <v>5.85471373605915E-2</v>
      </c>
      <c r="I19" s="2">
        <f>IF(popproj!I19-old!I19=0,"",(popproj!I19-old!I19)/old!I19)</f>
        <v>6.3373648776869948E-2</v>
      </c>
      <c r="J19" s="2">
        <f>IF(popproj!J19-old!J19=0,"",(popproj!J19-old!J19)/old!J19)</f>
        <v>6.4756960475511369E-2</v>
      </c>
      <c r="K19" s="2">
        <f>IF(popproj!K19-old!K19=0,"",(popproj!K19-old!K19)/old!K19)</f>
        <v>6.3972271622452989E-2</v>
      </c>
      <c r="L19" s="2">
        <f>IF(popproj!L19-old!L19=0,"",(popproj!L19-old!L19)/old!L19)</f>
        <v>6.3066474624086571E-2</v>
      </c>
      <c r="M19" s="2">
        <f>IF(popproj!M19-old!M19=0,"",(popproj!M19-old!M19)/old!M19)</f>
        <v>6.2159724393039489E-2</v>
      </c>
      <c r="N19" s="2">
        <f>IF(popproj!N19-old!N19=0,"",(popproj!N19-old!N19)/old!N19)</f>
        <v>6.1217582128482807E-2</v>
      </c>
      <c r="O19" s="2">
        <f>IF(popproj!O19-old!O19=0,"",(popproj!O19-old!O19)/old!O19)</f>
        <v>6.0306538863054003E-2</v>
      </c>
      <c r="P19" s="2">
        <f>IF(popproj!P19-old!P19=0,"",(popproj!P19-old!P19)/old!P19)</f>
        <v>5.9419446165563501E-2</v>
      </c>
      <c r="Q19" s="2">
        <f>IF(popproj!Q19-old!Q19=0,"",(popproj!Q19-old!Q19)/old!Q19)</f>
        <v>5.8425730186807023E-2</v>
      </c>
      <c r="R19" s="2">
        <f>IF(popproj!R19-old!R19=0,"",(popproj!R19-old!R19)/old!R19)</f>
        <v>5.7600452985962912E-2</v>
      </c>
      <c r="S19" s="2">
        <f>IF(popproj!S19-old!S19=0,"",(popproj!S19-old!S19)/old!S19)</f>
        <v>5.680836786340835E-2</v>
      </c>
      <c r="T19" s="2">
        <f>IF(popproj!T19-old!T19=0,"",(popproj!T19-old!T19)/old!T19)</f>
        <v>5.6067784907322532E-2</v>
      </c>
      <c r="U19" s="2">
        <f>IF(popproj!U19-old!U19=0,"",(popproj!U19-old!U19)/old!U19)</f>
        <v>5.5312682676153191E-2</v>
      </c>
      <c r="V19" s="2">
        <f>IF(popproj!V19-old!V19=0,"",(popproj!V19-old!V19)/old!V19)</f>
        <v>5.4596792179717232E-2</v>
      </c>
      <c r="W19" s="2">
        <f>IF(popproj!W19-old!W19=0,"",(popproj!W19-old!W19)/old!W19)</f>
        <v>5.3876127351973467E-2</v>
      </c>
      <c r="X19" s="2">
        <f>IF(popproj!X19-old!X19=0,"",(popproj!X19-old!X19)/old!X19)</f>
        <v>5.3146142953183331E-2</v>
      </c>
      <c r="Y19" s="2">
        <f>IF(popproj!Y19-old!Y19=0,"",(popproj!Y19-old!Y19)/old!Y19)</f>
        <v>5.2412803638415453E-2</v>
      </c>
      <c r="Z19" s="2">
        <f>IF(popproj!Z19-old!Z19=0,"",(popproj!Z19-old!Z19)/old!Z19)</f>
        <v>5.1673462847311537E-2</v>
      </c>
      <c r="AA19" s="2">
        <f>IF(popproj!AA19-old!AA19=0,"",(popproj!AA19-old!AA19)/old!AA19)</f>
        <v>5.0913663408296297E-2</v>
      </c>
      <c r="AB19" s="2">
        <f>IF(popproj!AB19-old!AB19=0,"",(popproj!AB19-old!AB19)/old!AB19)</f>
        <v>5.0158907534900189E-2</v>
      </c>
      <c r="AC19" s="2">
        <f>IF(popproj!AC19-old!AC19=0,"",(popproj!AC19-old!AC19)/old!AC19)</f>
        <v>4.9404082215244075E-2</v>
      </c>
      <c r="AD19" s="2">
        <f>IF(popproj!AD19-old!AD19=0,"",(popproj!AD19-old!AD19)/old!AD19)</f>
        <v>4.865242642260529E-2</v>
      </c>
      <c r="AE19" s="2">
        <f>IF(popproj!AE19-old!AE19=0,"",(popproj!AE19-old!AE19)/old!AE19)</f>
        <v>4.7880629156093257E-2</v>
      </c>
      <c r="AF19" s="2">
        <f>IF(popproj!AF19-old!AF19=0,"",(popproj!AF19-old!AF19)/old!AF19)</f>
        <v>4.7144298471289835E-2</v>
      </c>
      <c r="AG19" s="2">
        <f>IF(popproj!AG19-old!AG19=0,"",(popproj!AG19-old!AG19)/old!AG19)</f>
        <v>-1</v>
      </c>
      <c r="AH19" s="2">
        <f>IF(popproj!AH19-old!AH19=0,"",(popproj!AH19-old!AH19)/old!AH19)</f>
        <v>-1</v>
      </c>
      <c r="AI19" s="2">
        <f>IF(popproj!AI19-old!AI19=0,"",(popproj!AI19-old!AI19)/old!AI19)</f>
        <v>-1</v>
      </c>
      <c r="AJ19" s="2">
        <f>IF(popproj!AJ19-old!AJ19=0,"",(popproj!AJ19-old!AJ19)/old!AJ19)</f>
        <v>-1</v>
      </c>
      <c r="AK19" s="2">
        <f>IF(popproj!AK19-old!AK19=0,"",(popproj!AK19-old!AK19)/old!AK19)</f>
        <v>-1</v>
      </c>
      <c r="AL19" s="2">
        <f>IF(popproj!AL19-old!AL19=0,"",(popproj!AL19-old!AL19)/old!AL19)</f>
        <v>-1</v>
      </c>
      <c r="AM19" s="2">
        <f>IF(popproj!AM19-old!AM19=0,"",(popproj!AM19-old!AM19)/old!AM19)</f>
        <v>-1</v>
      </c>
      <c r="AN19" s="2">
        <f>IF(popproj!AN19-old!AN19=0,"",(popproj!AN19-old!AN19)/old!AN19)</f>
        <v>-1</v>
      </c>
      <c r="AO19" s="2">
        <f>IF(popproj!AO19-old!AO19=0,"",(popproj!AO19-old!AO19)/old!AO19)</f>
        <v>-1</v>
      </c>
      <c r="AP19" s="2">
        <f>IF(popproj!AP19-old!AP19=0,"",(popproj!AP19-old!AP19)/old!AP19)</f>
        <v>-1</v>
      </c>
      <c r="AQ19" s="2">
        <f>IF(popproj!AQ19-old!AQ19=0,"",(popproj!AQ19-old!AQ19)/old!AQ19)</f>
        <v>-1</v>
      </c>
      <c r="AR19" s="2">
        <f>IF(popproj!AR19-old!AR19=0,"",(popproj!AR19-old!AR19)/old!AR19)</f>
        <v>-1</v>
      </c>
      <c r="AS19" s="2">
        <f>IF(popproj!AS19-old!AS19=0,"",(popproj!AS19-old!AS19)/old!AS19)</f>
        <v>-1</v>
      </c>
      <c r="AT19" s="2">
        <f>IF(popproj!AT19-old!AT19=0,"",(popproj!AT19-old!AT19)/old!AT19)</f>
        <v>-1</v>
      </c>
      <c r="AU19" s="2">
        <f>IF(popproj!AU19-old!AU19=0,"",(popproj!AU19-old!AU19)/old!AU19)</f>
        <v>-1</v>
      </c>
      <c r="AV19" s="2">
        <f>IF(popproj!AV19-old!AV19=0,"",(popproj!AV19-old!AV19)/old!AV19)</f>
        <v>-1</v>
      </c>
      <c r="AW19" s="2">
        <f>IF(popproj!AW19-old!AW19=0,"",(popproj!AW19-old!AW19)/old!AW19)</f>
        <v>-1</v>
      </c>
      <c r="AX19" s="2">
        <f>IF(popproj!AX19-old!AX19=0,"",(popproj!AX19-old!AX19)/old!AX19)</f>
        <v>-1</v>
      </c>
      <c r="AY19" s="2">
        <f>IF(popproj!AY19-old!AY19=0,"",(popproj!AY19-old!AY19)/old!AY19)</f>
        <v>-1</v>
      </c>
      <c r="AZ19" s="2">
        <f>IF(popproj!AZ19-old!AZ19=0,"",(popproj!AZ19-old!AZ19)/old!AZ19)</f>
        <v>-1</v>
      </c>
      <c r="BA19" s="2">
        <f>IF(popproj!BA19-old!BA19=0,"",(popproj!BA19-old!BA19)/old!BA19)</f>
        <v>-1</v>
      </c>
      <c r="BB19" s="2">
        <f>IF(popproj!BB19-old!BB19=0,"",(popproj!BB19-old!BB19)/old!BB19)</f>
        <v>-1</v>
      </c>
      <c r="BC19" s="2">
        <f>IF(popproj!BC19-old!BC19=0,"",(popproj!BC19-old!BC19)/old!BC19)</f>
        <v>-1</v>
      </c>
      <c r="BD19" s="2">
        <f>IF(popproj!BD19-old!BD19=0,"",(popproj!BD19-old!BD19)/old!BD19)</f>
        <v>-1</v>
      </c>
      <c r="BE19" s="2">
        <f>IF(popproj!BE19-old!BE19=0,"",(popproj!BE19-old!BE19)/old!BE19)</f>
        <v>-1</v>
      </c>
      <c r="BF19" s="2">
        <f>IF(popproj!BF19-old!BF19=0,"",(popproj!BF19-old!BF19)/old!BF19)</f>
        <v>-1</v>
      </c>
      <c r="BG19" s="2">
        <f>IF(popproj!BG19-old!BG19=0,"",(popproj!BG19-old!BG19)/old!BG19)</f>
        <v>-1</v>
      </c>
      <c r="BH19" s="2">
        <f>IF(popproj!BH19-old!BH19=0,"",(popproj!BH19-old!BH19)/old!BH19)</f>
        <v>-1</v>
      </c>
      <c r="BI19" s="2">
        <f>IF(popproj!BI19-old!BI19=0,"",(popproj!BI19-old!BI19)/old!BI19)</f>
        <v>-1</v>
      </c>
      <c r="BJ19" s="2">
        <f>IF(popproj!BJ19-old!BJ19=0,"",(popproj!BJ19-old!BJ19)/old!BJ19)</f>
        <v>-1</v>
      </c>
      <c r="BK19" s="2">
        <f>IF(popproj!BK19-old!BK19=0,"",(popproj!BK19-old!BK19)/old!BK19)</f>
        <v>-1</v>
      </c>
      <c r="BL19" s="2">
        <f>IF(popproj!BL19-old!BL19=0,"",(popproj!BL19-old!BL19)/old!BL19)</f>
        <v>-1</v>
      </c>
      <c r="BM19" s="2">
        <f>IF(popproj!BM19-old!BM19=0,"",(popproj!BM19-old!BM19)/old!BM19)</f>
        <v>-1</v>
      </c>
      <c r="BN19" s="2">
        <f>IF(popproj!BN19-old!BN19=0,"",(popproj!BN19-old!BN19)/old!BN19)</f>
        <v>-1</v>
      </c>
      <c r="BO19" s="2">
        <f>IF(popproj!BO19-old!BO19=0,"",(popproj!BO19-old!BO19)/old!BO19)</f>
        <v>-1</v>
      </c>
    </row>
    <row r="20" spans="1:67" x14ac:dyDescent="0.2">
      <c r="A20" t="str">
        <f>popproj!A20</f>
        <v>NL_POPTF</v>
      </c>
      <c r="B20" s="2"/>
      <c r="C20" s="2"/>
      <c r="D20" s="2">
        <f>IF(popproj!D20-old!D20=0,"",(popproj!D20-old!D20)/old!D20)</f>
        <v>-1</v>
      </c>
      <c r="E20" s="2">
        <f>IF(popproj!E20-old!E20=0,"",(popproj!E20-old!E20)/old!E20)</f>
        <v>-6.787149558770757E-4</v>
      </c>
      <c r="F20" s="2">
        <f>IF(popproj!F20-old!F20=0,"",(popproj!F20-old!F20)/old!F20)</f>
        <v>-8.1720197061781641E-4</v>
      </c>
      <c r="G20" s="2">
        <f>IF(popproj!G20-old!G20=0,"",(popproj!G20-old!G20)/old!G20)</f>
        <v>1.3453684022262573E-3</v>
      </c>
      <c r="H20" s="2">
        <f>IF(popproj!H20-old!H20=0,"",(popproj!H20-old!H20)/old!H20)</f>
        <v>3.0553390422234836E-3</v>
      </c>
      <c r="I20" s="2">
        <f>IF(popproj!I20-old!I20=0,"",(popproj!I20-old!I20)/old!I20)</f>
        <v>5.0467303591892132E-3</v>
      </c>
      <c r="J20" s="2">
        <f>IF(popproj!J20-old!J20=0,"",(popproj!J20-old!J20)/old!J20)</f>
        <v>7.3346912277658678E-3</v>
      </c>
      <c r="K20" s="2">
        <f>IF(popproj!K20-old!K20=0,"",(popproj!K20-old!K20)/old!K20)</f>
        <v>9.4627557747755664E-3</v>
      </c>
      <c r="L20" s="2">
        <f>IF(popproj!L20-old!L20=0,"",(popproj!L20-old!L20)/old!L20)</f>
        <v>1.156746585281267E-2</v>
      </c>
      <c r="M20" s="2">
        <f>IF(popproj!M20-old!M20=0,"",(popproj!M20-old!M20)/old!M20)</f>
        <v>1.3653714277821772E-2</v>
      </c>
      <c r="N20" s="2">
        <f>IF(popproj!N20-old!N20=0,"",(popproj!N20-old!N20)/old!N20)</f>
        <v>1.5723308136906342E-2</v>
      </c>
      <c r="O20" s="2">
        <f>IF(popproj!O20-old!O20=0,"",(popproj!O20-old!O20)/old!O20)</f>
        <v>1.777897525931945E-2</v>
      </c>
      <c r="P20" s="2">
        <f>IF(popproj!P20-old!P20=0,"",(popproj!P20-old!P20)/old!P20)</f>
        <v>1.9824900517793412E-2</v>
      </c>
      <c r="Q20" s="2">
        <f>IF(popproj!Q20-old!Q20=0,"",(popproj!Q20-old!Q20)/old!Q20)</f>
        <v>2.1626102988943015E-2</v>
      </c>
      <c r="R20" s="2">
        <f>IF(popproj!R20-old!R20=0,"",(popproj!R20-old!R20)/old!R20)</f>
        <v>2.363972643244849E-2</v>
      </c>
      <c r="S20" s="2">
        <f>IF(popproj!S20-old!S20=0,"",(popproj!S20-old!S20)/old!S20)</f>
        <v>2.5717476792707417E-2</v>
      </c>
      <c r="T20" s="2">
        <f>IF(popproj!T20-old!T20=0,"",(popproj!T20-old!T20)/old!T20)</f>
        <v>2.7802007489744283E-2</v>
      </c>
      <c r="U20" s="2">
        <f>IF(popproj!U20-old!U20=0,"",(popproj!U20-old!U20)/old!U20)</f>
        <v>3.002858820982721E-2</v>
      </c>
      <c r="V20" s="2">
        <f>IF(popproj!V20-old!V20=0,"",(popproj!V20-old!V20)/old!V20)</f>
        <v>3.2294513305212276E-2</v>
      </c>
      <c r="W20" s="2">
        <f>IF(popproj!W20-old!W20=0,"",(popproj!W20-old!W20)/old!W20)</f>
        <v>3.4579975113837293E-2</v>
      </c>
      <c r="X20" s="2">
        <f>IF(popproj!X20-old!X20=0,"",(popproj!X20-old!X20)/old!X20)</f>
        <v>3.688303207938072E-2</v>
      </c>
      <c r="Y20" s="2">
        <f>IF(popproj!Y20-old!Y20=0,"",(popproj!Y20-old!Y20)/old!Y20)</f>
        <v>3.9201634849188129E-2</v>
      </c>
      <c r="Z20" s="2">
        <f>IF(popproj!Z20-old!Z20=0,"",(popproj!Z20-old!Z20)/old!Z20)</f>
        <v>4.1529593335847291E-2</v>
      </c>
      <c r="AA20" s="2">
        <f>IF(popproj!AA20-old!AA20=0,"",(popproj!AA20-old!AA20)/old!AA20)</f>
        <v>4.3862238489926215E-2</v>
      </c>
      <c r="AB20" s="2">
        <f>IF(popproj!AB20-old!AB20=0,"",(popproj!AB20-old!AB20)/old!AB20)</f>
        <v>4.6191490195357197E-2</v>
      </c>
      <c r="AC20" s="2">
        <f>IF(popproj!AC20-old!AC20=0,"",(popproj!AC20-old!AC20)/old!AC20)</f>
        <v>4.8509217988245021E-2</v>
      </c>
      <c r="AD20" s="2">
        <f>IF(popproj!AD20-old!AD20=0,"",(popproj!AD20-old!AD20)/old!AD20)</f>
        <v>5.0807299529978825E-2</v>
      </c>
      <c r="AE20" s="2">
        <f>IF(popproj!AE20-old!AE20=0,"",(popproj!AE20-old!AE20)/old!AE20)</f>
        <v>5.3075915528796223E-2</v>
      </c>
      <c r="AF20" s="2">
        <f>IF(popproj!AF20-old!AF20=0,"",(popproj!AF20-old!AF20)/old!AF20)</f>
        <v>5.5305097723546907E-2</v>
      </c>
      <c r="AG20" s="2">
        <f>IF(popproj!AG20-old!AG20=0,"",(popproj!AG20-old!AG20)/old!AG20)</f>
        <v>-1</v>
      </c>
      <c r="AH20" s="2">
        <f>IF(popproj!AH20-old!AH20=0,"",(popproj!AH20-old!AH20)/old!AH20)</f>
        <v>-1</v>
      </c>
      <c r="AI20" s="2">
        <f>IF(popproj!AI20-old!AI20=0,"",(popproj!AI20-old!AI20)/old!AI20)</f>
        <v>-1</v>
      </c>
      <c r="AJ20" s="2">
        <f>IF(popproj!AJ20-old!AJ20=0,"",(popproj!AJ20-old!AJ20)/old!AJ20)</f>
        <v>-1</v>
      </c>
      <c r="AK20" s="2">
        <f>IF(popproj!AK20-old!AK20=0,"",(popproj!AK20-old!AK20)/old!AK20)</f>
        <v>-1</v>
      </c>
      <c r="AL20" s="2">
        <f>IF(popproj!AL20-old!AL20=0,"",(popproj!AL20-old!AL20)/old!AL20)</f>
        <v>-1</v>
      </c>
      <c r="AM20" s="2">
        <f>IF(popproj!AM20-old!AM20=0,"",(popproj!AM20-old!AM20)/old!AM20)</f>
        <v>-1</v>
      </c>
      <c r="AN20" s="2">
        <f>IF(popproj!AN20-old!AN20=0,"",(popproj!AN20-old!AN20)/old!AN20)</f>
        <v>-1</v>
      </c>
      <c r="AO20" s="2">
        <f>IF(popproj!AO20-old!AO20=0,"",(popproj!AO20-old!AO20)/old!AO20)</f>
        <v>-1</v>
      </c>
      <c r="AP20" s="2">
        <f>IF(popproj!AP20-old!AP20=0,"",(popproj!AP20-old!AP20)/old!AP20)</f>
        <v>-1</v>
      </c>
      <c r="AQ20" s="2">
        <f>IF(popproj!AQ20-old!AQ20=0,"",(popproj!AQ20-old!AQ20)/old!AQ20)</f>
        <v>-1</v>
      </c>
      <c r="AR20" s="2">
        <f>IF(popproj!AR20-old!AR20=0,"",(popproj!AR20-old!AR20)/old!AR20)</f>
        <v>-1</v>
      </c>
      <c r="AS20" s="2">
        <f>IF(popproj!AS20-old!AS20=0,"",(popproj!AS20-old!AS20)/old!AS20)</f>
        <v>-1</v>
      </c>
      <c r="AT20" s="2">
        <f>IF(popproj!AT20-old!AT20=0,"",(popproj!AT20-old!AT20)/old!AT20)</f>
        <v>-1</v>
      </c>
      <c r="AU20" s="2">
        <f>IF(popproj!AU20-old!AU20=0,"",(popproj!AU20-old!AU20)/old!AU20)</f>
        <v>-1</v>
      </c>
      <c r="AV20" s="2">
        <f>IF(popproj!AV20-old!AV20=0,"",(popproj!AV20-old!AV20)/old!AV20)</f>
        <v>-1</v>
      </c>
      <c r="AW20" s="2">
        <f>IF(popproj!AW20-old!AW20=0,"",(popproj!AW20-old!AW20)/old!AW20)</f>
        <v>-1</v>
      </c>
      <c r="AX20" s="2">
        <f>IF(popproj!AX20-old!AX20=0,"",(popproj!AX20-old!AX20)/old!AX20)</f>
        <v>-1</v>
      </c>
      <c r="AY20" s="2">
        <f>IF(popproj!AY20-old!AY20=0,"",(popproj!AY20-old!AY20)/old!AY20)</f>
        <v>-1</v>
      </c>
      <c r="AZ20" s="2">
        <f>IF(popproj!AZ20-old!AZ20=0,"",(popproj!AZ20-old!AZ20)/old!AZ20)</f>
        <v>-1</v>
      </c>
      <c r="BA20" s="2">
        <f>IF(popproj!BA20-old!BA20=0,"",(popproj!BA20-old!BA20)/old!BA20)</f>
        <v>-1</v>
      </c>
      <c r="BB20" s="2">
        <f>IF(popproj!BB20-old!BB20=0,"",(popproj!BB20-old!BB20)/old!BB20)</f>
        <v>-1</v>
      </c>
      <c r="BC20" s="2">
        <f>IF(popproj!BC20-old!BC20=0,"",(popproj!BC20-old!BC20)/old!BC20)</f>
        <v>-1</v>
      </c>
      <c r="BD20" s="2">
        <f>IF(popproj!BD20-old!BD20=0,"",(popproj!BD20-old!BD20)/old!BD20)</f>
        <v>-1</v>
      </c>
      <c r="BE20" s="2">
        <f>IF(popproj!BE20-old!BE20=0,"",(popproj!BE20-old!BE20)/old!BE20)</f>
        <v>-1</v>
      </c>
      <c r="BF20" s="2">
        <f>IF(popproj!BF20-old!BF20=0,"",(popproj!BF20-old!BF20)/old!BF20)</f>
        <v>-1</v>
      </c>
      <c r="BG20" s="2">
        <f>IF(popproj!BG20-old!BG20=0,"",(popproj!BG20-old!BG20)/old!BG20)</f>
        <v>-1</v>
      </c>
      <c r="BH20" s="2">
        <f>IF(popproj!BH20-old!BH20=0,"",(popproj!BH20-old!BH20)/old!BH20)</f>
        <v>-1</v>
      </c>
      <c r="BI20" s="2">
        <f>IF(popproj!BI20-old!BI20=0,"",(popproj!BI20-old!BI20)/old!BI20)</f>
        <v>-1</v>
      </c>
      <c r="BJ20" s="2">
        <f>IF(popproj!BJ20-old!BJ20=0,"",(popproj!BJ20-old!BJ20)/old!BJ20)</f>
        <v>-1</v>
      </c>
      <c r="BK20" s="2">
        <f>IF(popproj!BK20-old!BK20=0,"",(popproj!BK20-old!BK20)/old!BK20)</f>
        <v>-1</v>
      </c>
      <c r="BL20" s="2">
        <f>IF(popproj!BL20-old!BL20=0,"",(popproj!BL20-old!BL20)/old!BL20)</f>
        <v>-1</v>
      </c>
      <c r="BM20" s="2">
        <f>IF(popproj!BM20-old!BM20=0,"",(popproj!BM20-old!BM20)/old!BM20)</f>
        <v>-1</v>
      </c>
      <c r="BN20" s="2">
        <f>IF(popproj!BN20-old!BN20=0,"",(popproj!BN20-old!BN20)/old!BN20)</f>
        <v>-1</v>
      </c>
      <c r="BO20" s="2">
        <f>IF(popproj!BO20-old!BO20=0,"",(popproj!BO20-old!BO20)/old!BO20)</f>
        <v>-1</v>
      </c>
    </row>
    <row r="21" spans="1:67" x14ac:dyDescent="0.2">
      <c r="A21" t="str">
        <f>popproj!A21</f>
        <v>AT_POPTF</v>
      </c>
      <c r="B21" s="2"/>
      <c r="C21" s="2"/>
      <c r="D21" s="2">
        <f>IF(popproj!D21-old!D21=0,"",(popproj!D21-old!D21)/old!D21)</f>
        <v>-1</v>
      </c>
      <c r="E21" s="2">
        <f>IF(popproj!E21-old!E21=0,"",(popproj!E21-old!E21)/old!E21)</f>
        <v>3.4887675879449599E-3</v>
      </c>
      <c r="F21" s="2">
        <f>IF(popproj!F21-old!F21=0,"",(popproj!F21-old!F21)/old!F21)</f>
        <v>6.345124817561317E-3</v>
      </c>
      <c r="G21" s="2">
        <f>IF(popproj!G21-old!G21=0,"",(popproj!G21-old!G21)/old!G21)</f>
        <v>1.0173474683970124E-2</v>
      </c>
      <c r="H21" s="2">
        <f>IF(popproj!H21-old!H21=0,"",(popproj!H21-old!H21)/old!H21)</f>
        <v>1.3381721720894673E-2</v>
      </c>
      <c r="I21" s="2">
        <f>IF(popproj!I21-old!I21=0,"",(popproj!I21-old!I21)/old!I21)</f>
        <v>1.573912878982963E-2</v>
      </c>
      <c r="J21" s="2">
        <f>IF(popproj!J21-old!J21=0,"",(popproj!J21-old!J21)/old!J21)</f>
        <v>1.7257848075532083E-2</v>
      </c>
      <c r="K21" s="2">
        <f>IF(popproj!K21-old!K21=0,"",(popproj!K21-old!K21)/old!K21)</f>
        <v>1.8621877093827059E-2</v>
      </c>
      <c r="L21" s="2">
        <f>IF(popproj!L21-old!L21=0,"",(popproj!L21-old!L21)/old!L21)</f>
        <v>1.9874244277344109E-2</v>
      </c>
      <c r="M21" s="2">
        <f>IF(popproj!M21-old!M21=0,"",(popproj!M21-old!M21)/old!M21)</f>
        <v>2.1020170481335691E-2</v>
      </c>
      <c r="N21" s="2">
        <f>IF(popproj!N21-old!N21=0,"",(popproj!N21-old!N21)/old!N21)</f>
        <v>2.2060400246344664E-2</v>
      </c>
      <c r="O21" s="2">
        <f>IF(popproj!O21-old!O21=0,"",(popproj!O21-old!O21)/old!O21)</f>
        <v>2.3002727070761227E-2</v>
      </c>
      <c r="P21" s="2">
        <f>IF(popproj!P21-old!P21=0,"",(popproj!P21-old!P21)/old!P21)</f>
        <v>2.3856299420953582E-2</v>
      </c>
      <c r="Q21" s="2">
        <f>IF(popproj!Q21-old!Q21=0,"",(popproj!Q21-old!Q21)/old!Q21)</f>
        <v>2.4251412638535582E-2</v>
      </c>
      <c r="R21" s="2">
        <f>IF(popproj!R21-old!R21=0,"",(popproj!R21-old!R21)/old!R21)</f>
        <v>2.4884326175346271E-2</v>
      </c>
      <c r="S21" s="2">
        <f>IF(popproj!S21-old!S21=0,"",(popproj!S21-old!S21)/old!S21)</f>
        <v>2.5489125174120934E-2</v>
      </c>
      <c r="T21" s="2">
        <f>IF(popproj!T21-old!T21=0,"",(popproj!T21-old!T21)/old!T21)</f>
        <v>2.6104255805542476E-2</v>
      </c>
      <c r="U21" s="2">
        <f>IF(popproj!U21-old!U21=0,"",(popproj!U21-old!U21)/old!U21)</f>
        <v>2.6712435411547809E-2</v>
      </c>
      <c r="V21" s="2">
        <f>IF(popproj!V21-old!V21=0,"",(popproj!V21-old!V21)/old!V21)</f>
        <v>2.7263970532695761E-2</v>
      </c>
      <c r="W21" s="2">
        <f>IF(popproj!W21-old!W21=0,"",(popproj!W21-old!W21)/old!W21)</f>
        <v>2.7782332347354454E-2</v>
      </c>
      <c r="X21" s="2">
        <f>IF(popproj!X21-old!X21=0,"",(popproj!X21-old!X21)/old!X21)</f>
        <v>2.8280370973712811E-2</v>
      </c>
      <c r="Y21" s="2">
        <f>IF(popproj!Y21-old!Y21=0,"",(popproj!Y21-old!Y21)/old!Y21)</f>
        <v>2.8741593487022217E-2</v>
      </c>
      <c r="Z21" s="2">
        <f>IF(popproj!Z21-old!Z21=0,"",(popproj!Z21-old!Z21)/old!Z21)</f>
        <v>2.9166063028676009E-2</v>
      </c>
      <c r="AA21" s="2">
        <f>IF(popproj!AA21-old!AA21=0,"",(popproj!AA21-old!AA21)/old!AA21)</f>
        <v>2.955312014811837E-2</v>
      </c>
      <c r="AB21" s="2">
        <f>IF(popproj!AB21-old!AB21=0,"",(popproj!AB21-old!AB21)/old!AB21)</f>
        <v>2.9887076296471624E-2</v>
      </c>
      <c r="AC21" s="2">
        <f>IF(popproj!AC21-old!AC21=0,"",(popproj!AC21-old!AC21)/old!AC21)</f>
        <v>3.0180536700472885E-2</v>
      </c>
      <c r="AD21" s="2">
        <f>IF(popproj!AD21-old!AD21=0,"",(popproj!AD21-old!AD21)/old!AD21)</f>
        <v>3.0425790777276779E-2</v>
      </c>
      <c r="AE21" s="2">
        <f>IF(popproj!AE21-old!AE21=0,"",(popproj!AE21-old!AE21)/old!AE21)</f>
        <v>3.0621072097267145E-2</v>
      </c>
      <c r="AF21" s="2">
        <f>IF(popproj!AF21-old!AF21=0,"",(popproj!AF21-old!AF21)/old!AF21)</f>
        <v>3.0765771827155793E-2</v>
      </c>
      <c r="AG21" s="2">
        <f>IF(popproj!AG21-old!AG21=0,"",(popproj!AG21-old!AG21)/old!AG21)</f>
        <v>-1</v>
      </c>
      <c r="AH21" s="2">
        <f>IF(popproj!AH21-old!AH21=0,"",(popproj!AH21-old!AH21)/old!AH21)</f>
        <v>-1</v>
      </c>
      <c r="AI21" s="2">
        <f>IF(popproj!AI21-old!AI21=0,"",(popproj!AI21-old!AI21)/old!AI21)</f>
        <v>-1</v>
      </c>
      <c r="AJ21" s="2">
        <f>IF(popproj!AJ21-old!AJ21=0,"",(popproj!AJ21-old!AJ21)/old!AJ21)</f>
        <v>-1</v>
      </c>
      <c r="AK21" s="2">
        <f>IF(popproj!AK21-old!AK21=0,"",(popproj!AK21-old!AK21)/old!AK21)</f>
        <v>-1</v>
      </c>
      <c r="AL21" s="2">
        <f>IF(popproj!AL21-old!AL21=0,"",(popproj!AL21-old!AL21)/old!AL21)</f>
        <v>-1</v>
      </c>
      <c r="AM21" s="2">
        <f>IF(popproj!AM21-old!AM21=0,"",(popproj!AM21-old!AM21)/old!AM21)</f>
        <v>-1</v>
      </c>
      <c r="AN21" s="2">
        <f>IF(popproj!AN21-old!AN21=0,"",(popproj!AN21-old!AN21)/old!AN21)</f>
        <v>-1</v>
      </c>
      <c r="AO21" s="2">
        <f>IF(popproj!AO21-old!AO21=0,"",(popproj!AO21-old!AO21)/old!AO21)</f>
        <v>-1</v>
      </c>
      <c r="AP21" s="2">
        <f>IF(popproj!AP21-old!AP21=0,"",(popproj!AP21-old!AP21)/old!AP21)</f>
        <v>-1</v>
      </c>
      <c r="AQ21" s="2">
        <f>IF(popproj!AQ21-old!AQ21=0,"",(popproj!AQ21-old!AQ21)/old!AQ21)</f>
        <v>-1</v>
      </c>
      <c r="AR21" s="2">
        <f>IF(popproj!AR21-old!AR21=0,"",(popproj!AR21-old!AR21)/old!AR21)</f>
        <v>-1</v>
      </c>
      <c r="AS21" s="2">
        <f>IF(popproj!AS21-old!AS21=0,"",(popproj!AS21-old!AS21)/old!AS21)</f>
        <v>-1</v>
      </c>
      <c r="AT21" s="2">
        <f>IF(popproj!AT21-old!AT21=0,"",(popproj!AT21-old!AT21)/old!AT21)</f>
        <v>-1</v>
      </c>
      <c r="AU21" s="2">
        <f>IF(popproj!AU21-old!AU21=0,"",(popproj!AU21-old!AU21)/old!AU21)</f>
        <v>-1</v>
      </c>
      <c r="AV21" s="2">
        <f>IF(popproj!AV21-old!AV21=0,"",(popproj!AV21-old!AV21)/old!AV21)</f>
        <v>-1</v>
      </c>
      <c r="AW21" s="2">
        <f>IF(popproj!AW21-old!AW21=0,"",(popproj!AW21-old!AW21)/old!AW21)</f>
        <v>-1</v>
      </c>
      <c r="AX21" s="2">
        <f>IF(popproj!AX21-old!AX21=0,"",(popproj!AX21-old!AX21)/old!AX21)</f>
        <v>-1</v>
      </c>
      <c r="AY21" s="2">
        <f>IF(popproj!AY21-old!AY21=0,"",(popproj!AY21-old!AY21)/old!AY21)</f>
        <v>-1</v>
      </c>
      <c r="AZ21" s="2">
        <f>IF(popproj!AZ21-old!AZ21=0,"",(popproj!AZ21-old!AZ21)/old!AZ21)</f>
        <v>-1</v>
      </c>
      <c r="BA21" s="2">
        <f>IF(popproj!BA21-old!BA21=0,"",(popproj!BA21-old!BA21)/old!BA21)</f>
        <v>-1</v>
      </c>
      <c r="BB21" s="2">
        <f>IF(popproj!BB21-old!BB21=0,"",(popproj!BB21-old!BB21)/old!BB21)</f>
        <v>-1</v>
      </c>
      <c r="BC21" s="2">
        <f>IF(popproj!BC21-old!BC21=0,"",(popproj!BC21-old!BC21)/old!BC21)</f>
        <v>-1</v>
      </c>
      <c r="BD21" s="2">
        <f>IF(popproj!BD21-old!BD21=0,"",(popproj!BD21-old!BD21)/old!BD21)</f>
        <v>-1</v>
      </c>
      <c r="BE21" s="2">
        <f>IF(popproj!BE21-old!BE21=0,"",(popproj!BE21-old!BE21)/old!BE21)</f>
        <v>-1</v>
      </c>
      <c r="BF21" s="2">
        <f>IF(popproj!BF21-old!BF21=0,"",(popproj!BF21-old!BF21)/old!BF21)</f>
        <v>-1</v>
      </c>
      <c r="BG21" s="2">
        <f>IF(popproj!BG21-old!BG21=0,"",(popproj!BG21-old!BG21)/old!BG21)</f>
        <v>-1</v>
      </c>
      <c r="BH21" s="2">
        <f>IF(popproj!BH21-old!BH21=0,"",(popproj!BH21-old!BH21)/old!BH21)</f>
        <v>-1</v>
      </c>
      <c r="BI21" s="2">
        <f>IF(popproj!BI21-old!BI21=0,"",(popproj!BI21-old!BI21)/old!BI21)</f>
        <v>-1</v>
      </c>
      <c r="BJ21" s="2">
        <f>IF(popproj!BJ21-old!BJ21=0,"",(popproj!BJ21-old!BJ21)/old!BJ21)</f>
        <v>-1</v>
      </c>
      <c r="BK21" s="2">
        <f>IF(popproj!BK21-old!BK21=0,"",(popproj!BK21-old!BK21)/old!BK21)</f>
        <v>-1</v>
      </c>
      <c r="BL21" s="2">
        <f>IF(popproj!BL21-old!BL21=0,"",(popproj!BL21-old!BL21)/old!BL21)</f>
        <v>-1</v>
      </c>
      <c r="BM21" s="2">
        <f>IF(popproj!BM21-old!BM21=0,"",(popproj!BM21-old!BM21)/old!BM21)</f>
        <v>-1</v>
      </c>
      <c r="BN21" s="2">
        <f>IF(popproj!BN21-old!BN21=0,"",(popproj!BN21-old!BN21)/old!BN21)</f>
        <v>-1</v>
      </c>
      <c r="BO21" s="2">
        <f>IF(popproj!BO21-old!BO21=0,"",(popproj!BO21-old!BO21)/old!BO21)</f>
        <v>-1</v>
      </c>
    </row>
    <row r="22" spans="1:67" x14ac:dyDescent="0.2">
      <c r="A22" t="str">
        <f>popproj!A22</f>
        <v>PL_POPTF</v>
      </c>
      <c r="B22" s="2"/>
      <c r="C22" s="2"/>
      <c r="D22" s="2">
        <f>IF(popproj!D22-old!D22=0,"",(popproj!D22-old!D22)/old!D22)</f>
        <v>-1</v>
      </c>
      <c r="E22" s="2">
        <f>IF(popproj!E22-old!E22=0,"",(popproj!E22-old!E22)/old!E22)</f>
        <v>-2.494932103794277E-2</v>
      </c>
      <c r="F22" s="2">
        <f>IF(popproj!F22-old!F22=0,"",(popproj!F22-old!F22)/old!F22)</f>
        <v>-2.5719478789423277E-2</v>
      </c>
      <c r="G22" s="2">
        <f>IF(popproj!G22-old!G22=0,"",(popproj!G22-old!G22)/old!G22)</f>
        <v>-2.2019689155134064E-2</v>
      </c>
      <c r="H22" s="2">
        <f>IF(popproj!H22-old!H22=0,"",(popproj!H22-old!H22)/old!H22)</f>
        <v>-2.1348388556751242E-2</v>
      </c>
      <c r="I22" s="2">
        <f>IF(popproj!I22-old!I22=0,"",(popproj!I22-old!I22)/old!I22)</f>
        <v>-2.0761874306765168E-2</v>
      </c>
      <c r="J22" s="2">
        <f>IF(popproj!J22-old!J22=0,"",(popproj!J22-old!J22)/old!J22)</f>
        <v>-2.0264186358679881E-2</v>
      </c>
      <c r="K22" s="2">
        <f>IF(popproj!K22-old!K22=0,"",(popproj!K22-old!K22)/old!K22)</f>
        <v>-1.9721936353647444E-2</v>
      </c>
      <c r="L22" s="2">
        <f>IF(popproj!L22-old!L22=0,"",(popproj!L22-old!L22)/old!L22)</f>
        <v>-1.9234578329261235E-2</v>
      </c>
      <c r="M22" s="2">
        <f>IF(popproj!M22-old!M22=0,"",(popproj!M22-old!M22)/old!M22)</f>
        <v>-1.8801943320803753E-2</v>
      </c>
      <c r="N22" s="2">
        <f>IF(popproj!N22-old!N22=0,"",(popproj!N22-old!N22)/old!N22)</f>
        <v>-1.8404324243995483E-2</v>
      </c>
      <c r="O22" s="2">
        <f>IF(popproj!O22-old!O22=0,"",(popproj!O22-old!O22)/old!O22)</f>
        <v>-1.8056809151964091E-2</v>
      </c>
      <c r="P22" s="2">
        <f>IF(popproj!P22-old!P22=0,"",(popproj!P22-old!P22)/old!P22)</f>
        <v>-1.7745629618011394E-2</v>
      </c>
      <c r="Q22" s="2">
        <f>IF(popproj!Q22-old!Q22=0,"",(popproj!Q22-old!Q22)/old!Q22)</f>
        <v>-1.8501749222931189E-2</v>
      </c>
      <c r="R22" s="2">
        <f>IF(popproj!R22-old!R22=0,"",(popproj!R22-old!R22)/old!R22)</f>
        <v>-1.8383224927210309E-2</v>
      </c>
      <c r="S22" s="2">
        <f>IF(popproj!S22-old!S22=0,"",(popproj!S22-old!S22)/old!S22)</f>
        <v>-1.8309134236604522E-2</v>
      </c>
      <c r="T22" s="2">
        <f>IF(popproj!T22-old!T22=0,"",(popproj!T22-old!T22)/old!T22)</f>
        <v>-1.8232245846537366E-2</v>
      </c>
      <c r="U22" s="2">
        <f>IF(popproj!U22-old!U22=0,"",(popproj!U22-old!U22)/old!U22)</f>
        <v>-1.8041408191154892E-2</v>
      </c>
      <c r="V22" s="2">
        <f>IF(popproj!V22-old!V22=0,"",(popproj!V22-old!V22)/old!V22)</f>
        <v>-1.7904658728693401E-2</v>
      </c>
      <c r="W22" s="2">
        <f>IF(popproj!W22-old!W22=0,"",(popproj!W22-old!W22)/old!W22)</f>
        <v>-1.778327591618916E-2</v>
      </c>
      <c r="X22" s="2">
        <f>IF(popproj!X22-old!X22=0,"",(popproj!X22-old!X22)/old!X22)</f>
        <v>-1.7686651478658756E-2</v>
      </c>
      <c r="Y22" s="2">
        <f>IF(popproj!Y22-old!Y22=0,"",(popproj!Y22-old!Y22)/old!Y22)</f>
        <v>-1.7619082920681206E-2</v>
      </c>
      <c r="Z22" s="2">
        <f>IF(popproj!Z22-old!Z22=0,"",(popproj!Z22-old!Z22)/old!Z22)</f>
        <v>-1.7583773515794841E-2</v>
      </c>
      <c r="AA22" s="2">
        <f>IF(popproj!AA22-old!AA22=0,"",(popproj!AA22-old!AA22)/old!AA22)</f>
        <v>-1.7575355485981152E-2</v>
      </c>
      <c r="AB22" s="2">
        <f>IF(popproj!AB22-old!AB22=0,"",(popproj!AB22-old!AB22)/old!AB22)</f>
        <v>-1.7595397996043424E-2</v>
      </c>
      <c r="AC22" s="2">
        <f>IF(popproj!AC22-old!AC22=0,"",(popproj!AC22-old!AC22)/old!AC22)</f>
        <v>-1.7640028005000551E-2</v>
      </c>
      <c r="AD22" s="2">
        <f>IF(popproj!AD22-old!AD22=0,"",(popproj!AD22-old!AD22)/old!AD22)</f>
        <v>-1.770585687310006E-2</v>
      </c>
      <c r="AE22" s="2">
        <f>IF(popproj!AE22-old!AE22=0,"",(popproj!AE22-old!AE22)/old!AE22)</f>
        <v>-1.7788032722302626E-2</v>
      </c>
      <c r="AF22" s="2">
        <f>IF(popproj!AF22-old!AF22=0,"",(popproj!AF22-old!AF22)/old!AF22)</f>
        <v>-1.7895655049061415E-2</v>
      </c>
      <c r="AG22" s="2">
        <f>IF(popproj!AG22-old!AG22=0,"",(popproj!AG22-old!AG22)/old!AG22)</f>
        <v>-1</v>
      </c>
      <c r="AH22" s="2">
        <f>IF(popproj!AH22-old!AH22=0,"",(popproj!AH22-old!AH22)/old!AH22)</f>
        <v>-1</v>
      </c>
      <c r="AI22" s="2">
        <f>IF(popproj!AI22-old!AI22=0,"",(popproj!AI22-old!AI22)/old!AI22)</f>
        <v>-1</v>
      </c>
      <c r="AJ22" s="2">
        <f>IF(popproj!AJ22-old!AJ22=0,"",(popproj!AJ22-old!AJ22)/old!AJ22)</f>
        <v>-1</v>
      </c>
      <c r="AK22" s="2">
        <f>IF(popproj!AK22-old!AK22=0,"",(popproj!AK22-old!AK22)/old!AK22)</f>
        <v>-1</v>
      </c>
      <c r="AL22" s="2">
        <f>IF(popproj!AL22-old!AL22=0,"",(popproj!AL22-old!AL22)/old!AL22)</f>
        <v>-1</v>
      </c>
      <c r="AM22" s="2">
        <f>IF(popproj!AM22-old!AM22=0,"",(popproj!AM22-old!AM22)/old!AM22)</f>
        <v>-1</v>
      </c>
      <c r="AN22" s="2">
        <f>IF(popproj!AN22-old!AN22=0,"",(popproj!AN22-old!AN22)/old!AN22)</f>
        <v>-1</v>
      </c>
      <c r="AO22" s="2">
        <f>IF(popproj!AO22-old!AO22=0,"",(popproj!AO22-old!AO22)/old!AO22)</f>
        <v>-1</v>
      </c>
      <c r="AP22" s="2">
        <f>IF(popproj!AP22-old!AP22=0,"",(popproj!AP22-old!AP22)/old!AP22)</f>
        <v>-1</v>
      </c>
      <c r="AQ22" s="2">
        <f>IF(popproj!AQ22-old!AQ22=0,"",(popproj!AQ22-old!AQ22)/old!AQ22)</f>
        <v>-1</v>
      </c>
      <c r="AR22" s="2">
        <f>IF(popproj!AR22-old!AR22=0,"",(popproj!AR22-old!AR22)/old!AR22)</f>
        <v>-1</v>
      </c>
      <c r="AS22" s="2">
        <f>IF(popproj!AS22-old!AS22=0,"",(popproj!AS22-old!AS22)/old!AS22)</f>
        <v>-1</v>
      </c>
      <c r="AT22" s="2">
        <f>IF(popproj!AT22-old!AT22=0,"",(popproj!AT22-old!AT22)/old!AT22)</f>
        <v>-1</v>
      </c>
      <c r="AU22" s="2">
        <f>IF(popproj!AU22-old!AU22=0,"",(popproj!AU22-old!AU22)/old!AU22)</f>
        <v>-1</v>
      </c>
      <c r="AV22" s="2">
        <f>IF(popproj!AV22-old!AV22=0,"",(popproj!AV22-old!AV22)/old!AV22)</f>
        <v>-1</v>
      </c>
      <c r="AW22" s="2">
        <f>IF(popproj!AW22-old!AW22=0,"",(popproj!AW22-old!AW22)/old!AW22)</f>
        <v>-1</v>
      </c>
      <c r="AX22" s="2">
        <f>IF(popproj!AX22-old!AX22=0,"",(popproj!AX22-old!AX22)/old!AX22)</f>
        <v>-1</v>
      </c>
      <c r="AY22" s="2">
        <f>IF(popproj!AY22-old!AY22=0,"",(popproj!AY22-old!AY22)/old!AY22)</f>
        <v>-1</v>
      </c>
      <c r="AZ22" s="2">
        <f>IF(popproj!AZ22-old!AZ22=0,"",(popproj!AZ22-old!AZ22)/old!AZ22)</f>
        <v>-1</v>
      </c>
      <c r="BA22" s="2">
        <f>IF(popproj!BA22-old!BA22=0,"",(popproj!BA22-old!BA22)/old!BA22)</f>
        <v>-1</v>
      </c>
      <c r="BB22" s="2">
        <f>IF(popproj!BB22-old!BB22=0,"",(popproj!BB22-old!BB22)/old!BB22)</f>
        <v>-1</v>
      </c>
      <c r="BC22" s="2">
        <f>IF(popproj!BC22-old!BC22=0,"",(popproj!BC22-old!BC22)/old!BC22)</f>
        <v>-1</v>
      </c>
      <c r="BD22" s="2">
        <f>IF(popproj!BD22-old!BD22=0,"",(popproj!BD22-old!BD22)/old!BD22)</f>
        <v>-1</v>
      </c>
      <c r="BE22" s="2">
        <f>IF(popproj!BE22-old!BE22=0,"",(popproj!BE22-old!BE22)/old!BE22)</f>
        <v>-1</v>
      </c>
      <c r="BF22" s="2">
        <f>IF(popproj!BF22-old!BF22=0,"",(popproj!BF22-old!BF22)/old!BF22)</f>
        <v>-1</v>
      </c>
      <c r="BG22" s="2">
        <f>IF(popproj!BG22-old!BG22=0,"",(popproj!BG22-old!BG22)/old!BG22)</f>
        <v>-1</v>
      </c>
      <c r="BH22" s="2">
        <f>IF(popproj!BH22-old!BH22=0,"",(popproj!BH22-old!BH22)/old!BH22)</f>
        <v>-1</v>
      </c>
      <c r="BI22" s="2">
        <f>IF(popproj!BI22-old!BI22=0,"",(popproj!BI22-old!BI22)/old!BI22)</f>
        <v>-1</v>
      </c>
      <c r="BJ22" s="2">
        <f>IF(popproj!BJ22-old!BJ22=0,"",(popproj!BJ22-old!BJ22)/old!BJ22)</f>
        <v>-1</v>
      </c>
      <c r="BK22" s="2">
        <f>IF(popproj!BK22-old!BK22=0,"",(popproj!BK22-old!BK22)/old!BK22)</f>
        <v>-1</v>
      </c>
      <c r="BL22" s="2">
        <f>IF(popproj!BL22-old!BL22=0,"",(popproj!BL22-old!BL22)/old!BL22)</f>
        <v>-1</v>
      </c>
      <c r="BM22" s="2">
        <f>IF(popproj!BM22-old!BM22=0,"",(popproj!BM22-old!BM22)/old!BM22)</f>
        <v>-1</v>
      </c>
      <c r="BN22" s="2">
        <f>IF(popproj!BN22-old!BN22=0,"",(popproj!BN22-old!BN22)/old!BN22)</f>
        <v>-1</v>
      </c>
      <c r="BO22" s="2">
        <f>IF(popproj!BO22-old!BO22=0,"",(popproj!BO22-old!BO22)/old!BO22)</f>
        <v>-1</v>
      </c>
    </row>
    <row r="23" spans="1:67" x14ac:dyDescent="0.2">
      <c r="A23" t="str">
        <f>popproj!A23</f>
        <v>PT_POPTF</v>
      </c>
      <c r="B23" s="2"/>
      <c r="C23" s="2"/>
      <c r="D23" s="2">
        <f>IF(popproj!D23-old!D23=0,"",(popproj!D23-old!D23)/old!D23)</f>
        <v>-1</v>
      </c>
      <c r="E23" s="2">
        <f>IF(popproj!E23-old!E23=0,"",(popproj!E23-old!E23)/old!E23)</f>
        <v>1.1904669121612579E-2</v>
      </c>
      <c r="F23" s="2">
        <f>IF(popproj!F23-old!F23=0,"",(popproj!F23-old!F23)/old!F23)</f>
        <v>2.395234418465262E-2</v>
      </c>
      <c r="G23" s="2">
        <f>IF(popproj!G23-old!G23=0,"",(popproj!G23-old!G23)/old!G23)</f>
        <v>3.0023213143747274E-2</v>
      </c>
      <c r="H23" s="2">
        <f>IF(popproj!H23-old!H23=0,"",(popproj!H23-old!H23)/old!H23)</f>
        <v>3.4409835273658276E-2</v>
      </c>
      <c r="I23" s="2">
        <f>IF(popproj!I23-old!I23=0,"",(popproj!I23-old!I23)/old!I23)</f>
        <v>3.8182215752474831E-2</v>
      </c>
      <c r="J23" s="2">
        <f>IF(popproj!J23-old!J23=0,"",(popproj!J23-old!J23)/old!J23)</f>
        <v>4.1323253616425457E-2</v>
      </c>
      <c r="K23" s="2">
        <f>IF(popproj!K23-old!K23=0,"",(popproj!K23-old!K23)/old!K23)</f>
        <v>4.4410517661690262E-2</v>
      </c>
      <c r="L23" s="2">
        <f>IF(popproj!L23-old!L23=0,"",(popproj!L23-old!L23)/old!L23)</f>
        <v>4.7377447742434534E-2</v>
      </c>
      <c r="M23" s="2">
        <f>IF(popproj!M23-old!M23=0,"",(popproj!M23-old!M23)/old!M23)</f>
        <v>5.0234721624056684E-2</v>
      </c>
      <c r="N23" s="2">
        <f>IF(popproj!N23-old!N23=0,"",(popproj!N23-old!N23)/old!N23)</f>
        <v>5.296024696345953E-2</v>
      </c>
      <c r="O23" s="2">
        <f>IF(popproj!O23-old!O23=0,"",(popproj!O23-old!O23)/old!O23)</f>
        <v>5.5555091293249842E-2</v>
      </c>
      <c r="P23" s="2">
        <f>IF(popproj!P23-old!P23=0,"",(popproj!P23-old!P23)/old!P23)</f>
        <v>5.803056755473756E-2</v>
      </c>
      <c r="Q23" s="2">
        <f>IF(popproj!Q23-old!Q23=0,"",(popproj!Q23-old!Q23)/old!Q23)</f>
        <v>6.0153952287161548E-2</v>
      </c>
      <c r="R23" s="2">
        <f>IF(popproj!R23-old!R23=0,"",(popproj!R23-old!R23)/old!R23)</f>
        <v>6.2397602716219039E-2</v>
      </c>
      <c r="S23" s="2">
        <f>IF(popproj!S23-old!S23=0,"",(popproj!S23-old!S23)/old!S23)</f>
        <v>6.4609240731921702E-2</v>
      </c>
      <c r="T23" s="2">
        <f>IF(popproj!T23-old!T23=0,"",(popproj!T23-old!T23)/old!T23)</f>
        <v>6.6736139195150104E-2</v>
      </c>
      <c r="U23" s="2">
        <f>IF(popproj!U23-old!U23=0,"",(popproj!U23-old!U23)/old!U23)</f>
        <v>6.8717422529862557E-2</v>
      </c>
      <c r="V23" s="2">
        <f>IF(popproj!V23-old!V23=0,"",(popproj!V23-old!V23)/old!V23)</f>
        <v>7.0602314400652885E-2</v>
      </c>
      <c r="W23" s="2">
        <f>IF(popproj!W23-old!W23=0,"",(popproj!W23-old!W23)/old!W23)</f>
        <v>7.2395937184305592E-2</v>
      </c>
      <c r="X23" s="2">
        <f>IF(popproj!X23-old!X23=0,"",(popproj!X23-old!X23)/old!X23)</f>
        <v>7.4076173831153433E-2</v>
      </c>
      <c r="Y23" s="2">
        <f>IF(popproj!Y23-old!Y23=0,"",(popproj!Y23-old!Y23)/old!Y23)</f>
        <v>7.5676764444315148E-2</v>
      </c>
      <c r="Z23" s="2">
        <f>IF(popproj!Z23-old!Z23=0,"",(popproj!Z23-old!Z23)/old!Z23)</f>
        <v>7.7168875262877842E-2</v>
      </c>
      <c r="AA23" s="2">
        <f>IF(popproj!AA23-old!AA23=0,"",(popproj!AA23-old!AA23)/old!AA23)</f>
        <v>7.8564613135609848E-2</v>
      </c>
      <c r="AB23" s="2">
        <f>IF(popproj!AB23-old!AB23=0,"",(popproj!AB23-old!AB23)/old!AB23)</f>
        <v>7.9890257030070924E-2</v>
      </c>
      <c r="AC23" s="2">
        <f>IF(popproj!AC23-old!AC23=0,"",(popproj!AC23-old!AC23)/old!AC23)</f>
        <v>8.1110237531211979E-2</v>
      </c>
      <c r="AD23" s="2">
        <f>IF(popproj!AD23-old!AD23=0,"",(popproj!AD23-old!AD23)/old!AD23)</f>
        <v>8.2233230081102268E-2</v>
      </c>
      <c r="AE23" s="2">
        <f>IF(popproj!AE23-old!AE23=0,"",(popproj!AE23-old!AE23)/old!AE23)</f>
        <v>8.326248090803684E-2</v>
      </c>
      <c r="AF23" s="2">
        <f>IF(popproj!AF23-old!AF23=0,"",(popproj!AF23-old!AF23)/old!AF23)</f>
        <v>8.4203215752359645E-2</v>
      </c>
      <c r="AG23" s="2">
        <f>IF(popproj!AG23-old!AG23=0,"",(popproj!AG23-old!AG23)/old!AG23)</f>
        <v>-1</v>
      </c>
      <c r="AH23" s="2">
        <f>IF(popproj!AH23-old!AH23=0,"",(popproj!AH23-old!AH23)/old!AH23)</f>
        <v>-1</v>
      </c>
      <c r="AI23" s="2">
        <f>IF(popproj!AI23-old!AI23=0,"",(popproj!AI23-old!AI23)/old!AI23)</f>
        <v>-1</v>
      </c>
      <c r="AJ23" s="2">
        <f>IF(popproj!AJ23-old!AJ23=0,"",(popproj!AJ23-old!AJ23)/old!AJ23)</f>
        <v>-1</v>
      </c>
      <c r="AK23" s="2">
        <f>IF(popproj!AK23-old!AK23=0,"",(popproj!AK23-old!AK23)/old!AK23)</f>
        <v>-1</v>
      </c>
      <c r="AL23" s="2">
        <f>IF(popproj!AL23-old!AL23=0,"",(popproj!AL23-old!AL23)/old!AL23)</f>
        <v>-1</v>
      </c>
      <c r="AM23" s="2">
        <f>IF(popproj!AM23-old!AM23=0,"",(popproj!AM23-old!AM23)/old!AM23)</f>
        <v>-1</v>
      </c>
      <c r="AN23" s="2">
        <f>IF(popproj!AN23-old!AN23=0,"",(popproj!AN23-old!AN23)/old!AN23)</f>
        <v>-1</v>
      </c>
      <c r="AO23" s="2">
        <f>IF(popproj!AO23-old!AO23=0,"",(popproj!AO23-old!AO23)/old!AO23)</f>
        <v>-1</v>
      </c>
      <c r="AP23" s="2">
        <f>IF(popproj!AP23-old!AP23=0,"",(popproj!AP23-old!AP23)/old!AP23)</f>
        <v>-1</v>
      </c>
      <c r="AQ23" s="2">
        <f>IF(popproj!AQ23-old!AQ23=0,"",(popproj!AQ23-old!AQ23)/old!AQ23)</f>
        <v>-1</v>
      </c>
      <c r="AR23" s="2">
        <f>IF(popproj!AR23-old!AR23=0,"",(popproj!AR23-old!AR23)/old!AR23)</f>
        <v>-1</v>
      </c>
      <c r="AS23" s="2">
        <f>IF(popproj!AS23-old!AS23=0,"",(popproj!AS23-old!AS23)/old!AS23)</f>
        <v>-1</v>
      </c>
      <c r="AT23" s="2">
        <f>IF(popproj!AT23-old!AT23=0,"",(popproj!AT23-old!AT23)/old!AT23)</f>
        <v>-1</v>
      </c>
      <c r="AU23" s="2">
        <f>IF(popproj!AU23-old!AU23=0,"",(popproj!AU23-old!AU23)/old!AU23)</f>
        <v>-1</v>
      </c>
      <c r="AV23" s="2">
        <f>IF(popproj!AV23-old!AV23=0,"",(popproj!AV23-old!AV23)/old!AV23)</f>
        <v>-1</v>
      </c>
      <c r="AW23" s="2">
        <f>IF(popproj!AW23-old!AW23=0,"",(popproj!AW23-old!AW23)/old!AW23)</f>
        <v>-1</v>
      </c>
      <c r="AX23" s="2">
        <f>IF(popproj!AX23-old!AX23=0,"",(popproj!AX23-old!AX23)/old!AX23)</f>
        <v>-1</v>
      </c>
      <c r="AY23" s="2">
        <f>IF(popproj!AY23-old!AY23=0,"",(popproj!AY23-old!AY23)/old!AY23)</f>
        <v>-1</v>
      </c>
      <c r="AZ23" s="2">
        <f>IF(popproj!AZ23-old!AZ23=0,"",(popproj!AZ23-old!AZ23)/old!AZ23)</f>
        <v>-1</v>
      </c>
      <c r="BA23" s="2">
        <f>IF(popproj!BA23-old!BA23=0,"",(popproj!BA23-old!BA23)/old!BA23)</f>
        <v>-1</v>
      </c>
      <c r="BB23" s="2">
        <f>IF(popproj!BB23-old!BB23=0,"",(popproj!BB23-old!BB23)/old!BB23)</f>
        <v>-1</v>
      </c>
      <c r="BC23" s="2">
        <f>IF(popproj!BC23-old!BC23=0,"",(popproj!BC23-old!BC23)/old!BC23)</f>
        <v>-1</v>
      </c>
      <c r="BD23" s="2">
        <f>IF(popproj!BD23-old!BD23=0,"",(popproj!BD23-old!BD23)/old!BD23)</f>
        <v>-1</v>
      </c>
      <c r="BE23" s="2">
        <f>IF(popproj!BE23-old!BE23=0,"",(popproj!BE23-old!BE23)/old!BE23)</f>
        <v>-1</v>
      </c>
      <c r="BF23" s="2">
        <f>IF(popproj!BF23-old!BF23=0,"",(popproj!BF23-old!BF23)/old!BF23)</f>
        <v>-1</v>
      </c>
      <c r="BG23" s="2">
        <f>IF(popproj!BG23-old!BG23=0,"",(popproj!BG23-old!BG23)/old!BG23)</f>
        <v>-1</v>
      </c>
      <c r="BH23" s="2">
        <f>IF(popproj!BH23-old!BH23=0,"",(popproj!BH23-old!BH23)/old!BH23)</f>
        <v>-1</v>
      </c>
      <c r="BI23" s="2">
        <f>IF(popproj!BI23-old!BI23=0,"",(popproj!BI23-old!BI23)/old!BI23)</f>
        <v>-1</v>
      </c>
      <c r="BJ23" s="2">
        <f>IF(popproj!BJ23-old!BJ23=0,"",(popproj!BJ23-old!BJ23)/old!BJ23)</f>
        <v>-1</v>
      </c>
      <c r="BK23" s="2">
        <f>IF(popproj!BK23-old!BK23=0,"",(popproj!BK23-old!BK23)/old!BK23)</f>
        <v>-1</v>
      </c>
      <c r="BL23" s="2">
        <f>IF(popproj!BL23-old!BL23=0,"",(popproj!BL23-old!BL23)/old!BL23)</f>
        <v>-1</v>
      </c>
      <c r="BM23" s="2">
        <f>IF(popproj!BM23-old!BM23=0,"",(popproj!BM23-old!BM23)/old!BM23)</f>
        <v>-1</v>
      </c>
      <c r="BN23" s="2">
        <f>IF(popproj!BN23-old!BN23=0,"",(popproj!BN23-old!BN23)/old!BN23)</f>
        <v>-1</v>
      </c>
      <c r="BO23" s="2">
        <f>IF(popproj!BO23-old!BO23=0,"",(popproj!BO23-old!BO23)/old!BO23)</f>
        <v>-1</v>
      </c>
    </row>
    <row r="24" spans="1:67" x14ac:dyDescent="0.2">
      <c r="A24" t="str">
        <f>popproj!A24</f>
        <v>RO_POPTF</v>
      </c>
      <c r="B24" s="2"/>
      <c r="C24" s="2"/>
      <c r="D24" s="2">
        <f>IF(popproj!D24-old!D24=0,"",(popproj!D24-old!D24)/old!D24)</f>
        <v>-1</v>
      </c>
      <c r="E24" s="2">
        <f>IF(popproj!E24-old!E24=0,"",(popproj!E24-old!E24)/old!E24)</f>
        <v>1.2745994648952312E-3</v>
      </c>
      <c r="F24" s="2">
        <f>IF(popproj!F24-old!F24=0,"",(popproj!F24-old!F24)/old!F24)</f>
        <v>6.362424170761217E-3</v>
      </c>
      <c r="G24" s="2">
        <f>IF(popproj!G24-old!G24=0,"",(popproj!G24-old!G24)/old!G24)</f>
        <v>1.1569270067946077E-2</v>
      </c>
      <c r="H24" s="2">
        <f>IF(popproj!H24-old!H24=0,"",(popproj!H24-old!H24)/old!H24)</f>
        <v>1.3855804964367146E-2</v>
      </c>
      <c r="I24" s="2">
        <f>IF(popproj!I24-old!I24=0,"",(popproj!I24-old!I24)/old!I24)</f>
        <v>1.5731632821324584E-2</v>
      </c>
      <c r="J24" s="2">
        <f>IF(popproj!J24-old!J24=0,"",(popproj!J24-old!J24)/old!J24)</f>
        <v>1.7183588033167385E-2</v>
      </c>
      <c r="K24" s="2">
        <f>IF(popproj!K24-old!K24=0,"",(popproj!K24-old!K24)/old!K24)</f>
        <v>1.8649998797822472E-2</v>
      </c>
      <c r="L24" s="2">
        <f>IF(popproj!L24-old!L24=0,"",(popproj!L24-old!L24)/old!L24)</f>
        <v>2.0069925421629258E-2</v>
      </c>
      <c r="M24" s="2">
        <f>IF(popproj!M24-old!M24=0,"",(popproj!M24-old!M24)/old!M24)</f>
        <v>2.1436849676598917E-2</v>
      </c>
      <c r="N24" s="2">
        <f>IF(popproj!N24-old!N24=0,"",(popproj!N24-old!N24)/old!N24)</f>
        <v>2.2747949698072738E-2</v>
      </c>
      <c r="O24" s="2">
        <f>IF(popproj!O24-old!O24=0,"",(popproj!O24-old!O24)/old!O24)</f>
        <v>2.3986174790374046E-2</v>
      </c>
      <c r="P24" s="2">
        <f>IF(popproj!P24-old!P24=0,"",(popproj!P24-old!P24)/old!P24)</f>
        <v>2.5153271118879168E-2</v>
      </c>
      <c r="Q24" s="2">
        <f>IF(popproj!Q24-old!Q24=0,"",(popproj!Q24-old!Q24)/old!Q24)</f>
        <v>2.5996830752669661E-2</v>
      </c>
      <c r="R24" s="2">
        <f>IF(popproj!R24-old!R24=0,"",(popproj!R24-old!R24)/old!R24)</f>
        <v>2.7042219699615788E-2</v>
      </c>
      <c r="S24" s="2">
        <f>IF(popproj!S24-old!S24=0,"",(popproj!S24-old!S24)/old!S24)</f>
        <v>2.7989205051167428E-2</v>
      </c>
      <c r="T24" s="2">
        <f>IF(popproj!T24-old!T24=0,"",(popproj!T24-old!T24)/old!T24)</f>
        <v>2.8911605852724637E-2</v>
      </c>
      <c r="U24" s="2">
        <f>IF(popproj!U24-old!U24=0,"",(popproj!U24-old!U24)/old!U24)</f>
        <v>2.9916562531271656E-2</v>
      </c>
      <c r="V24" s="2">
        <f>IF(popproj!V24-old!V24=0,"",(popproj!V24-old!V24)/old!V24)</f>
        <v>3.0732952434627019E-2</v>
      </c>
      <c r="W24" s="2">
        <f>IF(popproj!W24-old!W24=0,"",(popproj!W24-old!W24)/old!W24)</f>
        <v>3.1470551257287226E-2</v>
      </c>
      <c r="X24" s="2">
        <f>IF(popproj!X24-old!X24=0,"",(popproj!X24-old!X24)/old!X24)</f>
        <v>3.2137078387545537E-2</v>
      </c>
      <c r="Y24" s="2">
        <f>IF(popproj!Y24-old!Y24=0,"",(popproj!Y24-old!Y24)/old!Y24)</f>
        <v>3.2739601380053836E-2</v>
      </c>
      <c r="Z24" s="2">
        <f>IF(popproj!Z24-old!Z24=0,"",(popproj!Z24-old!Z24)/old!Z24)</f>
        <v>3.3280181021093397E-2</v>
      </c>
      <c r="AA24" s="2">
        <f>IF(popproj!AA24-old!AA24=0,"",(popproj!AA24-old!AA24)/old!AA24)</f>
        <v>3.3765712546844913E-2</v>
      </c>
      <c r="AB24" s="2">
        <f>IF(popproj!AB24-old!AB24=0,"",(popproj!AB24-old!AB24)/old!AB24)</f>
        <v>3.4211210785327108E-2</v>
      </c>
      <c r="AC24" s="2">
        <f>IF(popproj!AC24-old!AC24=0,"",(popproj!AC24-old!AC24)/old!AC24)</f>
        <v>3.4630118070769295E-2</v>
      </c>
      <c r="AD24" s="2">
        <f>IF(popproj!AD24-old!AD24=0,"",(popproj!AD24-old!AD24)/old!AD24)</f>
        <v>3.5035053431883616E-2</v>
      </c>
      <c r="AE24" s="2">
        <f>IF(popproj!AE24-old!AE24=0,"",(popproj!AE24-old!AE24)/old!AE24)</f>
        <v>3.5444384570207252E-2</v>
      </c>
      <c r="AF24" s="2">
        <f>IF(popproj!AF24-old!AF24=0,"",(popproj!AF24-old!AF24)/old!AF24)</f>
        <v>3.5874157948588177E-2</v>
      </c>
      <c r="AG24" s="2">
        <f>IF(popproj!AG24-old!AG24=0,"",(popproj!AG24-old!AG24)/old!AG24)</f>
        <v>-1</v>
      </c>
      <c r="AH24" s="2">
        <f>IF(popproj!AH24-old!AH24=0,"",(popproj!AH24-old!AH24)/old!AH24)</f>
        <v>-1</v>
      </c>
      <c r="AI24" s="2">
        <f>IF(popproj!AI24-old!AI24=0,"",(popproj!AI24-old!AI24)/old!AI24)</f>
        <v>-1</v>
      </c>
      <c r="AJ24" s="2">
        <f>IF(popproj!AJ24-old!AJ24=0,"",(popproj!AJ24-old!AJ24)/old!AJ24)</f>
        <v>-1</v>
      </c>
      <c r="AK24" s="2">
        <f>IF(popproj!AK24-old!AK24=0,"",(popproj!AK24-old!AK24)/old!AK24)</f>
        <v>-1</v>
      </c>
      <c r="AL24" s="2">
        <f>IF(popproj!AL24-old!AL24=0,"",(popproj!AL24-old!AL24)/old!AL24)</f>
        <v>-1</v>
      </c>
      <c r="AM24" s="2">
        <f>IF(popproj!AM24-old!AM24=0,"",(popproj!AM24-old!AM24)/old!AM24)</f>
        <v>-1</v>
      </c>
      <c r="AN24" s="2">
        <f>IF(popproj!AN24-old!AN24=0,"",(popproj!AN24-old!AN24)/old!AN24)</f>
        <v>-1</v>
      </c>
      <c r="AO24" s="2">
        <f>IF(popproj!AO24-old!AO24=0,"",(popproj!AO24-old!AO24)/old!AO24)</f>
        <v>-1</v>
      </c>
      <c r="AP24" s="2">
        <f>IF(popproj!AP24-old!AP24=0,"",(popproj!AP24-old!AP24)/old!AP24)</f>
        <v>-1</v>
      </c>
      <c r="AQ24" s="2">
        <f>IF(popproj!AQ24-old!AQ24=0,"",(popproj!AQ24-old!AQ24)/old!AQ24)</f>
        <v>-1</v>
      </c>
      <c r="AR24" s="2">
        <f>IF(popproj!AR24-old!AR24=0,"",(popproj!AR24-old!AR24)/old!AR24)</f>
        <v>-1</v>
      </c>
      <c r="AS24" s="2">
        <f>IF(popproj!AS24-old!AS24=0,"",(popproj!AS24-old!AS24)/old!AS24)</f>
        <v>-1</v>
      </c>
      <c r="AT24" s="2">
        <f>IF(popproj!AT24-old!AT24=0,"",(popproj!AT24-old!AT24)/old!AT24)</f>
        <v>-1</v>
      </c>
      <c r="AU24" s="2">
        <f>IF(popproj!AU24-old!AU24=0,"",(popproj!AU24-old!AU24)/old!AU24)</f>
        <v>-1</v>
      </c>
      <c r="AV24" s="2">
        <f>IF(popproj!AV24-old!AV24=0,"",(popproj!AV24-old!AV24)/old!AV24)</f>
        <v>-1</v>
      </c>
      <c r="AW24" s="2">
        <f>IF(popproj!AW24-old!AW24=0,"",(popproj!AW24-old!AW24)/old!AW24)</f>
        <v>-1</v>
      </c>
      <c r="AX24" s="2">
        <f>IF(popproj!AX24-old!AX24=0,"",(popproj!AX24-old!AX24)/old!AX24)</f>
        <v>-1</v>
      </c>
      <c r="AY24" s="2">
        <f>IF(popproj!AY24-old!AY24=0,"",(popproj!AY24-old!AY24)/old!AY24)</f>
        <v>-1</v>
      </c>
      <c r="AZ24" s="2">
        <f>IF(popproj!AZ24-old!AZ24=0,"",(popproj!AZ24-old!AZ24)/old!AZ24)</f>
        <v>-1</v>
      </c>
      <c r="BA24" s="2">
        <f>IF(popproj!BA24-old!BA24=0,"",(popproj!BA24-old!BA24)/old!BA24)</f>
        <v>-1</v>
      </c>
      <c r="BB24" s="2">
        <f>IF(popproj!BB24-old!BB24=0,"",(popproj!BB24-old!BB24)/old!BB24)</f>
        <v>-1</v>
      </c>
      <c r="BC24" s="2">
        <f>IF(popproj!BC24-old!BC24=0,"",(popproj!BC24-old!BC24)/old!BC24)</f>
        <v>-1</v>
      </c>
      <c r="BD24" s="2">
        <f>IF(popproj!BD24-old!BD24=0,"",(popproj!BD24-old!BD24)/old!BD24)</f>
        <v>-1</v>
      </c>
      <c r="BE24" s="2">
        <f>IF(popproj!BE24-old!BE24=0,"",(popproj!BE24-old!BE24)/old!BE24)</f>
        <v>-1</v>
      </c>
      <c r="BF24" s="2">
        <f>IF(popproj!BF24-old!BF24=0,"",(popproj!BF24-old!BF24)/old!BF24)</f>
        <v>-1</v>
      </c>
      <c r="BG24" s="2">
        <f>IF(popproj!BG24-old!BG24=0,"",(popproj!BG24-old!BG24)/old!BG24)</f>
        <v>-1</v>
      </c>
      <c r="BH24" s="2">
        <f>IF(popproj!BH24-old!BH24=0,"",(popproj!BH24-old!BH24)/old!BH24)</f>
        <v>-1</v>
      </c>
      <c r="BI24" s="2">
        <f>IF(popproj!BI24-old!BI24=0,"",(popproj!BI24-old!BI24)/old!BI24)</f>
        <v>-1</v>
      </c>
      <c r="BJ24" s="2">
        <f>IF(popproj!BJ24-old!BJ24=0,"",(popproj!BJ24-old!BJ24)/old!BJ24)</f>
        <v>-1</v>
      </c>
      <c r="BK24" s="2">
        <f>IF(popproj!BK24-old!BK24=0,"",(popproj!BK24-old!BK24)/old!BK24)</f>
        <v>-1</v>
      </c>
      <c r="BL24" s="2">
        <f>IF(popproj!BL24-old!BL24=0,"",(popproj!BL24-old!BL24)/old!BL24)</f>
        <v>-1</v>
      </c>
      <c r="BM24" s="2">
        <f>IF(popproj!BM24-old!BM24=0,"",(popproj!BM24-old!BM24)/old!BM24)</f>
        <v>-1</v>
      </c>
      <c r="BN24" s="2">
        <f>IF(popproj!BN24-old!BN24=0,"",(popproj!BN24-old!BN24)/old!BN24)</f>
        <v>-1</v>
      </c>
      <c r="BO24" s="2">
        <f>IF(popproj!BO24-old!BO24=0,"",(popproj!BO24-old!BO24)/old!BO24)</f>
        <v>-1</v>
      </c>
    </row>
    <row r="25" spans="1:67" x14ac:dyDescent="0.2">
      <c r="A25" t="str">
        <f>popproj!A25</f>
        <v>SI_POPTF</v>
      </c>
      <c r="B25" s="2"/>
      <c r="C25" s="2"/>
      <c r="D25" s="2">
        <f>IF(popproj!D25-old!D25=0,"",(popproj!D25-old!D25)/old!D25)</f>
        <v>-1</v>
      </c>
      <c r="E25" s="2">
        <f>IF(popproj!E25-old!E25=0,"",(popproj!E25-old!E25)/old!E25)</f>
        <v>1.2424948351426673E-4</v>
      </c>
      <c r="F25" s="2">
        <f>IF(popproj!F25-old!F25=0,"",(popproj!F25-old!F25)/old!F25)</f>
        <v>1.9232293270537088E-3</v>
      </c>
      <c r="G25" s="2">
        <f>IF(popproj!G25-old!G25=0,"",(popproj!G25-old!G25)/old!G25)</f>
        <v>3.7151600597896046E-3</v>
      </c>
      <c r="H25" s="2">
        <f>IF(popproj!H25-old!H25=0,"",(popproj!H25-old!H25)/old!H25)</f>
        <v>4.4095606327552144E-3</v>
      </c>
      <c r="I25" s="2">
        <f>IF(popproj!I25-old!I25=0,"",(popproj!I25-old!I25)/old!I25)</f>
        <v>4.9439293535786435E-3</v>
      </c>
      <c r="J25" s="2">
        <f>IF(popproj!J25-old!J25=0,"",(popproj!J25-old!J25)/old!J25)</f>
        <v>5.3465242876134843E-3</v>
      </c>
      <c r="K25" s="2">
        <f>IF(popproj!K25-old!K25=0,"",(popproj!K25-old!K25)/old!K25)</f>
        <v>5.8436770395432994E-3</v>
      </c>
      <c r="L25" s="2">
        <f>IF(popproj!L25-old!L25=0,"",(popproj!L25-old!L25)/old!L25)</f>
        <v>6.3224287641247007E-3</v>
      </c>
      <c r="M25" s="2">
        <f>IF(popproj!M25-old!M25=0,"",(popproj!M25-old!M25)/old!M25)</f>
        <v>6.7656481286932132E-3</v>
      </c>
      <c r="N25" s="2">
        <f>IF(popproj!N25-old!N25=0,"",(popproj!N25-old!N25)/old!N25)</f>
        <v>7.1835802260935867E-3</v>
      </c>
      <c r="O25" s="2">
        <f>IF(popproj!O25-old!O25=0,"",(popproj!O25-old!O25)/old!O25)</f>
        <v>7.5655778731779063E-3</v>
      </c>
      <c r="P25" s="2">
        <f>IF(popproj!P25-old!P25=0,"",(popproj!P25-old!P25)/old!P25)</f>
        <v>7.9027513737952686E-3</v>
      </c>
      <c r="Q25" s="2">
        <f>IF(popproj!Q25-old!Q25=0,"",(popproj!Q25-old!Q25)/old!Q25)</f>
        <v>8.0480793614146375E-3</v>
      </c>
      <c r="R25" s="2">
        <f>IF(popproj!R25-old!R25=0,"",(popproj!R25-old!R25)/old!R25)</f>
        <v>8.3029266609521528E-3</v>
      </c>
      <c r="S25" s="2">
        <f>IF(popproj!S25-old!S25=0,"",(popproj!S25-old!S25)/old!S25)</f>
        <v>8.5032274194281558E-3</v>
      </c>
      <c r="T25" s="2">
        <f>IF(popproj!T25-old!T25=0,"",(popproj!T25-old!T25)/old!T25)</f>
        <v>8.6536248125521614E-3</v>
      </c>
      <c r="U25" s="2">
        <f>IF(popproj!U25-old!U25=0,"",(popproj!U25-old!U25)/old!U25)</f>
        <v>8.7848389627815833E-3</v>
      </c>
      <c r="V25" s="2">
        <f>IF(popproj!V25-old!V25=0,"",(popproj!V25-old!V25)/old!V25)</f>
        <v>8.846566925357062E-3</v>
      </c>
      <c r="W25" s="2">
        <f>IF(popproj!W25-old!W25=0,"",(popproj!W25-old!W25)/old!W25)</f>
        <v>8.8661267021659419E-3</v>
      </c>
      <c r="X25" s="2">
        <f>IF(popproj!X25-old!X25=0,"",(popproj!X25-old!X25)/old!X25)</f>
        <v>8.8516561461455239E-3</v>
      </c>
      <c r="Y25" s="2">
        <f>IF(popproj!Y25-old!Y25=0,"",(popproj!Y25-old!Y25)/old!Y25)</f>
        <v>8.7895569207321854E-3</v>
      </c>
      <c r="Z25" s="2">
        <f>IF(popproj!Z25-old!Z25=0,"",(popproj!Z25-old!Z25)/old!Z25)</f>
        <v>8.7114920008564325E-3</v>
      </c>
      <c r="AA25" s="2">
        <f>IF(popproj!AA25-old!AA25=0,"",(popproj!AA25-old!AA25)/old!AA25)</f>
        <v>8.6126552021273464E-3</v>
      </c>
      <c r="AB25" s="2">
        <f>IF(popproj!AB25-old!AB25=0,"",(popproj!AB25-old!AB25)/old!AB25)</f>
        <v>8.51236377223164E-3</v>
      </c>
      <c r="AC25" s="2">
        <f>IF(popproj!AC25-old!AC25=0,"",(popproj!AC25-old!AC25)/old!AC25)</f>
        <v>8.4204296046280491E-3</v>
      </c>
      <c r="AD25" s="2">
        <f>IF(popproj!AD25-old!AD25=0,"",(popproj!AD25-old!AD25)/old!AD25)</f>
        <v>8.3541194048475809E-3</v>
      </c>
      <c r="AE25" s="2">
        <f>IF(popproj!AE25-old!AE25=0,"",(popproj!AE25-old!AE25)/old!AE25)</f>
        <v>8.3139639686898234E-3</v>
      </c>
      <c r="AF25" s="2">
        <f>IF(popproj!AF25-old!AF25=0,"",(popproj!AF25-old!AF25)/old!AF25)</f>
        <v>8.3064990212619438E-3</v>
      </c>
      <c r="AG25" s="2">
        <f>IF(popproj!AG25-old!AG25=0,"",(popproj!AG25-old!AG25)/old!AG25)</f>
        <v>-1</v>
      </c>
      <c r="AH25" s="2">
        <f>IF(popproj!AH25-old!AH25=0,"",(popproj!AH25-old!AH25)/old!AH25)</f>
        <v>-1</v>
      </c>
      <c r="AI25" s="2">
        <f>IF(popproj!AI25-old!AI25=0,"",(popproj!AI25-old!AI25)/old!AI25)</f>
        <v>-1</v>
      </c>
      <c r="AJ25" s="2">
        <f>IF(popproj!AJ25-old!AJ25=0,"",(popproj!AJ25-old!AJ25)/old!AJ25)</f>
        <v>-1</v>
      </c>
      <c r="AK25" s="2">
        <f>IF(popproj!AK25-old!AK25=0,"",(popproj!AK25-old!AK25)/old!AK25)</f>
        <v>-1</v>
      </c>
      <c r="AL25" s="2">
        <f>IF(popproj!AL25-old!AL25=0,"",(popproj!AL25-old!AL25)/old!AL25)</f>
        <v>-1</v>
      </c>
      <c r="AM25" s="2">
        <f>IF(popproj!AM25-old!AM25=0,"",(popproj!AM25-old!AM25)/old!AM25)</f>
        <v>-1</v>
      </c>
      <c r="AN25" s="2">
        <f>IF(popproj!AN25-old!AN25=0,"",(popproj!AN25-old!AN25)/old!AN25)</f>
        <v>-1</v>
      </c>
      <c r="AO25" s="2">
        <f>IF(popproj!AO25-old!AO25=0,"",(popproj!AO25-old!AO25)/old!AO25)</f>
        <v>-1</v>
      </c>
      <c r="AP25" s="2">
        <f>IF(popproj!AP25-old!AP25=0,"",(popproj!AP25-old!AP25)/old!AP25)</f>
        <v>-1</v>
      </c>
      <c r="AQ25" s="2">
        <f>IF(popproj!AQ25-old!AQ25=0,"",(popproj!AQ25-old!AQ25)/old!AQ25)</f>
        <v>-1</v>
      </c>
      <c r="AR25" s="2">
        <f>IF(popproj!AR25-old!AR25=0,"",(popproj!AR25-old!AR25)/old!AR25)</f>
        <v>-1</v>
      </c>
      <c r="AS25" s="2">
        <f>IF(popproj!AS25-old!AS25=0,"",(popproj!AS25-old!AS25)/old!AS25)</f>
        <v>-1</v>
      </c>
      <c r="AT25" s="2">
        <f>IF(popproj!AT25-old!AT25=0,"",(popproj!AT25-old!AT25)/old!AT25)</f>
        <v>-1</v>
      </c>
      <c r="AU25" s="2">
        <f>IF(popproj!AU25-old!AU25=0,"",(popproj!AU25-old!AU25)/old!AU25)</f>
        <v>-1</v>
      </c>
      <c r="AV25" s="2">
        <f>IF(popproj!AV25-old!AV25=0,"",(popproj!AV25-old!AV25)/old!AV25)</f>
        <v>-1</v>
      </c>
      <c r="AW25" s="2">
        <f>IF(popproj!AW25-old!AW25=0,"",(popproj!AW25-old!AW25)/old!AW25)</f>
        <v>-1</v>
      </c>
      <c r="AX25" s="2">
        <f>IF(popproj!AX25-old!AX25=0,"",(popproj!AX25-old!AX25)/old!AX25)</f>
        <v>-1</v>
      </c>
      <c r="AY25" s="2">
        <f>IF(popproj!AY25-old!AY25=0,"",(popproj!AY25-old!AY25)/old!AY25)</f>
        <v>-1</v>
      </c>
      <c r="AZ25" s="2">
        <f>IF(popproj!AZ25-old!AZ25=0,"",(popproj!AZ25-old!AZ25)/old!AZ25)</f>
        <v>-1</v>
      </c>
      <c r="BA25" s="2">
        <f>IF(popproj!BA25-old!BA25=0,"",(popproj!BA25-old!BA25)/old!BA25)</f>
        <v>-1</v>
      </c>
      <c r="BB25" s="2">
        <f>IF(popproj!BB25-old!BB25=0,"",(popproj!BB25-old!BB25)/old!BB25)</f>
        <v>-1</v>
      </c>
      <c r="BC25" s="2">
        <f>IF(popproj!BC25-old!BC25=0,"",(popproj!BC25-old!BC25)/old!BC25)</f>
        <v>-1</v>
      </c>
      <c r="BD25" s="2">
        <f>IF(popproj!BD25-old!BD25=0,"",(popproj!BD25-old!BD25)/old!BD25)</f>
        <v>-1</v>
      </c>
      <c r="BE25" s="2">
        <f>IF(popproj!BE25-old!BE25=0,"",(popproj!BE25-old!BE25)/old!BE25)</f>
        <v>-1</v>
      </c>
      <c r="BF25" s="2">
        <f>IF(popproj!BF25-old!BF25=0,"",(popproj!BF25-old!BF25)/old!BF25)</f>
        <v>-1</v>
      </c>
      <c r="BG25" s="2">
        <f>IF(popproj!BG25-old!BG25=0,"",(popproj!BG25-old!BG25)/old!BG25)</f>
        <v>-1</v>
      </c>
      <c r="BH25" s="2">
        <f>IF(popproj!BH25-old!BH25=0,"",(popproj!BH25-old!BH25)/old!BH25)</f>
        <v>-1</v>
      </c>
      <c r="BI25" s="2">
        <f>IF(popproj!BI25-old!BI25=0,"",(popproj!BI25-old!BI25)/old!BI25)</f>
        <v>-1</v>
      </c>
      <c r="BJ25" s="2">
        <f>IF(popproj!BJ25-old!BJ25=0,"",(popproj!BJ25-old!BJ25)/old!BJ25)</f>
        <v>-1</v>
      </c>
      <c r="BK25" s="2">
        <f>IF(popproj!BK25-old!BK25=0,"",(popproj!BK25-old!BK25)/old!BK25)</f>
        <v>-1</v>
      </c>
      <c r="BL25" s="2">
        <f>IF(popproj!BL25-old!BL25=0,"",(popproj!BL25-old!BL25)/old!BL25)</f>
        <v>-1</v>
      </c>
      <c r="BM25" s="2">
        <f>IF(popproj!BM25-old!BM25=0,"",(popproj!BM25-old!BM25)/old!BM25)</f>
        <v>-1</v>
      </c>
      <c r="BN25" s="2">
        <f>IF(popproj!BN25-old!BN25=0,"",(popproj!BN25-old!BN25)/old!BN25)</f>
        <v>-1</v>
      </c>
      <c r="BO25" s="2">
        <f>IF(popproj!BO25-old!BO25=0,"",(popproj!BO25-old!BO25)/old!BO25)</f>
        <v>-1</v>
      </c>
    </row>
    <row r="26" spans="1:67" x14ac:dyDescent="0.2">
      <c r="A26" t="str">
        <f>popproj!A26</f>
        <v>SK_POPTF</v>
      </c>
      <c r="B26" s="2"/>
      <c r="C26" s="2"/>
      <c r="D26" s="2">
        <f>IF(popproj!D26-old!D26=0,"",(popproj!D26-old!D26)/old!D26)</f>
        <v>-1</v>
      </c>
      <c r="E26" s="2">
        <f>IF(popproj!E26-old!E26=0,"",(popproj!E26-old!E26)/old!E26)</f>
        <v>-3.379493923138418E-3</v>
      </c>
      <c r="F26" s="2">
        <f>IF(popproj!F26-old!F26=0,"",(popproj!F26-old!F26)/old!F26)</f>
        <v>-2.7146291500401275E-3</v>
      </c>
      <c r="G26" s="2">
        <f>IF(popproj!G26-old!G26=0,"",(popproj!G26-old!G26)/old!G26)</f>
        <v>2.5455647948117205E-3</v>
      </c>
      <c r="H26" s="2">
        <f>IF(popproj!H26-old!H26=0,"",(popproj!H26-old!H26)/old!H26)</f>
        <v>2.5467509543734505E-3</v>
      </c>
      <c r="I26" s="2">
        <f>IF(popproj!I26-old!I26=0,"",(popproj!I26-old!I26)/old!I26)</f>
        <v>2.5281780827527836E-3</v>
      </c>
      <c r="J26" s="2">
        <f>IF(popproj!J26-old!J26=0,"",(popproj!J26-old!J26)/old!J26)</f>
        <v>2.4717852421008257E-3</v>
      </c>
      <c r="K26" s="2">
        <f>IF(popproj!K26-old!K26=0,"",(popproj!K26-old!K26)/old!K26)</f>
        <v>2.4514602454680555E-3</v>
      </c>
      <c r="L26" s="2">
        <f>IF(popproj!L26-old!L26=0,"",(popproj!L26-old!L26)/old!L26)</f>
        <v>2.4540460384541215E-3</v>
      </c>
      <c r="M26" s="2">
        <f>IF(popproj!M26-old!M26=0,"",(popproj!M26-old!M26)/old!M26)</f>
        <v>2.4671506627281566E-3</v>
      </c>
      <c r="N26" s="2">
        <f>IF(popproj!N26-old!N26=0,"",(popproj!N26-old!N26)/old!N26)</f>
        <v>2.4951042094108087E-3</v>
      </c>
      <c r="O26" s="2">
        <f>IF(popproj!O26-old!O26=0,"",(popproj!O26-old!O26)/old!O26)</f>
        <v>2.5285325659216624E-3</v>
      </c>
      <c r="P26" s="2">
        <f>IF(popproj!P26-old!P26=0,"",(popproj!P26-old!P26)/old!P26)</f>
        <v>2.5676936574250751E-3</v>
      </c>
      <c r="Q26" s="2">
        <f>IF(popproj!Q26-old!Q26=0,"",(popproj!Q26-old!Q26)/old!Q26)</f>
        <v>1.8932401788631394E-3</v>
      </c>
      <c r="R26" s="2">
        <f>IF(popproj!R26-old!R26=0,"",(popproj!R26-old!R26)/old!R26)</f>
        <v>2.0286790186444994E-3</v>
      </c>
      <c r="S26" s="2">
        <f>IF(popproj!S26-old!S26=0,"",(popproj!S26-old!S26)/old!S26)</f>
        <v>2.1511931735519888E-3</v>
      </c>
      <c r="T26" s="2">
        <f>IF(popproj!T26-old!T26=0,"",(popproj!T26-old!T26)/old!T26)</f>
        <v>2.2671676284953574E-3</v>
      </c>
      <c r="U26" s="2">
        <f>IF(popproj!U26-old!U26=0,"",(popproj!U26-old!U26)/old!U26)</f>
        <v>2.4547198740293083E-3</v>
      </c>
      <c r="V26" s="2">
        <f>IF(popproj!V26-old!V26=0,"",(popproj!V26-old!V26)/old!V26)</f>
        <v>2.5598270687895758E-3</v>
      </c>
      <c r="W26" s="2">
        <f>IF(popproj!W26-old!W26=0,"",(popproj!W26-old!W26)/old!W26)</f>
        <v>2.6481917195510895E-3</v>
      </c>
      <c r="X26" s="2">
        <f>IF(popproj!X26-old!X26=0,"",(popproj!X26-old!X26)/old!X26)</f>
        <v>2.7038490286838829E-3</v>
      </c>
      <c r="Y26" s="2">
        <f>IF(popproj!Y26-old!Y26=0,"",(popproj!Y26-old!Y26)/old!Y26)</f>
        <v>2.7279596776368853E-3</v>
      </c>
      <c r="Z26" s="2">
        <f>IF(popproj!Z26-old!Z26=0,"",(popproj!Z26-old!Z26)/old!Z26)</f>
        <v>2.7151459488522173E-3</v>
      </c>
      <c r="AA26" s="2">
        <f>IF(popproj!AA26-old!AA26=0,"",(popproj!AA26-old!AA26)/old!AA26)</f>
        <v>2.6720329948274799E-3</v>
      </c>
      <c r="AB26" s="2">
        <f>IF(popproj!AB26-old!AB26=0,"",(popproj!AB26-old!AB26)/old!AB26)</f>
        <v>2.5975009596466434E-3</v>
      </c>
      <c r="AC26" s="2">
        <f>IF(popproj!AC26-old!AC26=0,"",(popproj!AC26-old!AC26)/old!AC26)</f>
        <v>2.4983038870748241E-3</v>
      </c>
      <c r="AD26" s="2">
        <f>IF(popproj!AD26-old!AD26=0,"",(popproj!AD26-old!AD26)/old!AD26)</f>
        <v>2.3763425653354894E-3</v>
      </c>
      <c r="AE26" s="2">
        <f>IF(popproj!AE26-old!AE26=0,"",(popproj!AE26-old!AE26)/old!AE26)</f>
        <v>2.2384420350985861E-3</v>
      </c>
      <c r="AF26" s="2">
        <f>IF(popproj!AF26-old!AF26=0,"",(popproj!AF26-old!AF26)/old!AF26)</f>
        <v>2.0817976785339884E-3</v>
      </c>
      <c r="AG26" s="2">
        <f>IF(popproj!AG26-old!AG26=0,"",(popproj!AG26-old!AG26)/old!AG26)</f>
        <v>-1</v>
      </c>
      <c r="AH26" s="2">
        <f>IF(popproj!AH26-old!AH26=0,"",(popproj!AH26-old!AH26)/old!AH26)</f>
        <v>-1</v>
      </c>
      <c r="AI26" s="2">
        <f>IF(popproj!AI26-old!AI26=0,"",(popproj!AI26-old!AI26)/old!AI26)</f>
        <v>-1</v>
      </c>
      <c r="AJ26" s="2">
        <f>IF(popproj!AJ26-old!AJ26=0,"",(popproj!AJ26-old!AJ26)/old!AJ26)</f>
        <v>-1</v>
      </c>
      <c r="AK26" s="2">
        <f>IF(popproj!AK26-old!AK26=0,"",(popproj!AK26-old!AK26)/old!AK26)</f>
        <v>-1</v>
      </c>
      <c r="AL26" s="2">
        <f>IF(popproj!AL26-old!AL26=0,"",(popproj!AL26-old!AL26)/old!AL26)</f>
        <v>-1</v>
      </c>
      <c r="AM26" s="2">
        <f>IF(popproj!AM26-old!AM26=0,"",(popproj!AM26-old!AM26)/old!AM26)</f>
        <v>-1</v>
      </c>
      <c r="AN26" s="2">
        <f>IF(popproj!AN26-old!AN26=0,"",(popproj!AN26-old!AN26)/old!AN26)</f>
        <v>-1</v>
      </c>
      <c r="AO26" s="2">
        <f>IF(popproj!AO26-old!AO26=0,"",(popproj!AO26-old!AO26)/old!AO26)</f>
        <v>-1</v>
      </c>
      <c r="AP26" s="2">
        <f>IF(popproj!AP26-old!AP26=0,"",(popproj!AP26-old!AP26)/old!AP26)</f>
        <v>-1</v>
      </c>
      <c r="AQ26" s="2">
        <f>IF(popproj!AQ26-old!AQ26=0,"",(popproj!AQ26-old!AQ26)/old!AQ26)</f>
        <v>-1</v>
      </c>
      <c r="AR26" s="2">
        <f>IF(popproj!AR26-old!AR26=0,"",(popproj!AR26-old!AR26)/old!AR26)</f>
        <v>-1</v>
      </c>
      <c r="AS26" s="2">
        <f>IF(popproj!AS26-old!AS26=0,"",(popproj!AS26-old!AS26)/old!AS26)</f>
        <v>-1</v>
      </c>
      <c r="AT26" s="2">
        <f>IF(popproj!AT26-old!AT26=0,"",(popproj!AT26-old!AT26)/old!AT26)</f>
        <v>-1</v>
      </c>
      <c r="AU26" s="2">
        <f>IF(popproj!AU26-old!AU26=0,"",(popproj!AU26-old!AU26)/old!AU26)</f>
        <v>-1</v>
      </c>
      <c r="AV26" s="2">
        <f>IF(popproj!AV26-old!AV26=0,"",(popproj!AV26-old!AV26)/old!AV26)</f>
        <v>-1</v>
      </c>
      <c r="AW26" s="2">
        <f>IF(popproj!AW26-old!AW26=0,"",(popproj!AW26-old!AW26)/old!AW26)</f>
        <v>-1</v>
      </c>
      <c r="AX26" s="2">
        <f>IF(popproj!AX26-old!AX26=0,"",(popproj!AX26-old!AX26)/old!AX26)</f>
        <v>-1</v>
      </c>
      <c r="AY26" s="2">
        <f>IF(popproj!AY26-old!AY26=0,"",(popproj!AY26-old!AY26)/old!AY26)</f>
        <v>-1</v>
      </c>
      <c r="AZ26" s="2">
        <f>IF(popproj!AZ26-old!AZ26=0,"",(popproj!AZ26-old!AZ26)/old!AZ26)</f>
        <v>-1</v>
      </c>
      <c r="BA26" s="2">
        <f>IF(popproj!BA26-old!BA26=0,"",(popproj!BA26-old!BA26)/old!BA26)</f>
        <v>-1</v>
      </c>
      <c r="BB26" s="2">
        <f>IF(popproj!BB26-old!BB26=0,"",(popproj!BB26-old!BB26)/old!BB26)</f>
        <v>-1</v>
      </c>
      <c r="BC26" s="2">
        <f>IF(popproj!BC26-old!BC26=0,"",(popproj!BC26-old!BC26)/old!BC26)</f>
        <v>-1</v>
      </c>
      <c r="BD26" s="2">
        <f>IF(popproj!BD26-old!BD26=0,"",(popproj!BD26-old!BD26)/old!BD26)</f>
        <v>-1</v>
      </c>
      <c r="BE26" s="2">
        <f>IF(popproj!BE26-old!BE26=0,"",(popproj!BE26-old!BE26)/old!BE26)</f>
        <v>-1</v>
      </c>
      <c r="BF26" s="2">
        <f>IF(popproj!BF26-old!BF26=0,"",(popproj!BF26-old!BF26)/old!BF26)</f>
        <v>-1</v>
      </c>
      <c r="BG26" s="2">
        <f>IF(popproj!BG26-old!BG26=0,"",(popproj!BG26-old!BG26)/old!BG26)</f>
        <v>-1</v>
      </c>
      <c r="BH26" s="2">
        <f>IF(popproj!BH26-old!BH26=0,"",(popproj!BH26-old!BH26)/old!BH26)</f>
        <v>-1</v>
      </c>
      <c r="BI26" s="2">
        <f>IF(popproj!BI26-old!BI26=0,"",(popproj!BI26-old!BI26)/old!BI26)</f>
        <v>-1</v>
      </c>
      <c r="BJ26" s="2">
        <f>IF(popproj!BJ26-old!BJ26=0,"",(popproj!BJ26-old!BJ26)/old!BJ26)</f>
        <v>-1</v>
      </c>
      <c r="BK26" s="2">
        <f>IF(popproj!BK26-old!BK26=0,"",(popproj!BK26-old!BK26)/old!BK26)</f>
        <v>-1</v>
      </c>
      <c r="BL26" s="2">
        <f>IF(popproj!BL26-old!BL26=0,"",(popproj!BL26-old!BL26)/old!BL26)</f>
        <v>-1</v>
      </c>
      <c r="BM26" s="2">
        <f>IF(popproj!BM26-old!BM26=0,"",(popproj!BM26-old!BM26)/old!BM26)</f>
        <v>-1</v>
      </c>
      <c r="BN26" s="2">
        <f>IF(popproj!BN26-old!BN26=0,"",(popproj!BN26-old!BN26)/old!BN26)</f>
        <v>-1</v>
      </c>
      <c r="BO26" s="2">
        <f>IF(popproj!BO26-old!BO26=0,"",(popproj!BO26-old!BO26)/old!BO26)</f>
        <v>-1</v>
      </c>
    </row>
    <row r="27" spans="1:67" x14ac:dyDescent="0.2">
      <c r="A27" t="str">
        <f>popproj!A27</f>
        <v>FI_POPTF</v>
      </c>
      <c r="B27" s="2"/>
      <c r="C27" s="2"/>
      <c r="D27" s="2">
        <f>IF(popproj!D27-old!D27=0,"",(popproj!D27-old!D27)/old!D27)</f>
        <v>-1</v>
      </c>
      <c r="E27" s="2">
        <f>IF(popproj!E27-old!E27=0,"",(popproj!E27-old!E27)/old!E27)</f>
        <v>-1.4430565052997958E-3</v>
      </c>
      <c r="F27" s="2">
        <f>IF(popproj!F27-old!F27=0,"",(popproj!F27-old!F27)/old!F27)</f>
        <v>8.9533016875633265E-4</v>
      </c>
      <c r="G27" s="2">
        <f>IF(popproj!G27-old!G27=0,"",(popproj!G27-old!G27)/old!G27)</f>
        <v>4.015656272588067E-3</v>
      </c>
      <c r="H27" s="2">
        <f>IF(popproj!H27-old!H27=0,"",(popproj!H27-old!H27)/old!H27)</f>
        <v>4.2780113899595091E-3</v>
      </c>
      <c r="I27" s="2">
        <f>IF(popproj!I27-old!I27=0,"",(popproj!I27-old!I27)/old!I27)</f>
        <v>4.8603039098393608E-3</v>
      </c>
      <c r="J27" s="2">
        <f>IF(popproj!J27-old!J27=0,"",(popproj!J27-old!J27)/old!J27)</f>
        <v>5.7337627893651487E-3</v>
      </c>
      <c r="K27" s="2">
        <f>IF(popproj!K27-old!K27=0,"",(popproj!K27-old!K27)/old!K27)</f>
        <v>6.6232450334533224E-3</v>
      </c>
      <c r="L27" s="2">
        <f>IF(popproj!L27-old!L27=0,"",(popproj!L27-old!L27)/old!L27)</f>
        <v>7.5523569529681945E-3</v>
      </c>
      <c r="M27" s="2">
        <f>IF(popproj!M27-old!M27=0,"",(popproj!M27-old!M27)/old!M27)</f>
        <v>8.5187426736093516E-3</v>
      </c>
      <c r="N27" s="2">
        <f>IF(popproj!N27-old!N27=0,"",(popproj!N27-old!N27)/old!N27)</f>
        <v>9.5032357441232861E-3</v>
      </c>
      <c r="O27" s="2">
        <f>IF(popproj!O27-old!O27=0,"",(popproj!O27-old!O27)/old!O27)</f>
        <v>1.0516706226036151E-2</v>
      </c>
      <c r="P27" s="2">
        <f>IF(popproj!P27-old!P27=0,"",(popproj!P27-old!P27)/old!P27)</f>
        <v>1.1559772036116396E-2</v>
      </c>
      <c r="Q27" s="2">
        <f>IF(popproj!Q27-old!Q27=0,"",(popproj!Q27-old!Q27)/old!Q27)</f>
        <v>1.2314300480857205E-2</v>
      </c>
      <c r="R27" s="2">
        <f>IF(popproj!R27-old!R27=0,"",(popproj!R27-old!R27)/old!R27)</f>
        <v>1.3540840758611667E-2</v>
      </c>
      <c r="S27" s="2">
        <f>IF(popproj!S27-old!S27=0,"",(popproj!S27-old!S27)/old!S27)</f>
        <v>1.4867670803167804E-2</v>
      </c>
      <c r="T27" s="2">
        <f>IF(popproj!T27-old!T27=0,"",(popproj!T27-old!T27)/old!T27)</f>
        <v>1.6167173416267836E-2</v>
      </c>
      <c r="U27" s="2">
        <f>IF(popproj!U27-old!U27=0,"",(popproj!U27-old!U27)/old!U27)</f>
        <v>1.7569860500722352E-2</v>
      </c>
      <c r="V27" s="2">
        <f>IF(popproj!V27-old!V27=0,"",(popproj!V27-old!V27)/old!V27)</f>
        <v>1.8968072275832405E-2</v>
      </c>
      <c r="W27" s="2">
        <f>IF(popproj!W27-old!W27=0,"",(popproj!W27-old!W27)/old!W27)</f>
        <v>2.0397492271644033E-2</v>
      </c>
      <c r="X27" s="2">
        <f>IF(popproj!X27-old!X27=0,"",(popproj!X27-old!X27)/old!X27)</f>
        <v>2.1847946261297799E-2</v>
      </c>
      <c r="Y27" s="2">
        <f>IF(popproj!Y27-old!Y27=0,"",(popproj!Y27-old!Y27)/old!Y27)</f>
        <v>2.3317145163800165E-2</v>
      </c>
      <c r="Z27" s="2">
        <f>IF(popproj!Z27-old!Z27=0,"",(popproj!Z27-old!Z27)/old!Z27)</f>
        <v>2.4811382075548564E-2</v>
      </c>
      <c r="AA27" s="2">
        <f>IF(popproj!AA27-old!AA27=0,"",(popproj!AA27-old!AA27)/old!AA27)</f>
        <v>2.6326004933971848E-2</v>
      </c>
      <c r="AB27" s="2">
        <f>IF(popproj!AB27-old!AB27=0,"",(popproj!AB27-old!AB27)/old!AB27)</f>
        <v>2.7859329206833042E-2</v>
      </c>
      <c r="AC27" s="2">
        <f>IF(popproj!AC27-old!AC27=0,"",(popproj!AC27-old!AC27)/old!AC27)</f>
        <v>2.9413055437143312E-2</v>
      </c>
      <c r="AD27" s="2">
        <f>IF(popproj!AD27-old!AD27=0,"",(popproj!AD27-old!AD27)/old!AD27)</f>
        <v>3.0984132637134214E-2</v>
      </c>
      <c r="AE27" s="2">
        <f>IF(popproj!AE27-old!AE27=0,"",(popproj!AE27-old!AE27)/old!AE27)</f>
        <v>3.2566645668036145E-2</v>
      </c>
      <c r="AF27" s="2">
        <f>IF(popproj!AF27-old!AF27=0,"",(popproj!AF27-old!AF27)/old!AF27)</f>
        <v>3.4162462342431719E-2</v>
      </c>
      <c r="AG27" s="2">
        <f>IF(popproj!AG27-old!AG27=0,"",(popproj!AG27-old!AG27)/old!AG27)</f>
        <v>-1</v>
      </c>
      <c r="AH27" s="2">
        <f>IF(popproj!AH27-old!AH27=0,"",(popproj!AH27-old!AH27)/old!AH27)</f>
        <v>-1</v>
      </c>
      <c r="AI27" s="2">
        <f>IF(popproj!AI27-old!AI27=0,"",(popproj!AI27-old!AI27)/old!AI27)</f>
        <v>-1</v>
      </c>
      <c r="AJ27" s="2">
        <f>IF(popproj!AJ27-old!AJ27=0,"",(popproj!AJ27-old!AJ27)/old!AJ27)</f>
        <v>-1</v>
      </c>
      <c r="AK27" s="2">
        <f>IF(popproj!AK27-old!AK27=0,"",(popproj!AK27-old!AK27)/old!AK27)</f>
        <v>-1</v>
      </c>
      <c r="AL27" s="2">
        <f>IF(popproj!AL27-old!AL27=0,"",(popproj!AL27-old!AL27)/old!AL27)</f>
        <v>-1</v>
      </c>
      <c r="AM27" s="2">
        <f>IF(popproj!AM27-old!AM27=0,"",(popproj!AM27-old!AM27)/old!AM27)</f>
        <v>-1</v>
      </c>
      <c r="AN27" s="2">
        <f>IF(popproj!AN27-old!AN27=0,"",(popproj!AN27-old!AN27)/old!AN27)</f>
        <v>-1</v>
      </c>
      <c r="AO27" s="2">
        <f>IF(popproj!AO27-old!AO27=0,"",(popproj!AO27-old!AO27)/old!AO27)</f>
        <v>-1</v>
      </c>
      <c r="AP27" s="2">
        <f>IF(popproj!AP27-old!AP27=0,"",(popproj!AP27-old!AP27)/old!AP27)</f>
        <v>-1</v>
      </c>
      <c r="AQ27" s="2">
        <f>IF(popproj!AQ27-old!AQ27=0,"",(popproj!AQ27-old!AQ27)/old!AQ27)</f>
        <v>-1</v>
      </c>
      <c r="AR27" s="2">
        <f>IF(popproj!AR27-old!AR27=0,"",(popproj!AR27-old!AR27)/old!AR27)</f>
        <v>-1</v>
      </c>
      <c r="AS27" s="2">
        <f>IF(popproj!AS27-old!AS27=0,"",(popproj!AS27-old!AS27)/old!AS27)</f>
        <v>-1</v>
      </c>
      <c r="AT27" s="2">
        <f>IF(popproj!AT27-old!AT27=0,"",(popproj!AT27-old!AT27)/old!AT27)</f>
        <v>-1</v>
      </c>
      <c r="AU27" s="2">
        <f>IF(popproj!AU27-old!AU27=0,"",(popproj!AU27-old!AU27)/old!AU27)</f>
        <v>-1</v>
      </c>
      <c r="AV27" s="2">
        <f>IF(popproj!AV27-old!AV27=0,"",(popproj!AV27-old!AV27)/old!AV27)</f>
        <v>-1</v>
      </c>
      <c r="AW27" s="2">
        <f>IF(popproj!AW27-old!AW27=0,"",(popproj!AW27-old!AW27)/old!AW27)</f>
        <v>-1</v>
      </c>
      <c r="AX27" s="2">
        <f>IF(popproj!AX27-old!AX27=0,"",(popproj!AX27-old!AX27)/old!AX27)</f>
        <v>-1</v>
      </c>
      <c r="AY27" s="2">
        <f>IF(popproj!AY27-old!AY27=0,"",(popproj!AY27-old!AY27)/old!AY27)</f>
        <v>-1</v>
      </c>
      <c r="AZ27" s="2">
        <f>IF(popproj!AZ27-old!AZ27=0,"",(popproj!AZ27-old!AZ27)/old!AZ27)</f>
        <v>-1</v>
      </c>
      <c r="BA27" s="2">
        <f>IF(popproj!BA27-old!BA27=0,"",(popproj!BA27-old!BA27)/old!BA27)</f>
        <v>-1</v>
      </c>
      <c r="BB27" s="2">
        <f>IF(popproj!BB27-old!BB27=0,"",(popproj!BB27-old!BB27)/old!BB27)</f>
        <v>-1</v>
      </c>
      <c r="BC27" s="2">
        <f>IF(popproj!BC27-old!BC27=0,"",(popproj!BC27-old!BC27)/old!BC27)</f>
        <v>-1</v>
      </c>
      <c r="BD27" s="2">
        <f>IF(popproj!BD27-old!BD27=0,"",(popproj!BD27-old!BD27)/old!BD27)</f>
        <v>-1</v>
      </c>
      <c r="BE27" s="2">
        <f>IF(popproj!BE27-old!BE27=0,"",(popproj!BE27-old!BE27)/old!BE27)</f>
        <v>-1</v>
      </c>
      <c r="BF27" s="2">
        <f>IF(popproj!BF27-old!BF27=0,"",(popproj!BF27-old!BF27)/old!BF27)</f>
        <v>-1</v>
      </c>
      <c r="BG27" s="2">
        <f>IF(popproj!BG27-old!BG27=0,"",(popproj!BG27-old!BG27)/old!BG27)</f>
        <v>-1</v>
      </c>
      <c r="BH27" s="2">
        <f>IF(popproj!BH27-old!BH27=0,"",(popproj!BH27-old!BH27)/old!BH27)</f>
        <v>-1</v>
      </c>
      <c r="BI27" s="2">
        <f>IF(popproj!BI27-old!BI27=0,"",(popproj!BI27-old!BI27)/old!BI27)</f>
        <v>-1</v>
      </c>
      <c r="BJ27" s="2">
        <f>IF(popproj!BJ27-old!BJ27=0,"",(popproj!BJ27-old!BJ27)/old!BJ27)</f>
        <v>-1</v>
      </c>
      <c r="BK27" s="2">
        <f>IF(popproj!BK27-old!BK27=0,"",(popproj!BK27-old!BK27)/old!BK27)</f>
        <v>-1</v>
      </c>
      <c r="BL27" s="2">
        <f>IF(popproj!BL27-old!BL27=0,"",(popproj!BL27-old!BL27)/old!BL27)</f>
        <v>-1</v>
      </c>
      <c r="BM27" s="2">
        <f>IF(popproj!BM27-old!BM27=0,"",(popproj!BM27-old!BM27)/old!BM27)</f>
        <v>-1</v>
      </c>
      <c r="BN27" s="2">
        <f>IF(popproj!BN27-old!BN27=0,"",(popproj!BN27-old!BN27)/old!BN27)</f>
        <v>-1</v>
      </c>
      <c r="BO27" s="2">
        <f>IF(popproj!BO27-old!BO27=0,"",(popproj!BO27-old!BO27)/old!BO27)</f>
        <v>-1</v>
      </c>
    </row>
    <row r="28" spans="1:67" x14ac:dyDescent="0.2">
      <c r="A28" t="str">
        <f>popproj!A28</f>
        <v>SE_POPTF</v>
      </c>
      <c r="B28" s="2"/>
      <c r="C28" s="2"/>
      <c r="D28" s="2">
        <f>IF(popproj!D28-old!D28=0,"",(popproj!D28-old!D28)/old!D28)</f>
        <v>-1</v>
      </c>
      <c r="E28" s="2">
        <f>IF(popproj!E28-old!E28=0,"",(popproj!E28-old!E28)/old!E28)</f>
        <v>-2.3529797197766858E-4</v>
      </c>
      <c r="F28" s="2">
        <f>IF(popproj!F28-old!F28=0,"",(popproj!F28-old!F28)/old!F28)</f>
        <v>-5.0951226141341677E-3</v>
      </c>
      <c r="G28" s="2">
        <f>IF(popproj!G28-old!G28=0,"",(popproj!G28-old!G28)/old!G28)</f>
        <v>-5.4375127384055054E-3</v>
      </c>
      <c r="H28" s="2">
        <f>IF(popproj!H28-old!H28=0,"",(popproj!H28-old!H28)/old!H28)</f>
        <v>-5.6621259609023079E-3</v>
      </c>
      <c r="I28" s="2">
        <f>IF(popproj!I28-old!I28=0,"",(popproj!I28-old!I28)/old!I28)</f>
        <v>-5.7427357032885434E-3</v>
      </c>
      <c r="J28" s="2">
        <f>IF(popproj!J28-old!J28=0,"",(popproj!J28-old!J28)/old!J28)</f>
        <v>-5.6751155103277797E-3</v>
      </c>
      <c r="K28" s="2">
        <f>IF(popproj!K28-old!K28=0,"",(popproj!K28-old!K28)/old!K28)</f>
        <v>-5.635407294963442E-3</v>
      </c>
      <c r="L28" s="2">
        <f>IF(popproj!L28-old!L28=0,"",(popproj!L28-old!L28)/old!L28)</f>
        <v>-5.6124790639068738E-3</v>
      </c>
      <c r="M28" s="2">
        <f>IF(popproj!M28-old!M28=0,"",(popproj!M28-old!M28)/old!M28)</f>
        <v>-5.6060577340543549E-3</v>
      </c>
      <c r="N28" s="2">
        <f>IF(popproj!N28-old!N28=0,"",(popproj!N28-old!N28)/old!N28)</f>
        <v>-5.6151437178828516E-3</v>
      </c>
      <c r="O28" s="2">
        <f>IF(popproj!O28-old!O28=0,"",(popproj!O28-old!O28)/old!O28)</f>
        <v>-5.6407012601441169E-3</v>
      </c>
      <c r="P28" s="2">
        <f>IF(popproj!P28-old!P28=0,"",(popproj!P28-old!P28)/old!P28)</f>
        <v>-5.6822617649689771E-3</v>
      </c>
      <c r="Q28" s="2">
        <f>IF(popproj!Q28-old!Q28=0,"",(popproj!Q28-old!Q28)/old!Q28)</f>
        <v>-5.9158347229168792E-3</v>
      </c>
      <c r="R28" s="2">
        <f>IF(popproj!R28-old!R28=0,"",(popproj!R28-old!R28)/old!R28)</f>
        <v>-6.0261982206128413E-3</v>
      </c>
      <c r="S28" s="2">
        <f>IF(popproj!S28-old!S28=0,"",(popproj!S28-old!S28)/old!S28)</f>
        <v>-6.1442657943621623E-3</v>
      </c>
      <c r="T28" s="2">
        <f>IF(popproj!T28-old!T28=0,"",(popproj!T28-old!T28)/old!T28)</f>
        <v>-6.267908059638198E-3</v>
      </c>
      <c r="U28" s="2">
        <f>IF(popproj!U28-old!U28=0,"",(popproj!U28-old!U28)/old!U28)</f>
        <v>-6.3945509055707908E-3</v>
      </c>
      <c r="V28" s="2">
        <f>IF(popproj!V28-old!V28=0,"",(popproj!V28-old!V28)/old!V28)</f>
        <v>-6.5264186768600315E-3</v>
      </c>
      <c r="W28" s="2">
        <f>IF(popproj!W28-old!W28=0,"",(popproj!W28-old!W28)/old!W28)</f>
        <v>-6.6581258927490413E-3</v>
      </c>
      <c r="X28" s="2">
        <f>IF(popproj!X28-old!X28=0,"",(popproj!X28-old!X28)/old!X28)</f>
        <v>-6.790794859930129E-3</v>
      </c>
      <c r="Y28" s="2">
        <f>IF(popproj!Y28-old!Y28=0,"",(popproj!Y28-old!Y28)/old!Y28)</f>
        <v>-6.9198097639547257E-3</v>
      </c>
      <c r="Z28" s="2">
        <f>IF(popproj!Z28-old!Z28=0,"",(popproj!Z28-old!Z28)/old!Z28)</f>
        <v>-7.046053749971519E-3</v>
      </c>
      <c r="AA28" s="2">
        <f>IF(popproj!AA28-old!AA28=0,"",(popproj!AA28-old!AA28)/old!AA28)</f>
        <v>-7.1708425135083983E-3</v>
      </c>
      <c r="AB28" s="2">
        <f>IF(popproj!AB28-old!AB28=0,"",(popproj!AB28-old!AB28)/old!AB28)</f>
        <v>-7.2932407734424909E-3</v>
      </c>
      <c r="AC28" s="2">
        <f>IF(popproj!AC28-old!AC28=0,"",(popproj!AC28-old!AC28)/old!AC28)</f>
        <v>-7.4140128367448776E-3</v>
      </c>
      <c r="AD28" s="2">
        <f>IF(popproj!AD28-old!AD28=0,"",(popproj!AD28-old!AD28)/old!AD28)</f>
        <v>-7.5366548797295863E-3</v>
      </c>
      <c r="AE28" s="2">
        <f>IF(popproj!AE28-old!AE28=0,"",(popproj!AE28-old!AE28)/old!AE28)</f>
        <v>-7.6655958626264554E-3</v>
      </c>
      <c r="AF28" s="2">
        <f>IF(popproj!AF28-old!AF28=0,"",(popproj!AF28-old!AF28)/old!AF28)</f>
        <v>-7.8036378505289264E-3</v>
      </c>
      <c r="AG28" s="2">
        <f>IF(popproj!AG28-old!AG28=0,"",(popproj!AG28-old!AG28)/old!AG28)</f>
        <v>-1</v>
      </c>
      <c r="AH28" s="2">
        <f>IF(popproj!AH28-old!AH28=0,"",(popproj!AH28-old!AH28)/old!AH28)</f>
        <v>-1</v>
      </c>
      <c r="AI28" s="2">
        <f>IF(popproj!AI28-old!AI28=0,"",(popproj!AI28-old!AI28)/old!AI28)</f>
        <v>-1</v>
      </c>
      <c r="AJ28" s="2">
        <f>IF(popproj!AJ28-old!AJ28=0,"",(popproj!AJ28-old!AJ28)/old!AJ28)</f>
        <v>-1</v>
      </c>
      <c r="AK28" s="2">
        <f>IF(popproj!AK28-old!AK28=0,"",(popproj!AK28-old!AK28)/old!AK28)</f>
        <v>-1</v>
      </c>
      <c r="AL28" s="2">
        <f>IF(popproj!AL28-old!AL28=0,"",(popproj!AL28-old!AL28)/old!AL28)</f>
        <v>-1</v>
      </c>
      <c r="AM28" s="2">
        <f>IF(popproj!AM28-old!AM28=0,"",(popproj!AM28-old!AM28)/old!AM28)</f>
        <v>-1</v>
      </c>
      <c r="AN28" s="2">
        <f>IF(popproj!AN28-old!AN28=0,"",(popproj!AN28-old!AN28)/old!AN28)</f>
        <v>-1</v>
      </c>
      <c r="AO28" s="2">
        <f>IF(popproj!AO28-old!AO28=0,"",(popproj!AO28-old!AO28)/old!AO28)</f>
        <v>-1</v>
      </c>
      <c r="AP28" s="2">
        <f>IF(popproj!AP28-old!AP28=0,"",(popproj!AP28-old!AP28)/old!AP28)</f>
        <v>-1</v>
      </c>
      <c r="AQ28" s="2">
        <f>IF(popproj!AQ28-old!AQ28=0,"",(popproj!AQ28-old!AQ28)/old!AQ28)</f>
        <v>-1</v>
      </c>
      <c r="AR28" s="2">
        <f>IF(popproj!AR28-old!AR28=0,"",(popproj!AR28-old!AR28)/old!AR28)</f>
        <v>-1</v>
      </c>
      <c r="AS28" s="2">
        <f>IF(popproj!AS28-old!AS28=0,"",(popproj!AS28-old!AS28)/old!AS28)</f>
        <v>-1</v>
      </c>
      <c r="AT28" s="2">
        <f>IF(popproj!AT28-old!AT28=0,"",(popproj!AT28-old!AT28)/old!AT28)</f>
        <v>-1</v>
      </c>
      <c r="AU28" s="2">
        <f>IF(popproj!AU28-old!AU28=0,"",(popproj!AU28-old!AU28)/old!AU28)</f>
        <v>-1</v>
      </c>
      <c r="AV28" s="2">
        <f>IF(popproj!AV28-old!AV28=0,"",(popproj!AV28-old!AV28)/old!AV28)</f>
        <v>-1</v>
      </c>
      <c r="AW28" s="2">
        <f>IF(popproj!AW28-old!AW28=0,"",(popproj!AW28-old!AW28)/old!AW28)</f>
        <v>-1</v>
      </c>
      <c r="AX28" s="2">
        <f>IF(popproj!AX28-old!AX28=0,"",(popproj!AX28-old!AX28)/old!AX28)</f>
        <v>-1</v>
      </c>
      <c r="AY28" s="2">
        <f>IF(popproj!AY28-old!AY28=0,"",(popproj!AY28-old!AY28)/old!AY28)</f>
        <v>-1</v>
      </c>
      <c r="AZ28" s="2">
        <f>IF(popproj!AZ28-old!AZ28=0,"",(popproj!AZ28-old!AZ28)/old!AZ28)</f>
        <v>-1</v>
      </c>
      <c r="BA28" s="2">
        <f>IF(popproj!BA28-old!BA28=0,"",(popproj!BA28-old!BA28)/old!BA28)</f>
        <v>-1</v>
      </c>
      <c r="BB28" s="2">
        <f>IF(popproj!BB28-old!BB28=0,"",(popproj!BB28-old!BB28)/old!BB28)</f>
        <v>-1</v>
      </c>
      <c r="BC28" s="2">
        <f>IF(popproj!BC28-old!BC28=0,"",(popproj!BC28-old!BC28)/old!BC28)</f>
        <v>-1</v>
      </c>
      <c r="BD28" s="2">
        <f>IF(popproj!BD28-old!BD28=0,"",(popproj!BD28-old!BD28)/old!BD28)</f>
        <v>-1</v>
      </c>
      <c r="BE28" s="2">
        <f>IF(popproj!BE28-old!BE28=0,"",(popproj!BE28-old!BE28)/old!BE28)</f>
        <v>-1</v>
      </c>
      <c r="BF28" s="2">
        <f>IF(popproj!BF28-old!BF28=0,"",(popproj!BF28-old!BF28)/old!BF28)</f>
        <v>-1</v>
      </c>
      <c r="BG28" s="2">
        <f>IF(popproj!BG28-old!BG28=0,"",(popproj!BG28-old!BG28)/old!BG28)</f>
        <v>-1</v>
      </c>
      <c r="BH28" s="2">
        <f>IF(popproj!BH28-old!BH28=0,"",(popproj!BH28-old!BH28)/old!BH28)</f>
        <v>-1</v>
      </c>
      <c r="BI28" s="2">
        <f>IF(popproj!BI28-old!BI28=0,"",(popproj!BI28-old!BI28)/old!BI28)</f>
        <v>-1</v>
      </c>
      <c r="BJ28" s="2">
        <f>IF(popproj!BJ28-old!BJ28=0,"",(popproj!BJ28-old!BJ28)/old!BJ28)</f>
        <v>-1</v>
      </c>
      <c r="BK28" s="2">
        <f>IF(popproj!BK28-old!BK28=0,"",(popproj!BK28-old!BK28)/old!BK28)</f>
        <v>-1</v>
      </c>
      <c r="BL28" s="2">
        <f>IF(popproj!BL28-old!BL28=0,"",(popproj!BL28-old!BL28)/old!BL28)</f>
        <v>-1</v>
      </c>
      <c r="BM28" s="2">
        <f>IF(popproj!BM28-old!BM28=0,"",(popproj!BM28-old!BM28)/old!BM28)</f>
        <v>-1</v>
      </c>
      <c r="BN28" s="2">
        <f>IF(popproj!BN28-old!BN28=0,"",(popproj!BN28-old!BN28)/old!BN28)</f>
        <v>-1</v>
      </c>
      <c r="BO28" s="2">
        <f>IF(popproj!BO28-old!BO28=0,"",(popproj!BO28-old!BO28)/old!BO28)</f>
        <v>-1</v>
      </c>
    </row>
    <row r="29" spans="1:67" x14ac:dyDescent="0.2">
      <c r="A29" t="str">
        <f>popproj!A29</f>
        <v>UK_POPTF</v>
      </c>
      <c r="B29" s="2"/>
      <c r="C29" s="2"/>
      <c r="D29" s="2" t="str">
        <f>IF(popproj!D29-old!D29=0,"",(popproj!D29-old!D29)/old!D29)</f>
        <v/>
      </c>
      <c r="E29" s="2">
        <f>IF(popproj!E29-old!E29=0,"",(popproj!E29-old!E29)/old!E29)</f>
        <v>2.0813241961593226E-3</v>
      </c>
      <c r="F29" s="2">
        <f>IF(popproj!F29-old!F29=0,"",(popproj!F29-old!F29)/old!F29)</f>
        <v>2.9123854949039412E-3</v>
      </c>
      <c r="G29" s="2">
        <f>IF(popproj!G29-old!G29=0,"",(popproj!G29-old!G29)/old!G29)</f>
        <v>3.412346933183299E-3</v>
      </c>
      <c r="H29" s="2">
        <f>IF(popproj!H29-old!H29=0,"",(popproj!H29-old!H29)/old!H29)</f>
        <v>3.6218974159803762E-3</v>
      </c>
      <c r="I29" s="2">
        <f>IF(popproj!I29-old!I29=0,"",(popproj!I29-old!I29)/old!I29)</f>
        <v>3.5274041476285197E-3</v>
      </c>
      <c r="J29" s="2">
        <f>IF(popproj!J29-old!J29=0,"",(popproj!J29-old!J29)/old!J29)</f>
        <v>3.1293794312196302E-3</v>
      </c>
      <c r="K29" s="2">
        <f>IF(popproj!K29-old!K29=0,"",(popproj!K29-old!K29)/old!K29)</f>
        <v>2.7681931605162266E-3</v>
      </c>
      <c r="L29" s="2">
        <f>IF(popproj!L29-old!L29=0,"",(popproj!L29-old!L29)/old!L29)</f>
        <v>2.4364453374578457E-3</v>
      </c>
      <c r="M29" s="2">
        <f>IF(popproj!M29-old!M29=0,"",(popproj!M29-old!M29)/old!M29)</f>
        <v>2.1250923194364784E-3</v>
      </c>
      <c r="N29" s="2">
        <f>IF(popproj!N29-old!N29=0,"",(popproj!N29-old!N29)/old!N29)</f>
        <v>1.8260374077891516E-3</v>
      </c>
      <c r="O29" s="2">
        <f>IF(popproj!O29-old!O29=0,"",(popproj!O29-old!O29)/old!O29)</f>
        <v>1.5413528576862679E-3</v>
      </c>
      <c r="P29" s="2">
        <f>IF(popproj!P29-old!P29=0,"",(popproj!P29-old!P29)/old!P29)</f>
        <v>1.2731348703532948E-3</v>
      </c>
      <c r="Q29" s="2">
        <f>IF(popproj!Q29-old!Q29=0,"",(popproj!Q29-old!Q29)/old!Q29)</f>
        <v>1.0163784396567137E-3</v>
      </c>
      <c r="R29" s="2">
        <f>IF(popproj!R29-old!R29=0,"",(popproj!R29-old!R29)/old!R29)</f>
        <v>7.5067749886486743E-4</v>
      </c>
      <c r="S29" s="2">
        <f>IF(popproj!S29-old!S29=0,"",(popproj!S29-old!S29)/old!S29)</f>
        <v>4.5724756247528974E-4</v>
      </c>
      <c r="T29" s="2">
        <f>IF(popproj!T29-old!T29=0,"",(popproj!T29-old!T29)/old!T29)</f>
        <v>1.3366116541763633E-4</v>
      </c>
      <c r="U29" s="2">
        <f>IF(popproj!U29-old!U29=0,"",(popproj!U29-old!U29)/old!U29)</f>
        <v>-2.2093553356494658E-4</v>
      </c>
      <c r="V29" s="2">
        <f>IF(popproj!V29-old!V29=0,"",(popproj!V29-old!V29)/old!V29)</f>
        <v>-6.0612497219656174E-4</v>
      </c>
      <c r="W29" s="2">
        <f>IF(popproj!W29-old!W29=0,"",(popproj!W29-old!W29)/old!W29)</f>
        <v>-1.0115781983853365E-3</v>
      </c>
      <c r="X29" s="2">
        <f>IF(popproj!X29-old!X29=0,"",(popproj!X29-old!X29)/old!X29)</f>
        <v>-1.4274599329695908E-3</v>
      </c>
      <c r="Y29" s="2">
        <f>IF(popproj!Y29-old!Y29=0,"",(popproj!Y29-old!Y29)/old!Y29)</f>
        <v>-1.8556565898707358E-3</v>
      </c>
      <c r="Z29" s="2">
        <f>IF(popproj!Z29-old!Z29=0,"",(popproj!Z29-old!Z29)/old!Z29)</f>
        <v>-2.3000727779038297E-3</v>
      </c>
      <c r="AA29" s="2">
        <f>IF(popproj!AA29-old!AA29=0,"",(popproj!AA29-old!AA29)/old!AA29)</f>
        <v>-2.7460611262730642E-3</v>
      </c>
      <c r="AB29" s="2">
        <f>IF(popproj!AB29-old!AB29=0,"",(popproj!AB29-old!AB29)/old!AB29)</f>
        <v>-3.1759273248414058E-3</v>
      </c>
      <c r="AC29" s="2">
        <f>IF(popproj!AC29-old!AC29=0,"",(popproj!AC29-old!AC29)/old!AC29)</f>
        <v>-3.5883325395721379E-3</v>
      </c>
      <c r="AD29" s="2">
        <f>IF(popproj!AD29-old!AD29=0,"",(popproj!AD29-old!AD29)/old!AD29)</f>
        <v>-3.996017824130148E-3</v>
      </c>
      <c r="AE29" s="2">
        <f>IF(popproj!AE29-old!AE29=0,"",(popproj!AE29-old!AE29)/old!AE29)</f>
        <v>-4.4135795193586506E-3</v>
      </c>
      <c r="AF29" s="2">
        <f>IF(popproj!AF29-old!AF29=0,"",(popproj!AF29-old!AF29)/old!AF29)</f>
        <v>-4.8465619533568944E-3</v>
      </c>
      <c r="AG29" s="2">
        <f>IF(popproj!AG29-old!AG29=0,"",(popproj!AG29-old!AG29)/old!AG29)</f>
        <v>-1</v>
      </c>
      <c r="AH29" s="2">
        <f>IF(popproj!AH29-old!AH29=0,"",(popproj!AH29-old!AH29)/old!AH29)</f>
        <v>-1</v>
      </c>
      <c r="AI29" s="2">
        <f>IF(popproj!AI29-old!AI29=0,"",(popproj!AI29-old!AI29)/old!AI29)</f>
        <v>-1</v>
      </c>
      <c r="AJ29" s="2">
        <f>IF(popproj!AJ29-old!AJ29=0,"",(popproj!AJ29-old!AJ29)/old!AJ29)</f>
        <v>-1</v>
      </c>
      <c r="AK29" s="2">
        <f>IF(popproj!AK29-old!AK29=0,"",(popproj!AK29-old!AK29)/old!AK29)</f>
        <v>-1</v>
      </c>
      <c r="AL29" s="2">
        <f>IF(popproj!AL29-old!AL29=0,"",(popproj!AL29-old!AL29)/old!AL29)</f>
        <v>-1</v>
      </c>
      <c r="AM29" s="2">
        <f>IF(popproj!AM29-old!AM29=0,"",(popproj!AM29-old!AM29)/old!AM29)</f>
        <v>-1</v>
      </c>
      <c r="AN29" s="2">
        <f>IF(popproj!AN29-old!AN29=0,"",(popproj!AN29-old!AN29)/old!AN29)</f>
        <v>-1</v>
      </c>
      <c r="AO29" s="2">
        <f>IF(popproj!AO29-old!AO29=0,"",(popproj!AO29-old!AO29)/old!AO29)</f>
        <v>-1</v>
      </c>
      <c r="AP29" s="2">
        <f>IF(popproj!AP29-old!AP29=0,"",(popproj!AP29-old!AP29)/old!AP29)</f>
        <v>-1</v>
      </c>
      <c r="AQ29" s="2">
        <f>IF(popproj!AQ29-old!AQ29=0,"",(popproj!AQ29-old!AQ29)/old!AQ29)</f>
        <v>-1</v>
      </c>
      <c r="AR29" s="2">
        <f>IF(popproj!AR29-old!AR29=0,"",(popproj!AR29-old!AR29)/old!AR29)</f>
        <v>-1</v>
      </c>
      <c r="AS29" s="2">
        <f>IF(popproj!AS29-old!AS29=0,"",(popproj!AS29-old!AS29)/old!AS29)</f>
        <v>-1</v>
      </c>
      <c r="AT29" s="2">
        <f>IF(popproj!AT29-old!AT29=0,"",(popproj!AT29-old!AT29)/old!AT29)</f>
        <v>-1</v>
      </c>
      <c r="AU29" s="2">
        <f>IF(popproj!AU29-old!AU29=0,"",(popproj!AU29-old!AU29)/old!AU29)</f>
        <v>-1</v>
      </c>
      <c r="AV29" s="2">
        <f>IF(popproj!AV29-old!AV29=0,"",(popproj!AV29-old!AV29)/old!AV29)</f>
        <v>-1</v>
      </c>
      <c r="AW29" s="2">
        <f>IF(popproj!AW29-old!AW29=0,"",(popproj!AW29-old!AW29)/old!AW29)</f>
        <v>-1</v>
      </c>
      <c r="AX29" s="2">
        <f>IF(popproj!AX29-old!AX29=0,"",(popproj!AX29-old!AX29)/old!AX29)</f>
        <v>-1</v>
      </c>
      <c r="AY29" s="2">
        <f>IF(popproj!AY29-old!AY29=0,"",(popproj!AY29-old!AY29)/old!AY29)</f>
        <v>-1</v>
      </c>
      <c r="AZ29" s="2">
        <f>IF(popproj!AZ29-old!AZ29=0,"",(popproj!AZ29-old!AZ29)/old!AZ29)</f>
        <v>-1</v>
      </c>
      <c r="BA29" s="2">
        <f>IF(popproj!BA29-old!BA29=0,"",(popproj!BA29-old!BA29)/old!BA29)</f>
        <v>-1</v>
      </c>
      <c r="BB29" s="2">
        <f>IF(popproj!BB29-old!BB29=0,"",(popproj!BB29-old!BB29)/old!BB29)</f>
        <v>-1</v>
      </c>
      <c r="BC29" s="2">
        <f>IF(popproj!BC29-old!BC29=0,"",(popproj!BC29-old!BC29)/old!BC29)</f>
        <v>-1</v>
      </c>
      <c r="BD29" s="2">
        <f>IF(popproj!BD29-old!BD29=0,"",(popproj!BD29-old!BD29)/old!BD29)</f>
        <v>-1</v>
      </c>
      <c r="BE29" s="2">
        <f>IF(popproj!BE29-old!BE29=0,"",(popproj!BE29-old!BE29)/old!BE29)</f>
        <v>-1</v>
      </c>
      <c r="BF29" s="2">
        <f>IF(popproj!BF29-old!BF29=0,"",(popproj!BF29-old!BF29)/old!BF29)</f>
        <v>-1</v>
      </c>
      <c r="BG29" s="2">
        <f>IF(popproj!BG29-old!BG29=0,"",(popproj!BG29-old!BG29)/old!BG29)</f>
        <v>-1</v>
      </c>
      <c r="BH29" s="2">
        <f>IF(popproj!BH29-old!BH29=0,"",(popproj!BH29-old!BH29)/old!BH29)</f>
        <v>-1</v>
      </c>
      <c r="BI29" s="2">
        <f>IF(popproj!BI29-old!BI29=0,"",(popproj!BI29-old!BI29)/old!BI29)</f>
        <v>-1</v>
      </c>
      <c r="BJ29" s="2">
        <f>IF(popproj!BJ29-old!BJ29=0,"",(popproj!BJ29-old!BJ29)/old!BJ29)</f>
        <v>-1</v>
      </c>
      <c r="BK29" s="2">
        <f>IF(popproj!BK29-old!BK29=0,"",(popproj!BK29-old!BK29)/old!BK29)</f>
        <v>-1</v>
      </c>
      <c r="BL29" s="2">
        <f>IF(popproj!BL29-old!BL29=0,"",(popproj!BL29-old!BL29)/old!BL29)</f>
        <v>-1</v>
      </c>
      <c r="BM29" s="2">
        <f>IF(popproj!BM29-old!BM29=0,"",(popproj!BM29-old!BM29)/old!BM29)</f>
        <v>-1</v>
      </c>
      <c r="BN29" s="2">
        <f>IF(popproj!BN29-old!BN29=0,"",(popproj!BN29-old!BN29)/old!BN29)</f>
        <v>-1</v>
      </c>
      <c r="BO29" s="2">
        <f>IF(popproj!BO29-old!BO29=0,"",(popproj!BO29-old!BO29)/old!BO29)</f>
        <v>-1</v>
      </c>
    </row>
    <row r="30" spans="1:67" x14ac:dyDescent="0.2">
      <c r="A30" t="str">
        <f>popproj!A30</f>
        <v>AT_POPAF</v>
      </c>
      <c r="B30" s="2"/>
      <c r="C30" s="2"/>
      <c r="D30" s="2">
        <f>IF(popproj!D30-old!D30=0,"",(popproj!D30-old!D30)/old!D30)</f>
        <v>-1</v>
      </c>
      <c r="E30" s="2">
        <f>IF(popproj!E30-old!E30=0,"",(popproj!E30-old!E30)/old!E30)</f>
        <v>5.6228871320312237E-3</v>
      </c>
      <c r="F30" s="2">
        <f>IF(popproj!F30-old!F30=0,"",(popproj!F30-old!F30)/old!F30)</f>
        <v>1.0427206491458134E-2</v>
      </c>
      <c r="G30" s="2">
        <f>IF(popproj!G30-old!G30=0,"",(popproj!G30-old!G30)/old!G30)</f>
        <v>1.5036454408289664E-2</v>
      </c>
      <c r="H30" s="2">
        <f>IF(popproj!H30-old!H30=0,"",(popproj!H30-old!H30)/old!H30)</f>
        <v>1.835516040168304E-2</v>
      </c>
      <c r="I30" s="2">
        <f>IF(popproj!I30-old!I30=0,"",(popproj!I30-old!I30)/old!I30)</f>
        <v>2.0722565481899519E-2</v>
      </c>
      <c r="J30" s="2">
        <f>IF(popproj!J30-old!J30=0,"",(popproj!J30-old!J30)/old!J30)</f>
        <v>2.2197789685468577E-2</v>
      </c>
      <c r="K30" s="2">
        <f>IF(popproj!K30-old!K30=0,"",(popproj!K30-old!K30)/old!K30)</f>
        <v>2.35663398899701E-2</v>
      </c>
      <c r="L30" s="2">
        <f>IF(popproj!L30-old!L30=0,"",(popproj!L30-old!L30)/old!L30)</f>
        <v>2.4851583519326204E-2</v>
      </c>
      <c r="M30" s="2">
        <f>IF(popproj!M30-old!M30=0,"",(popproj!M30-old!M30)/old!M30)</f>
        <v>2.608234584588354E-2</v>
      </c>
      <c r="N30" s="2">
        <f>IF(popproj!N30-old!N30=0,"",(popproj!N30-old!N30)/old!N30)</f>
        <v>2.7356782920798906E-2</v>
      </c>
      <c r="O30" s="2">
        <f>IF(popproj!O30-old!O30=0,"",(popproj!O30-old!O30)/old!O30)</f>
        <v>2.8646488239394325E-2</v>
      </c>
      <c r="P30" s="2">
        <f>IF(popproj!P30-old!P30=0,"",(popproj!P30-old!P30)/old!P30)</f>
        <v>3.001444530142993E-2</v>
      </c>
      <c r="Q30" s="2">
        <f>IF(popproj!Q30-old!Q30=0,"",(popproj!Q30-old!Q30)/old!Q30)</f>
        <v>3.0931834067613732E-2</v>
      </c>
      <c r="R30" s="2">
        <f>IF(popproj!R30-old!R30=0,"",(popproj!R30-old!R30)/old!R30)</f>
        <v>3.2144077340655726E-2</v>
      </c>
      <c r="S30" s="2">
        <f>IF(popproj!S30-old!S30=0,"",(popproj!S30-old!S30)/old!S30)</f>
        <v>3.3582356171519487E-2</v>
      </c>
      <c r="T30" s="2">
        <f>IF(popproj!T30-old!T30=0,"",(popproj!T30-old!T30)/old!T30)</f>
        <v>3.4284428622219705E-2</v>
      </c>
      <c r="U30" s="2">
        <f>IF(popproj!U30-old!U30=0,"",(popproj!U30-old!U30)/old!U30)</f>
        <v>3.453994316332875E-2</v>
      </c>
      <c r="V30" s="2">
        <f>IF(popproj!V30-old!V30=0,"",(popproj!V30-old!V30)/old!V30)</f>
        <v>3.5510339200616824E-2</v>
      </c>
      <c r="W30" s="2">
        <f>IF(popproj!W30-old!W30=0,"",(popproj!W30-old!W30)/old!W30)</f>
        <v>3.6513733772515669E-2</v>
      </c>
      <c r="X30" s="2">
        <f>IF(popproj!X30-old!X30=0,"",(popproj!X30-old!X30)/old!X30)</f>
        <v>3.7473863328810871E-2</v>
      </c>
      <c r="Y30" s="2">
        <f>IF(popproj!Y30-old!Y30=0,"",(popproj!Y30-old!Y30)/old!Y30)</f>
        <v>3.8395459408302898E-2</v>
      </c>
      <c r="Z30" s="2">
        <f>IF(popproj!Z30-old!Z30=0,"",(popproj!Z30-old!Z30)/old!Z30)</f>
        <v>3.9271136275897567E-2</v>
      </c>
      <c r="AA30" s="2">
        <f>IF(popproj!AA30-old!AA30=0,"",(popproj!AA30-old!AA30)/old!AA30)</f>
        <v>4.0037467512374872E-2</v>
      </c>
      <c r="AB30" s="2">
        <f>IF(popproj!AB30-old!AB30=0,"",(popproj!AB30-old!AB30)/old!AB30)</f>
        <v>4.0684209173126575E-2</v>
      </c>
      <c r="AC30" s="2">
        <f>IF(popproj!AC30-old!AC30=0,"",(popproj!AC30-old!AC30)/old!AC30)</f>
        <v>4.1246965916150513E-2</v>
      </c>
      <c r="AD30" s="2">
        <f>IF(popproj!AD30-old!AD30=0,"",(popproj!AD30-old!AD30)/old!AD30)</f>
        <v>4.1670709866360338E-2</v>
      </c>
      <c r="AE30" s="2">
        <f>IF(popproj!AE30-old!AE30=0,"",(popproj!AE30-old!AE30)/old!AE30)</f>
        <v>4.1993922511427896E-2</v>
      </c>
      <c r="AF30" s="2">
        <f>IF(popproj!AF30-old!AF30=0,"",(popproj!AF30-old!AF30)/old!AF30)</f>
        <v>4.2198515259666461E-2</v>
      </c>
      <c r="AG30" s="2">
        <f>IF(popproj!AG30-old!AG30=0,"",(popproj!AG30-old!AG30)/old!AG30)</f>
        <v>-1</v>
      </c>
      <c r="AH30" s="2">
        <f>IF(popproj!AH30-old!AH30=0,"",(popproj!AH30-old!AH30)/old!AH30)</f>
        <v>-1</v>
      </c>
      <c r="AI30" s="2">
        <f>IF(popproj!AI30-old!AI30=0,"",(popproj!AI30-old!AI30)/old!AI30)</f>
        <v>-1</v>
      </c>
      <c r="AJ30" s="2">
        <f>IF(popproj!AJ30-old!AJ30=0,"",(popproj!AJ30-old!AJ30)/old!AJ30)</f>
        <v>-1</v>
      </c>
      <c r="AK30" s="2">
        <f>IF(popproj!AK30-old!AK30=0,"",(popproj!AK30-old!AK30)/old!AK30)</f>
        <v>-1</v>
      </c>
      <c r="AL30" s="2">
        <f>IF(popproj!AL30-old!AL30=0,"",(popproj!AL30-old!AL30)/old!AL30)</f>
        <v>-1</v>
      </c>
      <c r="AM30" s="2">
        <f>IF(popproj!AM30-old!AM30=0,"",(popproj!AM30-old!AM30)/old!AM30)</f>
        <v>-1</v>
      </c>
      <c r="AN30" s="2">
        <f>IF(popproj!AN30-old!AN30=0,"",(popproj!AN30-old!AN30)/old!AN30)</f>
        <v>-1</v>
      </c>
      <c r="AO30" s="2">
        <f>IF(popproj!AO30-old!AO30=0,"",(popproj!AO30-old!AO30)/old!AO30)</f>
        <v>-1</v>
      </c>
      <c r="AP30" s="2">
        <f>IF(popproj!AP30-old!AP30=0,"",(popproj!AP30-old!AP30)/old!AP30)</f>
        <v>-1</v>
      </c>
      <c r="AQ30" s="2">
        <f>IF(popproj!AQ30-old!AQ30=0,"",(popproj!AQ30-old!AQ30)/old!AQ30)</f>
        <v>-1</v>
      </c>
      <c r="AR30" s="2">
        <f>IF(popproj!AR30-old!AR30=0,"",(popproj!AR30-old!AR30)/old!AR30)</f>
        <v>-1</v>
      </c>
      <c r="AS30" s="2">
        <f>IF(popproj!AS30-old!AS30=0,"",(popproj!AS30-old!AS30)/old!AS30)</f>
        <v>-1</v>
      </c>
      <c r="AT30" s="2">
        <f>IF(popproj!AT30-old!AT30=0,"",(popproj!AT30-old!AT30)/old!AT30)</f>
        <v>-1</v>
      </c>
      <c r="AU30" s="2">
        <f>IF(popproj!AU30-old!AU30=0,"",(popproj!AU30-old!AU30)/old!AU30)</f>
        <v>-1</v>
      </c>
      <c r="AV30" s="2">
        <f>IF(popproj!AV30-old!AV30=0,"",(popproj!AV30-old!AV30)/old!AV30)</f>
        <v>-1</v>
      </c>
      <c r="AW30" s="2">
        <f>IF(popproj!AW30-old!AW30=0,"",(popproj!AW30-old!AW30)/old!AW30)</f>
        <v>-1</v>
      </c>
      <c r="AX30" s="2">
        <f>IF(popproj!AX30-old!AX30=0,"",(popproj!AX30-old!AX30)/old!AX30)</f>
        <v>-1</v>
      </c>
      <c r="AY30" s="2">
        <f>IF(popproj!AY30-old!AY30=0,"",(popproj!AY30-old!AY30)/old!AY30)</f>
        <v>-1</v>
      </c>
      <c r="AZ30" s="2">
        <f>IF(popproj!AZ30-old!AZ30=0,"",(popproj!AZ30-old!AZ30)/old!AZ30)</f>
        <v>-1</v>
      </c>
      <c r="BA30" s="2">
        <f>IF(popproj!BA30-old!BA30=0,"",(popproj!BA30-old!BA30)/old!BA30)</f>
        <v>-1</v>
      </c>
      <c r="BB30" s="2">
        <f>IF(popproj!BB30-old!BB30=0,"",(popproj!BB30-old!BB30)/old!BB30)</f>
        <v>-1</v>
      </c>
      <c r="BC30" s="2">
        <f>IF(popproj!BC30-old!BC30=0,"",(popproj!BC30-old!BC30)/old!BC30)</f>
        <v>-1</v>
      </c>
      <c r="BD30" s="2">
        <f>IF(popproj!BD30-old!BD30=0,"",(popproj!BD30-old!BD30)/old!BD30)</f>
        <v>-1</v>
      </c>
      <c r="BE30" s="2">
        <f>IF(popproj!BE30-old!BE30=0,"",(popproj!BE30-old!BE30)/old!BE30)</f>
        <v>-1</v>
      </c>
      <c r="BF30" s="2">
        <f>IF(popproj!BF30-old!BF30=0,"",(popproj!BF30-old!BF30)/old!BF30)</f>
        <v>-1</v>
      </c>
      <c r="BG30" s="2">
        <f>IF(popproj!BG30-old!BG30=0,"",(popproj!BG30-old!BG30)/old!BG30)</f>
        <v>-1</v>
      </c>
      <c r="BH30" s="2">
        <f>IF(popproj!BH30-old!BH30=0,"",(popproj!BH30-old!BH30)/old!BH30)</f>
        <v>-1</v>
      </c>
      <c r="BI30" s="2">
        <f>IF(popproj!BI30-old!BI30=0,"",(popproj!BI30-old!BI30)/old!BI30)</f>
        <v>-1</v>
      </c>
      <c r="BJ30" s="2">
        <f>IF(popproj!BJ30-old!BJ30=0,"",(popproj!BJ30-old!BJ30)/old!BJ30)</f>
        <v>-1</v>
      </c>
      <c r="BK30" s="2">
        <f>IF(popproj!BK30-old!BK30=0,"",(popproj!BK30-old!BK30)/old!BK30)</f>
        <v>-1</v>
      </c>
      <c r="BL30" s="2">
        <f>IF(popproj!BL30-old!BL30=0,"",(popproj!BL30-old!BL30)/old!BL30)</f>
        <v>-1</v>
      </c>
      <c r="BM30" s="2">
        <f>IF(popproj!BM30-old!BM30=0,"",(popproj!BM30-old!BM30)/old!BM30)</f>
        <v>-1</v>
      </c>
      <c r="BN30" s="2">
        <f>IF(popproj!BN30-old!BN30=0,"",(popproj!BN30-old!BN30)/old!BN30)</f>
        <v>-1</v>
      </c>
      <c r="BO30" s="2">
        <f>IF(popproj!BO30-old!BO30=0,"",(popproj!BO30-old!BO30)/old!BO30)</f>
        <v>-1</v>
      </c>
    </row>
    <row r="31" spans="1:67" x14ac:dyDescent="0.2">
      <c r="A31" t="str">
        <f>popproj!A31</f>
        <v>BE_POPAF</v>
      </c>
      <c r="B31" s="2"/>
      <c r="C31" s="2"/>
      <c r="D31" s="2">
        <f>IF(popproj!D31-old!D31=0,"",(popproj!D31-old!D31)/old!D31)</f>
        <v>-1</v>
      </c>
      <c r="E31" s="2">
        <f>IF(popproj!E31-old!E31=0,"",(popproj!E31-old!E31)/old!E31)</f>
        <v>1.4758445247616276E-3</v>
      </c>
      <c r="F31" s="2">
        <f>IF(popproj!F31-old!F31=0,"",(popproj!F31-old!F31)/old!F31)</f>
        <v>4.1822493331842249E-3</v>
      </c>
      <c r="G31" s="2">
        <f>IF(popproj!G31-old!G31=0,"",(popproj!G31-old!G31)/old!G31)</f>
        <v>7.2998131183128669E-3</v>
      </c>
      <c r="H31" s="2">
        <f>IF(popproj!H31-old!H31=0,"",(popproj!H31-old!H31)/old!H31)</f>
        <v>8.284384366828634E-3</v>
      </c>
      <c r="I31" s="2">
        <f>IF(popproj!I31-old!I31=0,"",(popproj!I31-old!I31)/old!I31)</f>
        <v>8.8696361236418504E-3</v>
      </c>
      <c r="J31" s="2">
        <f>IF(popproj!J31-old!J31=0,"",(popproj!J31-old!J31)/old!J31)</f>
        <v>9.0832945409071494E-3</v>
      </c>
      <c r="K31" s="2">
        <f>IF(popproj!K31-old!K31=0,"",(popproj!K31-old!K31)/old!K31)</f>
        <v>9.1326611472607976E-3</v>
      </c>
      <c r="L31" s="2">
        <f>IF(popproj!L31-old!L31=0,"",(popproj!L31-old!L31)/old!L31)</f>
        <v>9.17182727745533E-3</v>
      </c>
      <c r="M31" s="2">
        <f>IF(popproj!M31-old!M31=0,"",(popproj!M31-old!M31)/old!M31)</f>
        <v>9.206057075198372E-3</v>
      </c>
      <c r="N31" s="2">
        <f>IF(popproj!N31-old!N31=0,"",(popproj!N31-old!N31)/old!N31)</f>
        <v>9.2623133017359447E-3</v>
      </c>
      <c r="O31" s="2">
        <f>IF(popproj!O31-old!O31=0,"",(popproj!O31-old!O31)/old!O31)</f>
        <v>9.3355267312533671E-3</v>
      </c>
      <c r="P31" s="2">
        <f>IF(popproj!P31-old!P31=0,"",(popproj!P31-old!P31)/old!P31)</f>
        <v>9.4567882879574676E-3</v>
      </c>
      <c r="Q31" s="2">
        <f>IF(popproj!Q31-old!Q31=0,"",(popproj!Q31-old!Q31)/old!Q31)</f>
        <v>9.3322029579201628E-3</v>
      </c>
      <c r="R31" s="2">
        <f>IF(popproj!R31-old!R31=0,"",(popproj!R31-old!R31)/old!R31)</f>
        <v>9.4779452037916708E-3</v>
      </c>
      <c r="S31" s="2">
        <f>IF(popproj!S31-old!S31=0,"",(popproj!S31-old!S31)/old!S31)</f>
        <v>9.6041125368471151E-3</v>
      </c>
      <c r="T31" s="2">
        <f>IF(popproj!T31-old!T31=0,"",(popproj!T31-old!T31)/old!T31)</f>
        <v>9.6053226651622876E-3</v>
      </c>
      <c r="U31" s="2">
        <f>IF(popproj!U31-old!U31=0,"",(popproj!U31-old!U31)/old!U31)</f>
        <v>9.2774981248708623E-3</v>
      </c>
      <c r="V31" s="2">
        <f>IF(popproj!V31-old!V31=0,"",(popproj!V31-old!V31)/old!V31)</f>
        <v>9.2585339395848624E-3</v>
      </c>
      <c r="W31" s="2">
        <f>IF(popproj!W31-old!W31=0,"",(popproj!W31-old!W31)/old!W31)</f>
        <v>9.2161968905994842E-3</v>
      </c>
      <c r="X31" s="2">
        <f>IF(popproj!X31-old!X31=0,"",(popproj!X31-old!X31)/old!X31)</f>
        <v>9.1889501588137169E-3</v>
      </c>
      <c r="Y31" s="2">
        <f>IF(popproj!Y31-old!Y31=0,"",(popproj!Y31-old!Y31)/old!Y31)</f>
        <v>9.1471236050363405E-3</v>
      </c>
      <c r="Z31" s="2">
        <f>IF(popproj!Z31-old!Z31=0,"",(popproj!Z31-old!Z31)/old!Z31)</f>
        <v>9.1102913384806649E-3</v>
      </c>
      <c r="AA31" s="2">
        <f>IF(popproj!AA31-old!AA31=0,"",(popproj!AA31-old!AA31)/old!AA31)</f>
        <v>9.02471721684916E-3</v>
      </c>
      <c r="AB31" s="2">
        <f>IF(popproj!AB31-old!AB31=0,"",(popproj!AB31-old!AB31)/old!AB31)</f>
        <v>8.9095456324552787E-3</v>
      </c>
      <c r="AC31" s="2">
        <f>IF(popproj!AC31-old!AC31=0,"",(popproj!AC31-old!AC31)/old!AC31)</f>
        <v>8.7918628508202486E-3</v>
      </c>
      <c r="AD31" s="2">
        <f>IF(popproj!AD31-old!AD31=0,"",(popproj!AD31-old!AD31)/old!AD31)</f>
        <v>8.6819498530179336E-3</v>
      </c>
      <c r="AE31" s="2">
        <f>IF(popproj!AE31-old!AE31=0,"",(popproj!AE31-old!AE31)/old!AE31)</f>
        <v>8.5712558255798058E-3</v>
      </c>
      <c r="AF31" s="2">
        <f>IF(popproj!AF31-old!AF31=0,"",(popproj!AF31-old!AF31)/old!AF31)</f>
        <v>8.423876096868262E-3</v>
      </c>
      <c r="AG31" s="2">
        <f>IF(popproj!AG31-old!AG31=0,"",(popproj!AG31-old!AG31)/old!AG31)</f>
        <v>-1</v>
      </c>
      <c r="AH31" s="2">
        <f>IF(popproj!AH31-old!AH31=0,"",(popproj!AH31-old!AH31)/old!AH31)</f>
        <v>-1</v>
      </c>
      <c r="AI31" s="2">
        <f>IF(popproj!AI31-old!AI31=0,"",(popproj!AI31-old!AI31)/old!AI31)</f>
        <v>-1</v>
      </c>
      <c r="AJ31" s="2">
        <f>IF(popproj!AJ31-old!AJ31=0,"",(popproj!AJ31-old!AJ31)/old!AJ31)</f>
        <v>-1</v>
      </c>
      <c r="AK31" s="2">
        <f>IF(popproj!AK31-old!AK31=0,"",(popproj!AK31-old!AK31)/old!AK31)</f>
        <v>-1</v>
      </c>
      <c r="AL31" s="2">
        <f>IF(popproj!AL31-old!AL31=0,"",(popproj!AL31-old!AL31)/old!AL31)</f>
        <v>-1</v>
      </c>
      <c r="AM31" s="2">
        <f>IF(popproj!AM31-old!AM31=0,"",(popproj!AM31-old!AM31)/old!AM31)</f>
        <v>-1</v>
      </c>
      <c r="AN31" s="2">
        <f>IF(popproj!AN31-old!AN31=0,"",(popproj!AN31-old!AN31)/old!AN31)</f>
        <v>-1</v>
      </c>
      <c r="AO31" s="2">
        <f>IF(popproj!AO31-old!AO31=0,"",(popproj!AO31-old!AO31)/old!AO31)</f>
        <v>-1</v>
      </c>
      <c r="AP31" s="2">
        <f>IF(popproj!AP31-old!AP31=0,"",(popproj!AP31-old!AP31)/old!AP31)</f>
        <v>-1</v>
      </c>
      <c r="AQ31" s="2">
        <f>IF(popproj!AQ31-old!AQ31=0,"",(popproj!AQ31-old!AQ31)/old!AQ31)</f>
        <v>-1</v>
      </c>
      <c r="AR31" s="2">
        <f>IF(popproj!AR31-old!AR31=0,"",(popproj!AR31-old!AR31)/old!AR31)</f>
        <v>-1</v>
      </c>
      <c r="AS31" s="2">
        <f>IF(popproj!AS31-old!AS31=0,"",(popproj!AS31-old!AS31)/old!AS31)</f>
        <v>-1</v>
      </c>
      <c r="AT31" s="2">
        <f>IF(popproj!AT31-old!AT31=0,"",(popproj!AT31-old!AT31)/old!AT31)</f>
        <v>-1</v>
      </c>
      <c r="AU31" s="2">
        <f>IF(popproj!AU31-old!AU31=0,"",(popproj!AU31-old!AU31)/old!AU31)</f>
        <v>-1</v>
      </c>
      <c r="AV31" s="2">
        <f>IF(popproj!AV31-old!AV31=0,"",(popproj!AV31-old!AV31)/old!AV31)</f>
        <v>-1</v>
      </c>
      <c r="AW31" s="2">
        <f>IF(popproj!AW31-old!AW31=0,"",(popproj!AW31-old!AW31)/old!AW31)</f>
        <v>-1</v>
      </c>
      <c r="AX31" s="2">
        <f>IF(popproj!AX31-old!AX31=0,"",(popproj!AX31-old!AX31)/old!AX31)</f>
        <v>-1</v>
      </c>
      <c r="AY31" s="2">
        <f>IF(popproj!AY31-old!AY31=0,"",(popproj!AY31-old!AY31)/old!AY31)</f>
        <v>-1</v>
      </c>
      <c r="AZ31" s="2">
        <f>IF(popproj!AZ31-old!AZ31=0,"",(popproj!AZ31-old!AZ31)/old!AZ31)</f>
        <v>-1</v>
      </c>
      <c r="BA31" s="2">
        <f>IF(popproj!BA31-old!BA31=0,"",(popproj!BA31-old!BA31)/old!BA31)</f>
        <v>-1</v>
      </c>
      <c r="BB31" s="2">
        <f>IF(popproj!BB31-old!BB31=0,"",(popproj!BB31-old!BB31)/old!BB31)</f>
        <v>-1</v>
      </c>
      <c r="BC31" s="2">
        <f>IF(popproj!BC31-old!BC31=0,"",(popproj!BC31-old!BC31)/old!BC31)</f>
        <v>-1</v>
      </c>
      <c r="BD31" s="2">
        <f>IF(popproj!BD31-old!BD31=0,"",(popproj!BD31-old!BD31)/old!BD31)</f>
        <v>-1</v>
      </c>
      <c r="BE31" s="2">
        <f>IF(popproj!BE31-old!BE31=0,"",(popproj!BE31-old!BE31)/old!BE31)</f>
        <v>-1</v>
      </c>
      <c r="BF31" s="2">
        <f>IF(popproj!BF31-old!BF31=0,"",(popproj!BF31-old!BF31)/old!BF31)</f>
        <v>-1</v>
      </c>
      <c r="BG31" s="2">
        <f>IF(popproj!BG31-old!BG31=0,"",(popproj!BG31-old!BG31)/old!BG31)</f>
        <v>-1</v>
      </c>
      <c r="BH31" s="2">
        <f>IF(popproj!BH31-old!BH31=0,"",(popproj!BH31-old!BH31)/old!BH31)</f>
        <v>-1</v>
      </c>
      <c r="BI31" s="2">
        <f>IF(popproj!BI31-old!BI31=0,"",(popproj!BI31-old!BI31)/old!BI31)</f>
        <v>-1</v>
      </c>
      <c r="BJ31" s="2">
        <f>IF(popproj!BJ31-old!BJ31=0,"",(popproj!BJ31-old!BJ31)/old!BJ31)</f>
        <v>-1</v>
      </c>
      <c r="BK31" s="2">
        <f>IF(popproj!BK31-old!BK31=0,"",(popproj!BK31-old!BK31)/old!BK31)</f>
        <v>-1</v>
      </c>
      <c r="BL31" s="2">
        <f>IF(popproj!BL31-old!BL31=0,"",(popproj!BL31-old!BL31)/old!BL31)</f>
        <v>-1</v>
      </c>
      <c r="BM31" s="2">
        <f>IF(popproj!BM31-old!BM31=0,"",(popproj!BM31-old!BM31)/old!BM31)</f>
        <v>-1</v>
      </c>
      <c r="BN31" s="2">
        <f>IF(popproj!BN31-old!BN31=0,"",(popproj!BN31-old!BN31)/old!BN31)</f>
        <v>-1</v>
      </c>
      <c r="BO31" s="2">
        <f>IF(popproj!BO31-old!BO31=0,"",(popproj!BO31-old!BO31)/old!BO31)</f>
        <v>-1</v>
      </c>
    </row>
    <row r="32" spans="1:67" x14ac:dyDescent="0.2">
      <c r="A32" t="str">
        <f>popproj!A32</f>
        <v>BG_POPAF</v>
      </c>
      <c r="B32" s="2"/>
      <c r="C32" s="2"/>
      <c r="D32" s="2">
        <f>IF(popproj!D32-old!D32=0,"",(popproj!D32-old!D32)/old!D32)</f>
        <v>-1</v>
      </c>
      <c r="E32" s="2">
        <f>IF(popproj!E32-old!E32=0,"",(popproj!E32-old!E32)/old!E32)</f>
        <v>-5.9881781824012298E-2</v>
      </c>
      <c r="F32" s="2">
        <f>IF(popproj!F32-old!F32=0,"",(popproj!F32-old!F32)/old!F32)</f>
        <v>-6.496209421913024E-2</v>
      </c>
      <c r="G32" s="2">
        <f>IF(popproj!G32-old!G32=0,"",(popproj!G32-old!G32)/old!G32)</f>
        <v>-5.8401738281392765E-2</v>
      </c>
      <c r="H32" s="2">
        <f>IF(popproj!H32-old!H32=0,"",(popproj!H32-old!H32)/old!H32)</f>
        <v>-5.6799176111910689E-2</v>
      </c>
      <c r="I32" s="2">
        <f>IF(popproj!I32-old!I32=0,"",(popproj!I32-old!I32)/old!I32)</f>
        <v>-5.613352333616952E-2</v>
      </c>
      <c r="J32" s="2">
        <f>IF(popproj!J32-old!J32=0,"",(popproj!J32-old!J32)/old!J32)</f>
        <v>-5.5827036375042487E-2</v>
      </c>
      <c r="K32" s="2">
        <f>IF(popproj!K32-old!K32=0,"",(popproj!K32-old!K32)/old!K32)</f>
        <v>-5.5307531601148159E-2</v>
      </c>
      <c r="L32" s="2">
        <f>IF(popproj!L32-old!L32=0,"",(popproj!L32-old!L32)/old!L32)</f>
        <v>-5.4852406620727934E-2</v>
      </c>
      <c r="M32" s="2">
        <f>IF(popproj!M32-old!M32=0,"",(popproj!M32-old!M32)/old!M32)</f>
        <v>-5.4599090279769398E-2</v>
      </c>
      <c r="N32" s="2">
        <f>IF(popproj!N32-old!N32=0,"",(popproj!N32-old!N32)/old!N32)</f>
        <v>-5.420201319357193E-2</v>
      </c>
      <c r="O32" s="2">
        <f>IF(popproj!O32-old!O32=0,"",(popproj!O32-old!O32)/old!O32)</f>
        <v>-5.3823911315950185E-2</v>
      </c>
      <c r="P32" s="2">
        <f>IF(popproj!P32-old!P32=0,"",(popproj!P32-old!P32)/old!P32)</f>
        <v>-5.3438904043645701E-2</v>
      </c>
      <c r="Q32" s="2">
        <f>IF(popproj!Q32-old!Q32=0,"",(popproj!Q32-old!Q32)/old!Q32)</f>
        <v>-5.4093303894227979E-2</v>
      </c>
      <c r="R32" s="2">
        <f>IF(popproj!R32-old!R32=0,"",(popproj!R32-old!R32)/old!R32)</f>
        <v>-5.4250253605460527E-2</v>
      </c>
      <c r="S32" s="2">
        <f>IF(popproj!S32-old!S32=0,"",(popproj!S32-old!S32)/old!S32)</f>
        <v>-5.4357845430051212E-2</v>
      </c>
      <c r="T32" s="2">
        <f>IF(popproj!T32-old!T32=0,"",(popproj!T32-old!T32)/old!T32)</f>
        <v>-5.4145474887917204E-2</v>
      </c>
      <c r="U32" s="2">
        <f>IF(popproj!U32-old!U32=0,"",(popproj!U32-old!U32)/old!U32)</f>
        <v>-5.3575557118106021E-2</v>
      </c>
      <c r="V32" s="2">
        <f>IF(popproj!V32-old!V32=0,"",(popproj!V32-old!V32)/old!V32)</f>
        <v>-5.4157215045515419E-2</v>
      </c>
      <c r="W32" s="2">
        <f>IF(popproj!W32-old!W32=0,"",(popproj!W32-old!W32)/old!W32)</f>
        <v>-5.462260316299318E-2</v>
      </c>
      <c r="X32" s="2">
        <f>IF(popproj!X32-old!X32=0,"",(popproj!X32-old!X32)/old!X32)</f>
        <v>-5.4922645598626862E-2</v>
      </c>
      <c r="Y32" s="2">
        <f>IF(popproj!Y32-old!Y32=0,"",(popproj!Y32-old!Y32)/old!Y32)</f>
        <v>-5.5169544814315831E-2</v>
      </c>
      <c r="Z32" s="2">
        <f>IF(popproj!Z32-old!Z32=0,"",(popproj!Z32-old!Z32)/old!Z32)</f>
        <v>-5.5390537526950376E-2</v>
      </c>
      <c r="AA32" s="2">
        <f>IF(popproj!AA32-old!AA32=0,"",(popproj!AA32-old!AA32)/old!AA32)</f>
        <v>-5.5518332890688853E-2</v>
      </c>
      <c r="AB32" s="2">
        <f>IF(popproj!AB32-old!AB32=0,"",(popproj!AB32-old!AB32)/old!AB32)</f>
        <v>-5.5640030710331814E-2</v>
      </c>
      <c r="AC32" s="2">
        <f>IF(popproj!AC32-old!AC32=0,"",(popproj!AC32-old!AC32)/old!AC32)</f>
        <v>-5.5574675129266261E-2</v>
      </c>
      <c r="AD32" s="2">
        <f>IF(popproj!AD32-old!AD32=0,"",(popproj!AD32-old!AD32)/old!AD32)</f>
        <v>-5.5362146955051435E-2</v>
      </c>
      <c r="AE32" s="2">
        <f>IF(popproj!AE32-old!AE32=0,"",(popproj!AE32-old!AE32)/old!AE32)</f>
        <v>-5.5130408583242065E-2</v>
      </c>
      <c r="AF32" s="2">
        <f>IF(popproj!AF32-old!AF32=0,"",(popproj!AF32-old!AF32)/old!AF32)</f>
        <v>-5.4799941455510856E-2</v>
      </c>
      <c r="AG32" s="2">
        <f>IF(popproj!AG32-old!AG32=0,"",(popproj!AG32-old!AG32)/old!AG32)</f>
        <v>-1</v>
      </c>
      <c r="AH32" s="2">
        <f>IF(popproj!AH32-old!AH32=0,"",(popproj!AH32-old!AH32)/old!AH32)</f>
        <v>-1</v>
      </c>
      <c r="AI32" s="2">
        <f>IF(popproj!AI32-old!AI32=0,"",(popproj!AI32-old!AI32)/old!AI32)</f>
        <v>-1</v>
      </c>
      <c r="AJ32" s="2">
        <f>IF(popproj!AJ32-old!AJ32=0,"",(popproj!AJ32-old!AJ32)/old!AJ32)</f>
        <v>-1</v>
      </c>
      <c r="AK32" s="2">
        <f>IF(popproj!AK32-old!AK32=0,"",(popproj!AK32-old!AK32)/old!AK32)</f>
        <v>-1</v>
      </c>
      <c r="AL32" s="2">
        <f>IF(popproj!AL32-old!AL32=0,"",(popproj!AL32-old!AL32)/old!AL32)</f>
        <v>-1</v>
      </c>
      <c r="AM32" s="2">
        <f>IF(popproj!AM32-old!AM32=0,"",(popproj!AM32-old!AM32)/old!AM32)</f>
        <v>-1</v>
      </c>
      <c r="AN32" s="2">
        <f>IF(popproj!AN32-old!AN32=0,"",(popproj!AN32-old!AN32)/old!AN32)</f>
        <v>-1</v>
      </c>
      <c r="AO32" s="2">
        <f>IF(popproj!AO32-old!AO32=0,"",(popproj!AO32-old!AO32)/old!AO32)</f>
        <v>-1</v>
      </c>
      <c r="AP32" s="2">
        <f>IF(popproj!AP32-old!AP32=0,"",(popproj!AP32-old!AP32)/old!AP32)</f>
        <v>-1</v>
      </c>
      <c r="AQ32" s="2">
        <f>IF(popproj!AQ32-old!AQ32=0,"",(popproj!AQ32-old!AQ32)/old!AQ32)</f>
        <v>-1</v>
      </c>
      <c r="AR32" s="2">
        <f>IF(popproj!AR32-old!AR32=0,"",(popproj!AR32-old!AR32)/old!AR32)</f>
        <v>-1</v>
      </c>
      <c r="AS32" s="2">
        <f>IF(popproj!AS32-old!AS32=0,"",(popproj!AS32-old!AS32)/old!AS32)</f>
        <v>-1</v>
      </c>
      <c r="AT32" s="2">
        <f>IF(popproj!AT32-old!AT32=0,"",(popproj!AT32-old!AT32)/old!AT32)</f>
        <v>-1</v>
      </c>
      <c r="AU32" s="2">
        <f>IF(popproj!AU32-old!AU32=0,"",(popproj!AU32-old!AU32)/old!AU32)</f>
        <v>-1</v>
      </c>
      <c r="AV32" s="2">
        <f>IF(popproj!AV32-old!AV32=0,"",(popproj!AV32-old!AV32)/old!AV32)</f>
        <v>-1</v>
      </c>
      <c r="AW32" s="2">
        <f>IF(popproj!AW32-old!AW32=0,"",(popproj!AW32-old!AW32)/old!AW32)</f>
        <v>-1</v>
      </c>
      <c r="AX32" s="2">
        <f>IF(popproj!AX32-old!AX32=0,"",(popproj!AX32-old!AX32)/old!AX32)</f>
        <v>-1</v>
      </c>
      <c r="AY32" s="2">
        <f>IF(popproj!AY32-old!AY32=0,"",(popproj!AY32-old!AY32)/old!AY32)</f>
        <v>-1</v>
      </c>
      <c r="AZ32" s="2">
        <f>IF(popproj!AZ32-old!AZ32=0,"",(popproj!AZ32-old!AZ32)/old!AZ32)</f>
        <v>-1</v>
      </c>
      <c r="BA32" s="2">
        <f>IF(popproj!BA32-old!BA32=0,"",(popproj!BA32-old!BA32)/old!BA32)</f>
        <v>-1</v>
      </c>
      <c r="BB32" s="2">
        <f>IF(popproj!BB32-old!BB32=0,"",(popproj!BB32-old!BB32)/old!BB32)</f>
        <v>-1</v>
      </c>
      <c r="BC32" s="2">
        <f>IF(popproj!BC32-old!BC32=0,"",(popproj!BC32-old!BC32)/old!BC32)</f>
        <v>-1</v>
      </c>
      <c r="BD32" s="2">
        <f>IF(popproj!BD32-old!BD32=0,"",(popproj!BD32-old!BD32)/old!BD32)</f>
        <v>-1</v>
      </c>
      <c r="BE32" s="2">
        <f>IF(popproj!BE32-old!BE32=0,"",(popproj!BE32-old!BE32)/old!BE32)</f>
        <v>-1</v>
      </c>
      <c r="BF32" s="2">
        <f>IF(popproj!BF32-old!BF32=0,"",(popproj!BF32-old!BF32)/old!BF32)</f>
        <v>-1</v>
      </c>
      <c r="BG32" s="2">
        <f>IF(popproj!BG32-old!BG32=0,"",(popproj!BG32-old!BG32)/old!BG32)</f>
        <v>-1</v>
      </c>
      <c r="BH32" s="2">
        <f>IF(popproj!BH32-old!BH32=0,"",(popproj!BH32-old!BH32)/old!BH32)</f>
        <v>-1</v>
      </c>
      <c r="BI32" s="2">
        <f>IF(popproj!BI32-old!BI32=0,"",(popproj!BI32-old!BI32)/old!BI32)</f>
        <v>-1</v>
      </c>
      <c r="BJ32" s="2">
        <f>IF(popproj!BJ32-old!BJ32=0,"",(popproj!BJ32-old!BJ32)/old!BJ32)</f>
        <v>-1</v>
      </c>
      <c r="BK32" s="2">
        <f>IF(popproj!BK32-old!BK32=0,"",(popproj!BK32-old!BK32)/old!BK32)</f>
        <v>-1</v>
      </c>
      <c r="BL32" s="2">
        <f>IF(popproj!BL32-old!BL32=0,"",(popproj!BL32-old!BL32)/old!BL32)</f>
        <v>-1</v>
      </c>
      <c r="BM32" s="2">
        <f>IF(popproj!BM32-old!BM32=0,"",(popproj!BM32-old!BM32)/old!BM32)</f>
        <v>-1</v>
      </c>
      <c r="BN32" s="2">
        <f>IF(popproj!BN32-old!BN32=0,"",(popproj!BN32-old!BN32)/old!BN32)</f>
        <v>-1</v>
      </c>
      <c r="BO32" s="2">
        <f>IF(popproj!BO32-old!BO32=0,"",(popproj!BO32-old!BO32)/old!BO32)</f>
        <v>-1</v>
      </c>
    </row>
    <row r="33" spans="1:67" x14ac:dyDescent="0.2">
      <c r="A33" t="str">
        <f>popproj!A33</f>
        <v>CY_POPAF</v>
      </c>
      <c r="B33" s="2"/>
      <c r="C33" s="2"/>
      <c r="D33" s="2">
        <f>IF(popproj!D33-old!D33=0,"",(popproj!D33-old!D33)/old!D33)</f>
        <v>-1</v>
      </c>
      <c r="E33" s="2">
        <f>IF(popproj!E33-old!E33=0,"",(popproj!E33-old!E33)/old!E33)</f>
        <v>-4.4602894677115363E-3</v>
      </c>
      <c r="F33" s="2">
        <f>IF(popproj!F33-old!F33=0,"",(popproj!F33-old!F33)/old!F33)</f>
        <v>-1.6891065213774049E-3</v>
      </c>
      <c r="G33" s="2">
        <f>IF(popproj!G33-old!G33=0,"",(popproj!G33-old!G33)/old!G33)</f>
        <v>1.631275919664885E-3</v>
      </c>
      <c r="H33" s="2">
        <f>IF(popproj!H33-old!H33=0,"",(popproj!H33-old!H33)/old!H33)</f>
        <v>7.5006146336991508E-5</v>
      </c>
      <c r="I33" s="2">
        <f>IF(popproj!I33-old!I33=0,"",(popproj!I33-old!I33)/old!I33)</f>
        <v>-6.186239085657219E-4</v>
      </c>
      <c r="J33" s="2">
        <f>IF(popproj!J33-old!J33=0,"",(popproj!J33-old!J33)/old!J33)</f>
        <v>-3.9767822427666213E-4</v>
      </c>
      <c r="K33" s="2">
        <f>IF(popproj!K33-old!K33=0,"",(popproj!K33-old!K33)/old!K33)</f>
        <v>-1.1081391434915525E-4</v>
      </c>
      <c r="L33" s="2">
        <f>IF(popproj!L33-old!L33=0,"",(popproj!L33-old!L33)/old!L33)</f>
        <v>3.5028257974120626E-4</v>
      </c>
      <c r="M33" s="2">
        <f>IF(popproj!M33-old!M33=0,"",(popproj!M33-old!M33)/old!M33)</f>
        <v>9.925221690969847E-4</v>
      </c>
      <c r="N33" s="2">
        <f>IF(popproj!N33-old!N33=0,"",(popproj!N33-old!N33)/old!N33)</f>
        <v>1.6928061965288477E-3</v>
      </c>
      <c r="O33" s="2">
        <f>IF(popproj!O33-old!O33=0,"",(popproj!O33-old!O33)/old!O33)</f>
        <v>2.4708114621276125E-3</v>
      </c>
      <c r="P33" s="2">
        <f>IF(popproj!P33-old!P33=0,"",(popproj!P33-old!P33)/old!P33)</f>
        <v>3.2745295116625656E-3</v>
      </c>
      <c r="Q33" s="2">
        <f>IF(popproj!Q33-old!Q33=0,"",(popproj!Q33-old!Q33)/old!Q33)</f>
        <v>3.4979098532320297E-3</v>
      </c>
      <c r="R33" s="2">
        <f>IF(popproj!R33-old!R33=0,"",(popproj!R33-old!R33)/old!R33)</f>
        <v>4.5307560092168837E-3</v>
      </c>
      <c r="S33" s="2">
        <f>IF(popproj!S33-old!S33=0,"",(popproj!S33-old!S33)/old!S33)</f>
        <v>5.3911159623911756E-3</v>
      </c>
      <c r="T33" s="2">
        <f>IF(popproj!T33-old!T33=0,"",(popproj!T33-old!T33)/old!T33)</f>
        <v>5.9078377313903111E-3</v>
      </c>
      <c r="U33" s="2">
        <f>IF(popproj!U33-old!U33=0,"",(popproj!U33-old!U33)/old!U33)</f>
        <v>6.5790112210617098E-3</v>
      </c>
      <c r="V33" s="2">
        <f>IF(popproj!V33-old!V33=0,"",(popproj!V33-old!V33)/old!V33)</f>
        <v>7.2346966070381677E-3</v>
      </c>
      <c r="W33" s="2">
        <f>IF(popproj!W33-old!W33=0,"",(popproj!W33-old!W33)/old!W33)</f>
        <v>7.623902263345984E-3</v>
      </c>
      <c r="X33" s="2">
        <f>IF(popproj!X33-old!X33=0,"",(popproj!X33-old!X33)/old!X33)</f>
        <v>7.8823762304965177E-3</v>
      </c>
      <c r="Y33" s="2">
        <f>IF(popproj!Y33-old!Y33=0,"",(popproj!Y33-old!Y33)/old!Y33)</f>
        <v>8.040873981574612E-3</v>
      </c>
      <c r="Z33" s="2">
        <f>IF(popproj!Z33-old!Z33=0,"",(popproj!Z33-old!Z33)/old!Z33)</f>
        <v>8.1802644896875575E-3</v>
      </c>
      <c r="AA33" s="2">
        <f>IF(popproj!AA33-old!AA33=0,"",(popproj!AA33-old!AA33)/old!AA33)</f>
        <v>8.2844488665022222E-3</v>
      </c>
      <c r="AB33" s="2">
        <f>IF(popproj!AB33-old!AB33=0,"",(popproj!AB33-old!AB33)/old!AB33)</f>
        <v>8.4063211778242185E-3</v>
      </c>
      <c r="AC33" s="2">
        <f>IF(popproj!AC33-old!AC33=0,"",(popproj!AC33-old!AC33)/old!AC33)</f>
        <v>8.5182521154119617E-3</v>
      </c>
      <c r="AD33" s="2">
        <f>IF(popproj!AD33-old!AD33=0,"",(popproj!AD33-old!AD33)/old!AD33)</f>
        <v>8.6234399017778591E-3</v>
      </c>
      <c r="AE33" s="2">
        <f>IF(popproj!AE33-old!AE33=0,"",(popproj!AE33-old!AE33)/old!AE33)</f>
        <v>8.68209044293166E-3</v>
      </c>
      <c r="AF33" s="2">
        <f>IF(popproj!AF33-old!AF33=0,"",(popproj!AF33-old!AF33)/old!AF33)</f>
        <v>8.8589432516671795E-3</v>
      </c>
      <c r="AG33" s="2">
        <f>IF(popproj!AG33-old!AG33=0,"",(popproj!AG33-old!AG33)/old!AG33)</f>
        <v>-1</v>
      </c>
      <c r="AH33" s="2">
        <f>IF(popproj!AH33-old!AH33=0,"",(popproj!AH33-old!AH33)/old!AH33)</f>
        <v>-1</v>
      </c>
      <c r="AI33" s="2">
        <f>IF(popproj!AI33-old!AI33=0,"",(popproj!AI33-old!AI33)/old!AI33)</f>
        <v>-1</v>
      </c>
      <c r="AJ33" s="2">
        <f>IF(popproj!AJ33-old!AJ33=0,"",(popproj!AJ33-old!AJ33)/old!AJ33)</f>
        <v>-1</v>
      </c>
      <c r="AK33" s="2">
        <f>IF(popproj!AK33-old!AK33=0,"",(popproj!AK33-old!AK33)/old!AK33)</f>
        <v>-1</v>
      </c>
      <c r="AL33" s="2">
        <f>IF(popproj!AL33-old!AL33=0,"",(popproj!AL33-old!AL33)/old!AL33)</f>
        <v>-1</v>
      </c>
      <c r="AM33" s="2">
        <f>IF(popproj!AM33-old!AM33=0,"",(popproj!AM33-old!AM33)/old!AM33)</f>
        <v>-1</v>
      </c>
      <c r="AN33" s="2">
        <f>IF(popproj!AN33-old!AN33=0,"",(popproj!AN33-old!AN33)/old!AN33)</f>
        <v>-1</v>
      </c>
      <c r="AO33" s="2">
        <f>IF(popproj!AO33-old!AO33=0,"",(popproj!AO33-old!AO33)/old!AO33)</f>
        <v>-1</v>
      </c>
      <c r="AP33" s="2">
        <f>IF(popproj!AP33-old!AP33=0,"",(popproj!AP33-old!AP33)/old!AP33)</f>
        <v>-1</v>
      </c>
      <c r="AQ33" s="2">
        <f>IF(popproj!AQ33-old!AQ33=0,"",(popproj!AQ33-old!AQ33)/old!AQ33)</f>
        <v>-1</v>
      </c>
      <c r="AR33" s="2">
        <f>IF(popproj!AR33-old!AR33=0,"",(popproj!AR33-old!AR33)/old!AR33)</f>
        <v>-1</v>
      </c>
      <c r="AS33" s="2">
        <f>IF(popproj!AS33-old!AS33=0,"",(popproj!AS33-old!AS33)/old!AS33)</f>
        <v>-1</v>
      </c>
      <c r="AT33" s="2">
        <f>IF(popproj!AT33-old!AT33=0,"",(popproj!AT33-old!AT33)/old!AT33)</f>
        <v>-1</v>
      </c>
      <c r="AU33" s="2">
        <f>IF(popproj!AU33-old!AU33=0,"",(popproj!AU33-old!AU33)/old!AU33)</f>
        <v>-1</v>
      </c>
      <c r="AV33" s="2">
        <f>IF(popproj!AV33-old!AV33=0,"",(popproj!AV33-old!AV33)/old!AV33)</f>
        <v>-1</v>
      </c>
      <c r="AW33" s="2">
        <f>IF(popproj!AW33-old!AW33=0,"",(popproj!AW33-old!AW33)/old!AW33)</f>
        <v>-1</v>
      </c>
      <c r="AX33" s="2">
        <f>IF(popproj!AX33-old!AX33=0,"",(popproj!AX33-old!AX33)/old!AX33)</f>
        <v>-1</v>
      </c>
      <c r="AY33" s="2">
        <f>IF(popproj!AY33-old!AY33=0,"",(popproj!AY33-old!AY33)/old!AY33)</f>
        <v>-1</v>
      </c>
      <c r="AZ33" s="2">
        <f>IF(popproj!AZ33-old!AZ33=0,"",(popproj!AZ33-old!AZ33)/old!AZ33)</f>
        <v>-1</v>
      </c>
      <c r="BA33" s="2">
        <f>IF(popproj!BA33-old!BA33=0,"",(popproj!BA33-old!BA33)/old!BA33)</f>
        <v>-1</v>
      </c>
      <c r="BB33" s="2">
        <f>IF(popproj!BB33-old!BB33=0,"",(popproj!BB33-old!BB33)/old!BB33)</f>
        <v>-1</v>
      </c>
      <c r="BC33" s="2">
        <f>IF(popproj!BC33-old!BC33=0,"",(popproj!BC33-old!BC33)/old!BC33)</f>
        <v>-1</v>
      </c>
      <c r="BD33" s="2">
        <f>IF(popproj!BD33-old!BD33=0,"",(popproj!BD33-old!BD33)/old!BD33)</f>
        <v>-1</v>
      </c>
      <c r="BE33" s="2">
        <f>IF(popproj!BE33-old!BE33=0,"",(popproj!BE33-old!BE33)/old!BE33)</f>
        <v>-1</v>
      </c>
      <c r="BF33" s="2">
        <f>IF(popproj!BF33-old!BF33=0,"",(popproj!BF33-old!BF33)/old!BF33)</f>
        <v>-1</v>
      </c>
      <c r="BG33" s="2">
        <f>IF(popproj!BG33-old!BG33=0,"",(popproj!BG33-old!BG33)/old!BG33)</f>
        <v>-1</v>
      </c>
      <c r="BH33" s="2">
        <f>IF(popproj!BH33-old!BH33=0,"",(popproj!BH33-old!BH33)/old!BH33)</f>
        <v>-1</v>
      </c>
      <c r="BI33" s="2">
        <f>IF(popproj!BI33-old!BI33=0,"",(popproj!BI33-old!BI33)/old!BI33)</f>
        <v>-1</v>
      </c>
      <c r="BJ33" s="2">
        <f>IF(popproj!BJ33-old!BJ33=0,"",(popproj!BJ33-old!BJ33)/old!BJ33)</f>
        <v>-1</v>
      </c>
      <c r="BK33" s="2">
        <f>IF(popproj!BK33-old!BK33=0,"",(popproj!BK33-old!BK33)/old!BK33)</f>
        <v>-1</v>
      </c>
      <c r="BL33" s="2">
        <f>IF(popproj!BL33-old!BL33=0,"",(popproj!BL33-old!BL33)/old!BL33)</f>
        <v>-1</v>
      </c>
      <c r="BM33" s="2">
        <f>IF(popproj!BM33-old!BM33=0,"",(popproj!BM33-old!BM33)/old!BM33)</f>
        <v>-1</v>
      </c>
      <c r="BN33" s="2">
        <f>IF(popproj!BN33-old!BN33=0,"",(popproj!BN33-old!BN33)/old!BN33)</f>
        <v>-1</v>
      </c>
      <c r="BO33" s="2">
        <f>IF(popproj!BO33-old!BO33=0,"",(popproj!BO33-old!BO33)/old!BO33)</f>
        <v>-1</v>
      </c>
    </row>
    <row r="34" spans="1:67" x14ac:dyDescent="0.2">
      <c r="A34" t="str">
        <f>popproj!A34</f>
        <v>CZ_POPAF</v>
      </c>
      <c r="B34" s="2"/>
      <c r="C34" s="2"/>
      <c r="D34" s="2">
        <f>IF(popproj!D34-old!D34=0,"",(popproj!D34-old!D34)/old!D34)</f>
        <v>-1</v>
      </c>
      <c r="E34" s="2">
        <f>IF(popproj!E34-old!E34=0,"",(popproj!E34-old!E34)/old!E34)</f>
        <v>-1.0886246914943262E-2</v>
      </c>
      <c r="F34" s="2">
        <f>IF(popproj!F34-old!F34=0,"",(popproj!F34-old!F34)/old!F34)</f>
        <v>-1.701244657723661E-2</v>
      </c>
      <c r="G34" s="2">
        <f>IF(popproj!G34-old!G34=0,"",(popproj!G34-old!G34)/old!G34)</f>
        <v>-1.4370408416891025E-2</v>
      </c>
      <c r="H34" s="2">
        <f>IF(popproj!H34-old!H34=0,"",(popproj!H34-old!H34)/old!H34)</f>
        <v>-1.3045670406406798E-2</v>
      </c>
      <c r="I34" s="2">
        <f>IF(popproj!I34-old!I34=0,"",(popproj!I34-old!I34)/old!I34)</f>
        <v>-1.1424676544817042E-2</v>
      </c>
      <c r="J34" s="2">
        <f>IF(popproj!J34-old!J34=0,"",(popproj!J34-old!J34)/old!J34)</f>
        <v>-9.4189282842096298E-3</v>
      </c>
      <c r="K34" s="2">
        <f>IF(popproj!K34-old!K34=0,"",(popproj!K34-old!K34)/old!K34)</f>
        <v>-7.5820567718439154E-3</v>
      </c>
      <c r="L34" s="2">
        <f>IF(popproj!L34-old!L34=0,"",(popproj!L34-old!L34)/old!L34)</f>
        <v>-5.9425086738519386E-3</v>
      </c>
      <c r="M34" s="2">
        <f>IF(popproj!M34-old!M34=0,"",(popproj!M34-old!M34)/old!M34)</f>
        <v>-4.4926028396026036E-3</v>
      </c>
      <c r="N34" s="2">
        <f>IF(popproj!N34-old!N34=0,"",(popproj!N34-old!N34)/old!N34)</f>
        <v>-3.2139044236822161E-3</v>
      </c>
      <c r="O34" s="2">
        <f>IF(popproj!O34-old!O34=0,"",(popproj!O34-old!O34)/old!O34)</f>
        <v>-2.0838849091381296E-3</v>
      </c>
      <c r="P34" s="2">
        <f>IF(popproj!P34-old!P34=0,"",(popproj!P34-old!P34)/old!P34)</f>
        <v>-6.4208499476931945E-4</v>
      </c>
      <c r="Q34" s="2">
        <f>IF(popproj!Q34-old!Q34=0,"",(popproj!Q34-old!Q34)/old!Q34)</f>
        <v>-1.3838807059988237E-3</v>
      </c>
      <c r="R34" s="2">
        <f>IF(popproj!R34-old!R34=0,"",(popproj!R34-old!R34)/old!R34)</f>
        <v>-9.3208557269825842E-4</v>
      </c>
      <c r="S34" s="2">
        <f>IF(popproj!S34-old!S34=0,"",(popproj!S34-old!S34)/old!S34)</f>
        <v>-7.2989793026663583E-4</v>
      </c>
      <c r="T34" s="2">
        <f>IF(popproj!T34-old!T34=0,"",(popproj!T34-old!T34)/old!T34)</f>
        <v>-6.906550399463522E-4</v>
      </c>
      <c r="U34" s="2">
        <f>IF(popproj!U34-old!U34=0,"",(popproj!U34-old!U34)/old!U34)</f>
        <v>-2.3455232335633388E-3</v>
      </c>
      <c r="V34" s="2">
        <f>IF(popproj!V34-old!V34=0,"",(popproj!V34-old!V34)/old!V34)</f>
        <v>-3.8232637776214394E-3</v>
      </c>
      <c r="W34" s="2">
        <f>IF(popproj!W34-old!W34=0,"",(popproj!W34-old!W34)/old!W34)</f>
        <v>-5.3471817313427844E-3</v>
      </c>
      <c r="X34" s="2">
        <f>IF(popproj!X34-old!X34=0,"",(popproj!X34-old!X34)/old!X34)</f>
        <v>-6.8558418130016778E-3</v>
      </c>
      <c r="Y34" s="2">
        <f>IF(popproj!Y34-old!Y34=0,"",(popproj!Y34-old!Y34)/old!Y34)</f>
        <v>-8.3101051355749019E-3</v>
      </c>
      <c r="Z34" s="2">
        <f>IF(popproj!Z34-old!Z34=0,"",(popproj!Z34-old!Z34)/old!Z34)</f>
        <v>-9.6755684777808937E-3</v>
      </c>
      <c r="AA34" s="2">
        <f>IF(popproj!AA34-old!AA34=0,"",(popproj!AA34-old!AA34)/old!AA34)</f>
        <v>-1.1033629167690552E-2</v>
      </c>
      <c r="AB34" s="2">
        <f>IF(popproj!AB34-old!AB34=0,"",(popproj!AB34-old!AB34)/old!AB34)</f>
        <v>-1.235658877089597E-2</v>
      </c>
      <c r="AC34" s="2">
        <f>IF(popproj!AC34-old!AC34=0,"",(popproj!AC34-old!AC34)/old!AC34)</f>
        <v>-1.3649883677278098E-2</v>
      </c>
      <c r="AD34" s="2">
        <f>IF(popproj!AD34-old!AD34=0,"",(popproj!AD34-old!AD34)/old!AD34)</f>
        <v>-1.4858452119465033E-2</v>
      </c>
      <c r="AE34" s="2">
        <f>IF(popproj!AE34-old!AE34=0,"",(popproj!AE34-old!AE34)/old!AE34)</f>
        <v>-1.607997487070266E-2</v>
      </c>
      <c r="AF34" s="2">
        <f>IF(popproj!AF34-old!AF34=0,"",(popproj!AF34-old!AF34)/old!AF34)</f>
        <v>-1.7315603788689182E-2</v>
      </c>
      <c r="AG34" s="2">
        <f>IF(popproj!AG34-old!AG34=0,"",(popproj!AG34-old!AG34)/old!AG34)</f>
        <v>-1</v>
      </c>
      <c r="AH34" s="2">
        <f>IF(popproj!AH34-old!AH34=0,"",(popproj!AH34-old!AH34)/old!AH34)</f>
        <v>-1</v>
      </c>
      <c r="AI34" s="2">
        <f>IF(popproj!AI34-old!AI34=0,"",(popproj!AI34-old!AI34)/old!AI34)</f>
        <v>-1</v>
      </c>
      <c r="AJ34" s="2">
        <f>IF(popproj!AJ34-old!AJ34=0,"",(popproj!AJ34-old!AJ34)/old!AJ34)</f>
        <v>-1</v>
      </c>
      <c r="AK34" s="2">
        <f>IF(popproj!AK34-old!AK34=0,"",(popproj!AK34-old!AK34)/old!AK34)</f>
        <v>-1</v>
      </c>
      <c r="AL34" s="2">
        <f>IF(popproj!AL34-old!AL34=0,"",(popproj!AL34-old!AL34)/old!AL34)</f>
        <v>-1</v>
      </c>
      <c r="AM34" s="2">
        <f>IF(popproj!AM34-old!AM34=0,"",(popproj!AM34-old!AM34)/old!AM34)</f>
        <v>-1</v>
      </c>
      <c r="AN34" s="2">
        <f>IF(popproj!AN34-old!AN34=0,"",(popproj!AN34-old!AN34)/old!AN34)</f>
        <v>-1</v>
      </c>
      <c r="AO34" s="2">
        <f>IF(popproj!AO34-old!AO34=0,"",(popproj!AO34-old!AO34)/old!AO34)</f>
        <v>-1</v>
      </c>
      <c r="AP34" s="2">
        <f>IF(popproj!AP34-old!AP34=0,"",(popproj!AP34-old!AP34)/old!AP34)</f>
        <v>-1</v>
      </c>
      <c r="AQ34" s="2">
        <f>IF(popproj!AQ34-old!AQ34=0,"",(popproj!AQ34-old!AQ34)/old!AQ34)</f>
        <v>-1</v>
      </c>
      <c r="AR34" s="2">
        <f>IF(popproj!AR34-old!AR34=0,"",(popproj!AR34-old!AR34)/old!AR34)</f>
        <v>-1</v>
      </c>
      <c r="AS34" s="2">
        <f>IF(popproj!AS34-old!AS34=0,"",(popproj!AS34-old!AS34)/old!AS34)</f>
        <v>-1</v>
      </c>
      <c r="AT34" s="2">
        <f>IF(popproj!AT34-old!AT34=0,"",(popproj!AT34-old!AT34)/old!AT34)</f>
        <v>-1</v>
      </c>
      <c r="AU34" s="2">
        <f>IF(popproj!AU34-old!AU34=0,"",(popproj!AU34-old!AU34)/old!AU34)</f>
        <v>-1</v>
      </c>
      <c r="AV34" s="2">
        <f>IF(popproj!AV34-old!AV34=0,"",(popproj!AV34-old!AV34)/old!AV34)</f>
        <v>-1</v>
      </c>
      <c r="AW34" s="2">
        <f>IF(popproj!AW34-old!AW34=0,"",(popproj!AW34-old!AW34)/old!AW34)</f>
        <v>-1</v>
      </c>
      <c r="AX34" s="2">
        <f>IF(popproj!AX34-old!AX34=0,"",(popproj!AX34-old!AX34)/old!AX34)</f>
        <v>-1</v>
      </c>
      <c r="AY34" s="2">
        <f>IF(popproj!AY34-old!AY34=0,"",(popproj!AY34-old!AY34)/old!AY34)</f>
        <v>-1</v>
      </c>
      <c r="AZ34" s="2">
        <f>IF(popproj!AZ34-old!AZ34=0,"",(popproj!AZ34-old!AZ34)/old!AZ34)</f>
        <v>-1</v>
      </c>
      <c r="BA34" s="2">
        <f>IF(popproj!BA34-old!BA34=0,"",(popproj!BA34-old!BA34)/old!BA34)</f>
        <v>-1</v>
      </c>
      <c r="BB34" s="2">
        <f>IF(popproj!BB34-old!BB34=0,"",(popproj!BB34-old!BB34)/old!BB34)</f>
        <v>-1</v>
      </c>
      <c r="BC34" s="2">
        <f>IF(popproj!BC34-old!BC34=0,"",(popproj!BC34-old!BC34)/old!BC34)</f>
        <v>-1</v>
      </c>
      <c r="BD34" s="2">
        <f>IF(popproj!BD34-old!BD34=0,"",(popproj!BD34-old!BD34)/old!BD34)</f>
        <v>-1</v>
      </c>
      <c r="BE34" s="2">
        <f>IF(popproj!BE34-old!BE34=0,"",(popproj!BE34-old!BE34)/old!BE34)</f>
        <v>-1</v>
      </c>
      <c r="BF34" s="2">
        <f>IF(popproj!BF34-old!BF34=0,"",(popproj!BF34-old!BF34)/old!BF34)</f>
        <v>-1</v>
      </c>
      <c r="BG34" s="2">
        <f>IF(popproj!BG34-old!BG34=0,"",(popproj!BG34-old!BG34)/old!BG34)</f>
        <v>-1</v>
      </c>
      <c r="BH34" s="2">
        <f>IF(popproj!BH34-old!BH34=0,"",(popproj!BH34-old!BH34)/old!BH34)</f>
        <v>-1</v>
      </c>
      <c r="BI34" s="2">
        <f>IF(popproj!BI34-old!BI34=0,"",(popproj!BI34-old!BI34)/old!BI34)</f>
        <v>-1</v>
      </c>
      <c r="BJ34" s="2">
        <f>IF(popproj!BJ34-old!BJ34=0,"",(popproj!BJ34-old!BJ34)/old!BJ34)</f>
        <v>-1</v>
      </c>
      <c r="BK34" s="2">
        <f>IF(popproj!BK34-old!BK34=0,"",(popproj!BK34-old!BK34)/old!BK34)</f>
        <v>-1</v>
      </c>
      <c r="BL34" s="2">
        <f>IF(popproj!BL34-old!BL34=0,"",(popproj!BL34-old!BL34)/old!BL34)</f>
        <v>-1</v>
      </c>
      <c r="BM34" s="2">
        <f>IF(popproj!BM34-old!BM34=0,"",(popproj!BM34-old!BM34)/old!BM34)</f>
        <v>-1</v>
      </c>
      <c r="BN34" s="2">
        <f>IF(popproj!BN34-old!BN34=0,"",(popproj!BN34-old!BN34)/old!BN34)</f>
        <v>-1</v>
      </c>
      <c r="BO34" s="2">
        <f>IF(popproj!BO34-old!BO34=0,"",(popproj!BO34-old!BO34)/old!BO34)</f>
        <v>-1</v>
      </c>
    </row>
    <row r="35" spans="1:67" x14ac:dyDescent="0.2">
      <c r="A35" t="str">
        <f>popproj!A35</f>
        <v>DE_POPAF</v>
      </c>
      <c r="B35" s="2"/>
      <c r="C35" s="2"/>
      <c r="D35" s="2">
        <f>IF(popproj!D35-old!D35=0,"",(popproj!D35-old!D35)/old!D35)</f>
        <v>-1</v>
      </c>
      <c r="E35" s="2">
        <f>IF(popproj!E35-old!E35=0,"",(popproj!E35-old!E35)/old!E35)</f>
        <v>-1.4268253101686623E-2</v>
      </c>
      <c r="F35" s="2">
        <f>IF(popproj!F35-old!F35=0,"",(popproj!F35-old!F35)/old!F35)</f>
        <v>-1.5173132819997378E-2</v>
      </c>
      <c r="G35" s="2">
        <f>IF(popproj!G35-old!G35=0,"",(popproj!G35-old!G35)/old!G35)</f>
        <v>-1.2004619499626964E-2</v>
      </c>
      <c r="H35" s="2">
        <f>IF(popproj!H35-old!H35=0,"",(popproj!H35-old!H35)/old!H35)</f>
        <v>-1.1297403933091334E-2</v>
      </c>
      <c r="I35" s="2">
        <f>IF(popproj!I35-old!I35=0,"",(popproj!I35-old!I35)/old!I35)</f>
        <v>-1.0668137275750269E-2</v>
      </c>
      <c r="J35" s="2">
        <f>IF(popproj!J35-old!J35=0,"",(popproj!J35-old!J35)/old!J35)</f>
        <v>-1.0122212315172928E-2</v>
      </c>
      <c r="K35" s="2">
        <f>IF(popproj!K35-old!K35=0,"",(popproj!K35-old!K35)/old!K35)</f>
        <v>-9.6243267155727025E-3</v>
      </c>
      <c r="L35" s="2">
        <f>IF(popproj!L35-old!L35=0,"",(popproj!L35-old!L35)/old!L35)</f>
        <v>-9.1500530956793013E-3</v>
      </c>
      <c r="M35" s="2">
        <f>IF(popproj!M35-old!M35=0,"",(popproj!M35-old!M35)/old!M35)</f>
        <v>-8.7193818023369191E-3</v>
      </c>
      <c r="N35" s="2">
        <f>IF(popproj!N35-old!N35=0,"",(popproj!N35-old!N35)/old!N35)</f>
        <v>-8.3080127507889987E-3</v>
      </c>
      <c r="O35" s="2">
        <f>IF(popproj!O35-old!O35=0,"",(popproj!O35-old!O35)/old!O35)</f>
        <v>-7.7941704518967904E-3</v>
      </c>
      <c r="P35" s="2">
        <f>IF(popproj!P35-old!P35=0,"",(popproj!P35-old!P35)/old!P35)</f>
        <v>-7.1112026977413921E-3</v>
      </c>
      <c r="Q35" s="2">
        <f>IF(popproj!Q35-old!Q35=0,"",(popproj!Q35-old!Q35)/old!Q35)</f>
        <v>-6.9799203258152295E-3</v>
      </c>
      <c r="R35" s="2">
        <f>IF(popproj!R35-old!R35=0,"",(popproj!R35-old!R35)/old!R35)</f>
        <v>-6.3627803107700349E-3</v>
      </c>
      <c r="S35" s="2">
        <f>IF(popproj!S35-old!S35=0,"",(popproj!S35-old!S35)/old!S35)</f>
        <v>-5.7429564715048079E-3</v>
      </c>
      <c r="T35" s="2">
        <f>IF(popproj!T35-old!T35=0,"",(popproj!T35-old!T35)/old!T35)</f>
        <v>-5.1583700569541296E-3</v>
      </c>
      <c r="U35" s="2">
        <f>IF(popproj!U35-old!U35=0,"",(popproj!U35-old!U35)/old!U35)</f>
        <v>-5.2797688914947329E-3</v>
      </c>
      <c r="V35" s="2">
        <f>IF(popproj!V35-old!V35=0,"",(popproj!V35-old!V35)/old!V35)</f>
        <v>-5.1031631418101886E-3</v>
      </c>
      <c r="W35" s="2">
        <f>IF(popproj!W35-old!W35=0,"",(popproj!W35-old!W35)/old!W35)</f>
        <v>-5.0601422563541758E-3</v>
      </c>
      <c r="X35" s="2">
        <f>IF(popproj!X35-old!X35=0,"",(popproj!X35-old!X35)/old!X35)</f>
        <v>-5.1046486471535511E-3</v>
      </c>
      <c r="Y35" s="2">
        <f>IF(popproj!Y35-old!Y35=0,"",(popproj!Y35-old!Y35)/old!Y35)</f>
        <v>-5.1958144395230603E-3</v>
      </c>
      <c r="Z35" s="2">
        <f>IF(popproj!Z35-old!Z35=0,"",(popproj!Z35-old!Z35)/old!Z35)</f>
        <v>-5.335170131053649E-3</v>
      </c>
      <c r="AA35" s="2">
        <f>IF(popproj!AA35-old!AA35=0,"",(popproj!AA35-old!AA35)/old!AA35)</f>
        <v>-5.5468130975257551E-3</v>
      </c>
      <c r="AB35" s="2">
        <f>IF(popproj!AB35-old!AB35=0,"",(popproj!AB35-old!AB35)/old!AB35)</f>
        <v>-5.792398874942554E-3</v>
      </c>
      <c r="AC35" s="2">
        <f>IF(popproj!AC35-old!AC35=0,"",(popproj!AC35-old!AC35)/old!AC35)</f>
        <v>-6.0822766857643266E-3</v>
      </c>
      <c r="AD35" s="2">
        <f>IF(popproj!AD35-old!AD35=0,"",(popproj!AD35-old!AD35)/old!AD35)</f>
        <v>-6.3067771898832441E-3</v>
      </c>
      <c r="AE35" s="2">
        <f>IF(popproj!AE35-old!AE35=0,"",(popproj!AE35-old!AE35)/old!AE35)</f>
        <v>-6.505726219019882E-3</v>
      </c>
      <c r="AF35" s="2">
        <f>IF(popproj!AF35-old!AF35=0,"",(popproj!AF35-old!AF35)/old!AF35)</f>
        <v>-6.8059614563195075E-3</v>
      </c>
      <c r="AG35" s="2">
        <f>IF(popproj!AG35-old!AG35=0,"",(popproj!AG35-old!AG35)/old!AG35)</f>
        <v>-1</v>
      </c>
      <c r="AH35" s="2">
        <f>IF(popproj!AH35-old!AH35=0,"",(popproj!AH35-old!AH35)/old!AH35)</f>
        <v>-1</v>
      </c>
      <c r="AI35" s="2">
        <f>IF(popproj!AI35-old!AI35=0,"",(popproj!AI35-old!AI35)/old!AI35)</f>
        <v>-1</v>
      </c>
      <c r="AJ35" s="2">
        <f>IF(popproj!AJ35-old!AJ35=0,"",(popproj!AJ35-old!AJ35)/old!AJ35)</f>
        <v>-1</v>
      </c>
      <c r="AK35" s="2">
        <f>IF(popproj!AK35-old!AK35=0,"",(popproj!AK35-old!AK35)/old!AK35)</f>
        <v>-1</v>
      </c>
      <c r="AL35" s="2">
        <f>IF(popproj!AL35-old!AL35=0,"",(popproj!AL35-old!AL35)/old!AL35)</f>
        <v>-1</v>
      </c>
      <c r="AM35" s="2">
        <f>IF(popproj!AM35-old!AM35=0,"",(popproj!AM35-old!AM35)/old!AM35)</f>
        <v>-1</v>
      </c>
      <c r="AN35" s="2">
        <f>IF(popproj!AN35-old!AN35=0,"",(popproj!AN35-old!AN35)/old!AN35)</f>
        <v>-1</v>
      </c>
      <c r="AO35" s="2">
        <f>IF(popproj!AO35-old!AO35=0,"",(popproj!AO35-old!AO35)/old!AO35)</f>
        <v>-1</v>
      </c>
      <c r="AP35" s="2">
        <f>IF(popproj!AP35-old!AP35=0,"",(popproj!AP35-old!AP35)/old!AP35)</f>
        <v>-1</v>
      </c>
      <c r="AQ35" s="2">
        <f>IF(popproj!AQ35-old!AQ35=0,"",(popproj!AQ35-old!AQ35)/old!AQ35)</f>
        <v>-1</v>
      </c>
      <c r="AR35" s="2">
        <f>IF(popproj!AR35-old!AR35=0,"",(popproj!AR35-old!AR35)/old!AR35)</f>
        <v>-1</v>
      </c>
      <c r="AS35" s="2">
        <f>IF(popproj!AS35-old!AS35=0,"",(popproj!AS35-old!AS35)/old!AS35)</f>
        <v>-1</v>
      </c>
      <c r="AT35" s="2">
        <f>IF(popproj!AT35-old!AT35=0,"",(popproj!AT35-old!AT35)/old!AT35)</f>
        <v>-1</v>
      </c>
      <c r="AU35" s="2">
        <f>IF(popproj!AU35-old!AU35=0,"",(popproj!AU35-old!AU35)/old!AU35)</f>
        <v>-1</v>
      </c>
      <c r="AV35" s="2">
        <f>IF(popproj!AV35-old!AV35=0,"",(popproj!AV35-old!AV35)/old!AV35)</f>
        <v>-1</v>
      </c>
      <c r="AW35" s="2">
        <f>IF(popproj!AW35-old!AW35=0,"",(popproj!AW35-old!AW35)/old!AW35)</f>
        <v>-1</v>
      </c>
      <c r="AX35" s="2">
        <f>IF(popproj!AX35-old!AX35=0,"",(popproj!AX35-old!AX35)/old!AX35)</f>
        <v>-1</v>
      </c>
      <c r="AY35" s="2">
        <f>IF(popproj!AY35-old!AY35=0,"",(popproj!AY35-old!AY35)/old!AY35)</f>
        <v>-1</v>
      </c>
      <c r="AZ35" s="2">
        <f>IF(popproj!AZ35-old!AZ35=0,"",(popproj!AZ35-old!AZ35)/old!AZ35)</f>
        <v>-1</v>
      </c>
      <c r="BA35" s="2">
        <f>IF(popproj!BA35-old!BA35=0,"",(popproj!BA35-old!BA35)/old!BA35)</f>
        <v>-1</v>
      </c>
      <c r="BB35" s="2">
        <f>IF(popproj!BB35-old!BB35=0,"",(popproj!BB35-old!BB35)/old!BB35)</f>
        <v>-1</v>
      </c>
      <c r="BC35" s="2">
        <f>IF(popproj!BC35-old!BC35=0,"",(popproj!BC35-old!BC35)/old!BC35)</f>
        <v>-1</v>
      </c>
      <c r="BD35" s="2">
        <f>IF(popproj!BD35-old!BD35=0,"",(popproj!BD35-old!BD35)/old!BD35)</f>
        <v>-1</v>
      </c>
      <c r="BE35" s="2">
        <f>IF(popproj!BE35-old!BE35=0,"",(popproj!BE35-old!BE35)/old!BE35)</f>
        <v>-1</v>
      </c>
      <c r="BF35" s="2">
        <f>IF(popproj!BF35-old!BF35=0,"",(popproj!BF35-old!BF35)/old!BF35)</f>
        <v>-1</v>
      </c>
      <c r="BG35" s="2">
        <f>IF(popproj!BG35-old!BG35=0,"",(popproj!BG35-old!BG35)/old!BG35)</f>
        <v>-1</v>
      </c>
      <c r="BH35" s="2">
        <f>IF(popproj!BH35-old!BH35=0,"",(popproj!BH35-old!BH35)/old!BH35)</f>
        <v>-1</v>
      </c>
      <c r="BI35" s="2">
        <f>IF(popproj!BI35-old!BI35=0,"",(popproj!BI35-old!BI35)/old!BI35)</f>
        <v>-1</v>
      </c>
      <c r="BJ35" s="2">
        <f>IF(popproj!BJ35-old!BJ35=0,"",(popproj!BJ35-old!BJ35)/old!BJ35)</f>
        <v>-1</v>
      </c>
      <c r="BK35" s="2">
        <f>IF(popproj!BK35-old!BK35=0,"",(popproj!BK35-old!BK35)/old!BK35)</f>
        <v>-1</v>
      </c>
      <c r="BL35" s="2">
        <f>IF(popproj!BL35-old!BL35=0,"",(popproj!BL35-old!BL35)/old!BL35)</f>
        <v>-1</v>
      </c>
      <c r="BM35" s="2">
        <f>IF(popproj!BM35-old!BM35=0,"",(popproj!BM35-old!BM35)/old!BM35)</f>
        <v>-1</v>
      </c>
      <c r="BN35" s="2">
        <f>IF(popproj!BN35-old!BN35=0,"",(popproj!BN35-old!BN35)/old!BN35)</f>
        <v>-1</v>
      </c>
      <c r="BO35" s="2">
        <f>IF(popproj!BO35-old!BO35=0,"",(popproj!BO35-old!BO35)/old!BO35)</f>
        <v>-1</v>
      </c>
    </row>
    <row r="36" spans="1:67" x14ac:dyDescent="0.2">
      <c r="A36" t="str">
        <f>popproj!A36</f>
        <v>DK_POPAF</v>
      </c>
      <c r="B36" s="2"/>
      <c r="C36" s="2"/>
      <c r="D36" s="2">
        <f>IF(popproj!D36-old!D36=0,"",(popproj!D36-old!D36)/old!D36)</f>
        <v>-1</v>
      </c>
      <c r="E36" s="2">
        <f>IF(popproj!E36-old!E36=0,"",(popproj!E36-old!E36)/old!E36)</f>
        <v>1.9596960852802845E-3</v>
      </c>
      <c r="F36" s="2">
        <f>IF(popproj!F36-old!F36=0,"",(popproj!F36-old!F36)/old!F36)</f>
        <v>3.0080749525079678E-3</v>
      </c>
      <c r="G36" s="2">
        <f>IF(popproj!G36-old!G36=0,"",(popproj!G36-old!G36)/old!G36)</f>
        <v>5.5589257480994992E-3</v>
      </c>
      <c r="H36" s="2">
        <f>IF(popproj!H36-old!H36=0,"",(popproj!H36-old!H36)/old!H36)</f>
        <v>7.2440957025305458E-3</v>
      </c>
      <c r="I36" s="2">
        <f>IF(popproj!I36-old!I36=0,"",(popproj!I36-old!I36)/old!I36)</f>
        <v>8.6345345557106712E-3</v>
      </c>
      <c r="J36" s="2">
        <f>IF(popproj!J36-old!J36=0,"",(popproj!J36-old!J36)/old!J36)</f>
        <v>9.7932935231970601E-3</v>
      </c>
      <c r="K36" s="2">
        <f>IF(popproj!K36-old!K36=0,"",(popproj!K36-old!K36)/old!K36)</f>
        <v>1.0952999762261526E-2</v>
      </c>
      <c r="L36" s="2">
        <f>IF(popproj!L36-old!L36=0,"",(popproj!L36-old!L36)/old!L36)</f>
        <v>1.214207054088128E-2</v>
      </c>
      <c r="M36" s="2">
        <f>IF(popproj!M36-old!M36=0,"",(popproj!M36-old!M36)/old!M36)</f>
        <v>1.3346106481956147E-2</v>
      </c>
      <c r="N36" s="2">
        <f>IF(popproj!N36-old!N36=0,"",(popproj!N36-old!N36)/old!N36)</f>
        <v>1.4525286484063153E-2</v>
      </c>
      <c r="O36" s="2">
        <f>IF(popproj!O36-old!O36=0,"",(popproj!O36-old!O36)/old!O36)</f>
        <v>1.5728329068248555E-2</v>
      </c>
      <c r="P36" s="2">
        <f>IF(popproj!P36-old!P36=0,"",(popproj!P36-old!P36)/old!P36)</f>
        <v>1.6985390080794215E-2</v>
      </c>
      <c r="Q36" s="2">
        <f>IF(popproj!Q36-old!Q36=0,"",(popproj!Q36-old!Q36)/old!Q36)</f>
        <v>1.8024821490758874E-2</v>
      </c>
      <c r="R36" s="2">
        <f>IF(popproj!R36-old!R36=0,"",(popproj!R36-old!R36)/old!R36)</f>
        <v>1.9272610486960436E-2</v>
      </c>
      <c r="S36" s="2">
        <f>IF(popproj!S36-old!S36=0,"",(popproj!S36-old!S36)/old!S36)</f>
        <v>2.0466895068122062E-2</v>
      </c>
      <c r="T36" s="2">
        <f>IF(popproj!T36-old!T36=0,"",(popproj!T36-old!T36)/old!T36)</f>
        <v>2.1546223813611393E-2</v>
      </c>
      <c r="U36" s="2">
        <f>IF(popproj!U36-old!U36=0,"",(popproj!U36-old!U36)/old!U36)</f>
        <v>2.1210760458417792E-2</v>
      </c>
      <c r="V36" s="2">
        <f>IF(popproj!V36-old!V36=0,"",(popproj!V36-old!V36)/old!V36)</f>
        <v>2.1245978998196122E-2</v>
      </c>
      <c r="W36" s="2">
        <f>IF(popproj!W36-old!W36=0,"",(popproj!W36-old!W36)/old!W36)</f>
        <v>2.1365094990205412E-2</v>
      </c>
      <c r="X36" s="2">
        <f>IF(popproj!X36-old!X36=0,"",(popproj!X36-old!X36)/old!X36)</f>
        <v>2.1518362587061021E-2</v>
      </c>
      <c r="Y36" s="2">
        <f>IF(popproj!Y36-old!Y36=0,"",(popproj!Y36-old!Y36)/old!Y36)</f>
        <v>2.169246306367514E-2</v>
      </c>
      <c r="Z36" s="2">
        <f>IF(popproj!Z36-old!Z36=0,"",(popproj!Z36-old!Z36)/old!Z36)</f>
        <v>2.188893318233712E-2</v>
      </c>
      <c r="AA36" s="2">
        <f>IF(popproj!AA36-old!AA36=0,"",(popproj!AA36-old!AA36)/old!AA36)</f>
        <v>2.2084467571942889E-2</v>
      </c>
      <c r="AB36" s="2">
        <f>IF(popproj!AB36-old!AB36=0,"",(popproj!AB36-old!AB36)/old!AB36)</f>
        <v>2.2263617151660059E-2</v>
      </c>
      <c r="AC36" s="2">
        <f>IF(popproj!AC36-old!AC36=0,"",(popproj!AC36-old!AC36)/old!AC36)</f>
        <v>2.2498865912694139E-2</v>
      </c>
      <c r="AD36" s="2">
        <f>IF(popproj!AD36-old!AD36=0,"",(popproj!AD36-old!AD36)/old!AD36)</f>
        <v>2.2744812462388495E-2</v>
      </c>
      <c r="AE36" s="2">
        <f>IF(popproj!AE36-old!AE36=0,"",(popproj!AE36-old!AE36)/old!AE36)</f>
        <v>2.3040190704141025E-2</v>
      </c>
      <c r="AF36" s="2">
        <f>IF(popproj!AF36-old!AF36=0,"",(popproj!AF36-old!AF36)/old!AF36)</f>
        <v>2.3366270862741841E-2</v>
      </c>
      <c r="AG36" s="2">
        <f>IF(popproj!AG36-old!AG36=0,"",(popproj!AG36-old!AG36)/old!AG36)</f>
        <v>-1</v>
      </c>
      <c r="AH36" s="2">
        <f>IF(popproj!AH36-old!AH36=0,"",(popproj!AH36-old!AH36)/old!AH36)</f>
        <v>-1</v>
      </c>
      <c r="AI36" s="2">
        <f>IF(popproj!AI36-old!AI36=0,"",(popproj!AI36-old!AI36)/old!AI36)</f>
        <v>-1</v>
      </c>
      <c r="AJ36" s="2">
        <f>IF(popproj!AJ36-old!AJ36=0,"",(popproj!AJ36-old!AJ36)/old!AJ36)</f>
        <v>-1</v>
      </c>
      <c r="AK36" s="2">
        <f>IF(popproj!AK36-old!AK36=0,"",(popproj!AK36-old!AK36)/old!AK36)</f>
        <v>-1</v>
      </c>
      <c r="AL36" s="2">
        <f>IF(popproj!AL36-old!AL36=0,"",(popproj!AL36-old!AL36)/old!AL36)</f>
        <v>-1</v>
      </c>
      <c r="AM36" s="2">
        <f>IF(popproj!AM36-old!AM36=0,"",(popproj!AM36-old!AM36)/old!AM36)</f>
        <v>-1</v>
      </c>
      <c r="AN36" s="2">
        <f>IF(popproj!AN36-old!AN36=0,"",(popproj!AN36-old!AN36)/old!AN36)</f>
        <v>-1</v>
      </c>
      <c r="AO36" s="2">
        <f>IF(popproj!AO36-old!AO36=0,"",(popproj!AO36-old!AO36)/old!AO36)</f>
        <v>-1</v>
      </c>
      <c r="AP36" s="2">
        <f>IF(popproj!AP36-old!AP36=0,"",(popproj!AP36-old!AP36)/old!AP36)</f>
        <v>-1</v>
      </c>
      <c r="AQ36" s="2">
        <f>IF(popproj!AQ36-old!AQ36=0,"",(popproj!AQ36-old!AQ36)/old!AQ36)</f>
        <v>-1</v>
      </c>
      <c r="AR36" s="2">
        <f>IF(popproj!AR36-old!AR36=0,"",(popproj!AR36-old!AR36)/old!AR36)</f>
        <v>-1</v>
      </c>
      <c r="AS36" s="2">
        <f>IF(popproj!AS36-old!AS36=0,"",(popproj!AS36-old!AS36)/old!AS36)</f>
        <v>-1</v>
      </c>
      <c r="AT36" s="2">
        <f>IF(popproj!AT36-old!AT36=0,"",(popproj!AT36-old!AT36)/old!AT36)</f>
        <v>-1</v>
      </c>
      <c r="AU36" s="2">
        <f>IF(popproj!AU36-old!AU36=0,"",(popproj!AU36-old!AU36)/old!AU36)</f>
        <v>-1</v>
      </c>
      <c r="AV36" s="2">
        <f>IF(popproj!AV36-old!AV36=0,"",(popproj!AV36-old!AV36)/old!AV36)</f>
        <v>-1</v>
      </c>
      <c r="AW36" s="2">
        <f>IF(popproj!AW36-old!AW36=0,"",(popproj!AW36-old!AW36)/old!AW36)</f>
        <v>-1</v>
      </c>
      <c r="AX36" s="2">
        <f>IF(popproj!AX36-old!AX36=0,"",(popproj!AX36-old!AX36)/old!AX36)</f>
        <v>-1</v>
      </c>
      <c r="AY36" s="2">
        <f>IF(popproj!AY36-old!AY36=0,"",(popproj!AY36-old!AY36)/old!AY36)</f>
        <v>-1</v>
      </c>
      <c r="AZ36" s="2">
        <f>IF(popproj!AZ36-old!AZ36=0,"",(popproj!AZ36-old!AZ36)/old!AZ36)</f>
        <v>-1</v>
      </c>
      <c r="BA36" s="2">
        <f>IF(popproj!BA36-old!BA36=0,"",(popproj!BA36-old!BA36)/old!BA36)</f>
        <v>-1</v>
      </c>
      <c r="BB36" s="2">
        <f>IF(popproj!BB36-old!BB36=0,"",(popproj!BB36-old!BB36)/old!BB36)</f>
        <v>-1</v>
      </c>
      <c r="BC36" s="2">
        <f>IF(popproj!BC36-old!BC36=0,"",(popproj!BC36-old!BC36)/old!BC36)</f>
        <v>-1</v>
      </c>
      <c r="BD36" s="2">
        <f>IF(popproj!BD36-old!BD36=0,"",(popproj!BD36-old!BD36)/old!BD36)</f>
        <v>-1</v>
      </c>
      <c r="BE36" s="2">
        <f>IF(popproj!BE36-old!BE36=0,"",(popproj!BE36-old!BE36)/old!BE36)</f>
        <v>-1</v>
      </c>
      <c r="BF36" s="2">
        <f>IF(popproj!BF36-old!BF36=0,"",(popproj!BF36-old!BF36)/old!BF36)</f>
        <v>-1</v>
      </c>
      <c r="BG36" s="2">
        <f>IF(popproj!BG36-old!BG36=0,"",(popproj!BG36-old!BG36)/old!BG36)</f>
        <v>-1</v>
      </c>
      <c r="BH36" s="2">
        <f>IF(popproj!BH36-old!BH36=0,"",(popproj!BH36-old!BH36)/old!BH36)</f>
        <v>-1</v>
      </c>
      <c r="BI36" s="2">
        <f>IF(popproj!BI36-old!BI36=0,"",(popproj!BI36-old!BI36)/old!BI36)</f>
        <v>-1</v>
      </c>
      <c r="BJ36" s="2">
        <f>IF(popproj!BJ36-old!BJ36=0,"",(popproj!BJ36-old!BJ36)/old!BJ36)</f>
        <v>-1</v>
      </c>
      <c r="BK36" s="2">
        <f>IF(popproj!BK36-old!BK36=0,"",(popproj!BK36-old!BK36)/old!BK36)</f>
        <v>-1</v>
      </c>
      <c r="BL36" s="2">
        <f>IF(popproj!BL36-old!BL36=0,"",(popproj!BL36-old!BL36)/old!BL36)</f>
        <v>-1</v>
      </c>
      <c r="BM36" s="2">
        <f>IF(popproj!BM36-old!BM36=0,"",(popproj!BM36-old!BM36)/old!BM36)</f>
        <v>-1</v>
      </c>
      <c r="BN36" s="2">
        <f>IF(popproj!BN36-old!BN36=0,"",(popproj!BN36-old!BN36)/old!BN36)</f>
        <v>-1</v>
      </c>
      <c r="BO36" s="2">
        <f>IF(popproj!BO36-old!BO36=0,"",(popproj!BO36-old!BO36)/old!BO36)</f>
        <v>-1</v>
      </c>
    </row>
    <row r="37" spans="1:67" x14ac:dyDescent="0.2">
      <c r="A37" t="str">
        <f>popproj!A37</f>
        <v>EE_POPAF</v>
      </c>
      <c r="B37" s="2"/>
      <c r="C37" s="2"/>
      <c r="D37" s="2">
        <f>IF(popproj!D37-old!D37=0,"",(popproj!D37-old!D37)/old!D37)</f>
        <v>-1</v>
      </c>
      <c r="E37" s="2">
        <f>IF(popproj!E37-old!E37=0,"",(popproj!E37-old!E37)/old!E37)</f>
        <v>-3.1611085477553182E-3</v>
      </c>
      <c r="F37" s="2">
        <f>IF(popproj!F37-old!F37=0,"",(popproj!F37-old!F37)/old!F37)</f>
        <v>7.3861016919416636E-3</v>
      </c>
      <c r="G37" s="2">
        <f>IF(popproj!G37-old!G37=0,"",(popproj!G37-old!G37)/old!G37)</f>
        <v>8.3151907146223822E-3</v>
      </c>
      <c r="H37" s="2">
        <f>IF(popproj!H37-old!H37=0,"",(popproj!H37-old!H37)/old!H37)</f>
        <v>9.4080063735435451E-3</v>
      </c>
      <c r="I37" s="2">
        <f>IF(popproj!I37-old!I37=0,"",(popproj!I37-old!I37)/old!I37)</f>
        <v>1.0459669542170468E-2</v>
      </c>
      <c r="J37" s="2">
        <f>IF(popproj!J37-old!J37=0,"",(popproj!J37-old!J37)/old!J37)</f>
        <v>1.1540765325661093E-2</v>
      </c>
      <c r="K37" s="2">
        <f>IF(popproj!K37-old!K37=0,"",(popproj!K37-old!K37)/old!K37)</f>
        <v>1.2352561671698244E-2</v>
      </c>
      <c r="L37" s="2">
        <f>IF(popproj!L37-old!L37=0,"",(popproj!L37-old!L37)/old!L37)</f>
        <v>1.3018745768240428E-2</v>
      </c>
      <c r="M37" s="2">
        <f>IF(popproj!M37-old!M37=0,"",(popproj!M37-old!M37)/old!M37)</f>
        <v>1.3481668382497336E-2</v>
      </c>
      <c r="N37" s="2">
        <f>IF(popproj!N37-old!N37=0,"",(popproj!N37-old!N37)/old!N37)</f>
        <v>1.381520448292942E-2</v>
      </c>
      <c r="O37" s="2">
        <f>IF(popproj!O37-old!O37=0,"",(popproj!O37-old!O37)/old!O37)</f>
        <v>1.4113458475858242E-2</v>
      </c>
      <c r="P37" s="2">
        <f>IF(popproj!P37-old!P37=0,"",(popproj!P37-old!P37)/old!P37)</f>
        <v>1.4530744887024783E-2</v>
      </c>
      <c r="Q37" s="2">
        <f>IF(popproj!Q37-old!Q37=0,"",(popproj!Q37-old!Q37)/old!Q37)</f>
        <v>1.3574814829663336E-2</v>
      </c>
      <c r="R37" s="2">
        <f>IF(popproj!R37-old!R37=0,"",(popproj!R37-old!R37)/old!R37)</f>
        <v>1.3410396725073805E-2</v>
      </c>
      <c r="S37" s="2">
        <f>IF(popproj!S37-old!S37=0,"",(popproj!S37-old!S37)/old!S37)</f>
        <v>1.3186483325761842E-2</v>
      </c>
      <c r="T37" s="2">
        <f>IF(popproj!T37-old!T37=0,"",(popproj!T37-old!T37)/old!T37)</f>
        <v>1.2603479122234239E-2</v>
      </c>
      <c r="U37" s="2">
        <f>IF(popproj!U37-old!U37=0,"",(popproj!U37-old!U37)/old!U37)</f>
        <v>1.0567638354632685E-2</v>
      </c>
      <c r="V37" s="2">
        <f>IF(popproj!V37-old!V37=0,"",(popproj!V37-old!V37)/old!V37)</f>
        <v>8.8505903438141267E-3</v>
      </c>
      <c r="W37" s="2">
        <f>IF(popproj!W37-old!W37=0,"",(popproj!W37-old!W37)/old!W37)</f>
        <v>7.2035767802065311E-3</v>
      </c>
      <c r="X37" s="2">
        <f>IF(popproj!X37-old!X37=0,"",(popproj!X37-old!X37)/old!X37)</f>
        <v>5.6266281577859291E-3</v>
      </c>
      <c r="Y37" s="2">
        <f>IF(popproj!Y37-old!Y37=0,"",(popproj!Y37-old!Y37)/old!Y37)</f>
        <v>4.1383025613399285E-3</v>
      </c>
      <c r="Z37" s="2">
        <f>IF(popproj!Z37-old!Z37=0,"",(popproj!Z37-old!Z37)/old!Z37)</f>
        <v>2.7070327606209602E-3</v>
      </c>
      <c r="AA37" s="2">
        <f>IF(popproj!AA37-old!AA37=0,"",(popproj!AA37-old!AA37)/old!AA37)</f>
        <v>1.3375639910938562E-3</v>
      </c>
      <c r="AB37" s="2">
        <f>IF(popproj!AB37-old!AB37=0,"",(popproj!AB37-old!AB37)/old!AB37)</f>
        <v>4.5340585079031728E-5</v>
      </c>
      <c r="AC37" s="2">
        <f>IF(popproj!AC37-old!AC37=0,"",(popproj!AC37-old!AC37)/old!AC37)</f>
        <v>-1.1733312363745099E-3</v>
      </c>
      <c r="AD37" s="2">
        <f>IF(popproj!AD37-old!AD37=0,"",(popproj!AD37-old!AD37)/old!AD37)</f>
        <v>-2.2353564417114187E-3</v>
      </c>
      <c r="AE37" s="2">
        <f>IF(popproj!AE37-old!AE37=0,"",(popproj!AE37-old!AE37)/old!AE37)</f>
        <v>-3.2570641813616718E-3</v>
      </c>
      <c r="AF37" s="2">
        <f>IF(popproj!AF37-old!AF37=0,"",(popproj!AF37-old!AF37)/old!AF37)</f>
        <v>-4.2388879534213881E-3</v>
      </c>
      <c r="AG37" s="2">
        <f>IF(popproj!AG37-old!AG37=0,"",(popproj!AG37-old!AG37)/old!AG37)</f>
        <v>-1</v>
      </c>
      <c r="AH37" s="2">
        <f>IF(popproj!AH37-old!AH37=0,"",(popproj!AH37-old!AH37)/old!AH37)</f>
        <v>-1</v>
      </c>
      <c r="AI37" s="2">
        <f>IF(popproj!AI37-old!AI37=0,"",(popproj!AI37-old!AI37)/old!AI37)</f>
        <v>-1</v>
      </c>
      <c r="AJ37" s="2">
        <f>IF(popproj!AJ37-old!AJ37=0,"",(popproj!AJ37-old!AJ37)/old!AJ37)</f>
        <v>-1</v>
      </c>
      <c r="AK37" s="2">
        <f>IF(popproj!AK37-old!AK37=0,"",(popproj!AK37-old!AK37)/old!AK37)</f>
        <v>-1</v>
      </c>
      <c r="AL37" s="2">
        <f>IF(popproj!AL37-old!AL37=0,"",(popproj!AL37-old!AL37)/old!AL37)</f>
        <v>-1</v>
      </c>
      <c r="AM37" s="2">
        <f>IF(popproj!AM37-old!AM37=0,"",(popproj!AM37-old!AM37)/old!AM37)</f>
        <v>-1</v>
      </c>
      <c r="AN37" s="2">
        <f>IF(popproj!AN37-old!AN37=0,"",(popproj!AN37-old!AN37)/old!AN37)</f>
        <v>-1</v>
      </c>
      <c r="AO37" s="2">
        <f>IF(popproj!AO37-old!AO37=0,"",(popproj!AO37-old!AO37)/old!AO37)</f>
        <v>-1</v>
      </c>
      <c r="AP37" s="2">
        <f>IF(popproj!AP37-old!AP37=0,"",(popproj!AP37-old!AP37)/old!AP37)</f>
        <v>-1</v>
      </c>
      <c r="AQ37" s="2">
        <f>IF(popproj!AQ37-old!AQ37=0,"",(popproj!AQ37-old!AQ37)/old!AQ37)</f>
        <v>-1</v>
      </c>
      <c r="AR37" s="2">
        <f>IF(popproj!AR37-old!AR37=0,"",(popproj!AR37-old!AR37)/old!AR37)</f>
        <v>-1</v>
      </c>
      <c r="AS37" s="2">
        <f>IF(popproj!AS37-old!AS37=0,"",(popproj!AS37-old!AS37)/old!AS37)</f>
        <v>-1</v>
      </c>
      <c r="AT37" s="2">
        <f>IF(popproj!AT37-old!AT37=0,"",(popproj!AT37-old!AT37)/old!AT37)</f>
        <v>-1</v>
      </c>
      <c r="AU37" s="2">
        <f>IF(popproj!AU37-old!AU37=0,"",(popproj!AU37-old!AU37)/old!AU37)</f>
        <v>-1</v>
      </c>
      <c r="AV37" s="2">
        <f>IF(popproj!AV37-old!AV37=0,"",(popproj!AV37-old!AV37)/old!AV37)</f>
        <v>-1</v>
      </c>
      <c r="AW37" s="2">
        <f>IF(popproj!AW37-old!AW37=0,"",(popproj!AW37-old!AW37)/old!AW37)</f>
        <v>-1</v>
      </c>
      <c r="AX37" s="2">
        <f>IF(popproj!AX37-old!AX37=0,"",(popproj!AX37-old!AX37)/old!AX37)</f>
        <v>-1</v>
      </c>
      <c r="AY37" s="2">
        <f>IF(popproj!AY37-old!AY37=0,"",(popproj!AY37-old!AY37)/old!AY37)</f>
        <v>-1</v>
      </c>
      <c r="AZ37" s="2">
        <f>IF(popproj!AZ37-old!AZ37=0,"",(popproj!AZ37-old!AZ37)/old!AZ37)</f>
        <v>-1</v>
      </c>
      <c r="BA37" s="2">
        <f>IF(popproj!BA37-old!BA37=0,"",(popproj!BA37-old!BA37)/old!BA37)</f>
        <v>-1</v>
      </c>
      <c r="BB37" s="2">
        <f>IF(popproj!BB37-old!BB37=0,"",(popproj!BB37-old!BB37)/old!BB37)</f>
        <v>-1</v>
      </c>
      <c r="BC37" s="2">
        <f>IF(popproj!BC37-old!BC37=0,"",(popproj!BC37-old!BC37)/old!BC37)</f>
        <v>-1</v>
      </c>
      <c r="BD37" s="2">
        <f>IF(popproj!BD37-old!BD37=0,"",(popproj!BD37-old!BD37)/old!BD37)</f>
        <v>-1</v>
      </c>
      <c r="BE37" s="2">
        <f>IF(popproj!BE37-old!BE37=0,"",(popproj!BE37-old!BE37)/old!BE37)</f>
        <v>-1</v>
      </c>
      <c r="BF37" s="2">
        <f>IF(popproj!BF37-old!BF37=0,"",(popproj!BF37-old!BF37)/old!BF37)</f>
        <v>-1</v>
      </c>
      <c r="BG37" s="2">
        <f>IF(popproj!BG37-old!BG37=0,"",(popproj!BG37-old!BG37)/old!BG37)</f>
        <v>-1</v>
      </c>
      <c r="BH37" s="2">
        <f>IF(popproj!BH37-old!BH37=0,"",(popproj!BH37-old!BH37)/old!BH37)</f>
        <v>-1</v>
      </c>
      <c r="BI37" s="2">
        <f>IF(popproj!BI37-old!BI37=0,"",(popproj!BI37-old!BI37)/old!BI37)</f>
        <v>-1</v>
      </c>
      <c r="BJ37" s="2">
        <f>IF(popproj!BJ37-old!BJ37=0,"",(popproj!BJ37-old!BJ37)/old!BJ37)</f>
        <v>-1</v>
      </c>
      <c r="BK37" s="2">
        <f>IF(popproj!BK37-old!BK37=0,"",(popproj!BK37-old!BK37)/old!BK37)</f>
        <v>-1</v>
      </c>
      <c r="BL37" s="2">
        <f>IF(popproj!BL37-old!BL37=0,"",(popproj!BL37-old!BL37)/old!BL37)</f>
        <v>-1</v>
      </c>
      <c r="BM37" s="2">
        <f>IF(popproj!BM37-old!BM37=0,"",(popproj!BM37-old!BM37)/old!BM37)</f>
        <v>-1</v>
      </c>
      <c r="BN37" s="2">
        <f>IF(popproj!BN37-old!BN37=0,"",(popproj!BN37-old!BN37)/old!BN37)</f>
        <v>-1</v>
      </c>
      <c r="BO37" s="2">
        <f>IF(popproj!BO37-old!BO37=0,"",(popproj!BO37-old!BO37)/old!BO37)</f>
        <v>-1</v>
      </c>
    </row>
    <row r="38" spans="1:67" x14ac:dyDescent="0.2">
      <c r="A38" t="str">
        <f>popproj!A38</f>
        <v>EL_POPAF</v>
      </c>
      <c r="B38" s="2"/>
      <c r="C38" s="2"/>
      <c r="D38" s="2">
        <f>IF(popproj!D38-old!D38=0,"",(popproj!D38-old!D38)/old!D38)</f>
        <v>-1</v>
      </c>
      <c r="E38" s="2">
        <f>IF(popproj!E38-old!E38=0,"",(popproj!E38-old!E38)/old!E38)</f>
        <v>1.1494612228852847E-3</v>
      </c>
      <c r="F38" s="2">
        <f>IF(popproj!F38-old!F38=0,"",(popproj!F38-old!F38)/old!F38)</f>
        <v>-3.6907564373255238E-3</v>
      </c>
      <c r="G38" s="2">
        <f>IF(popproj!G38-old!G38=0,"",(popproj!G38-old!G38)/old!G38)</f>
        <v>-1.7475628219037677E-3</v>
      </c>
      <c r="H38" s="2">
        <f>IF(popproj!H38-old!H38=0,"",(popproj!H38-old!H38)/old!H38)</f>
        <v>-9.9229963040922578E-4</v>
      </c>
      <c r="I38" s="2">
        <f>IF(popproj!I38-old!I38=0,"",(popproj!I38-old!I38)/old!I38)</f>
        <v>-1.3845994436024328E-4</v>
      </c>
      <c r="J38" s="2">
        <f>IF(popproj!J38-old!J38=0,"",(popproj!J38-old!J38)/old!J38)</f>
        <v>8.2666514213317716E-4</v>
      </c>
      <c r="K38" s="2">
        <f>IF(popproj!K38-old!K38=0,"",(popproj!K38-old!K38)/old!K38)</f>
        <v>2.1213124831406709E-3</v>
      </c>
      <c r="L38" s="2">
        <f>IF(popproj!L38-old!L38=0,"",(popproj!L38-old!L38)/old!L38)</f>
        <v>3.4544050707510168E-3</v>
      </c>
      <c r="M38" s="2">
        <f>IF(popproj!M38-old!M38=0,"",(popproj!M38-old!M38)/old!M38)</f>
        <v>4.7897268311154354E-3</v>
      </c>
      <c r="N38" s="2">
        <f>IF(popproj!N38-old!N38=0,"",(popproj!N38-old!N38)/old!N38)</f>
        <v>6.1290287085025144E-3</v>
      </c>
      <c r="O38" s="2">
        <f>IF(popproj!O38-old!O38=0,"",(popproj!O38-old!O38)/old!O38)</f>
        <v>7.4528147623135442E-3</v>
      </c>
      <c r="P38" s="2">
        <f>IF(popproj!P38-old!P38=0,"",(popproj!P38-old!P38)/old!P38)</f>
        <v>8.4192267763977761E-3</v>
      </c>
      <c r="Q38" s="2">
        <f>IF(popproj!Q38-old!Q38=0,"",(popproj!Q38-old!Q38)/old!Q38)</f>
        <v>9.19181740292274E-3</v>
      </c>
      <c r="R38" s="2">
        <f>IF(popproj!R38-old!R38=0,"",(popproj!R38-old!R38)/old!R38)</f>
        <v>9.9492650288309226E-3</v>
      </c>
      <c r="S38" s="2">
        <f>IF(popproj!S38-old!S38=0,"",(popproj!S38-old!S38)/old!S38)</f>
        <v>1.0474888380936105E-2</v>
      </c>
      <c r="T38" s="2">
        <f>IF(popproj!T38-old!T38=0,"",(popproj!T38-old!T38)/old!T38)</f>
        <v>1.1565300989317807E-2</v>
      </c>
      <c r="U38" s="2">
        <f>IF(popproj!U38-old!U38=0,"",(popproj!U38-old!U38)/old!U38)</f>
        <v>1.1603794133789177E-2</v>
      </c>
      <c r="V38" s="2">
        <f>IF(popproj!V38-old!V38=0,"",(popproj!V38-old!V38)/old!V38)</f>
        <v>1.156187684834673E-2</v>
      </c>
      <c r="W38" s="2">
        <f>IF(popproj!W38-old!W38=0,"",(popproj!W38-old!W38)/old!W38)</f>
        <v>1.164657668564458E-2</v>
      </c>
      <c r="X38" s="2">
        <f>IF(popproj!X38-old!X38=0,"",(popproj!X38-old!X38)/old!X38)</f>
        <v>1.1901170254196135E-2</v>
      </c>
      <c r="Y38" s="2">
        <f>IF(popproj!Y38-old!Y38=0,"",(popproj!Y38-old!Y38)/old!Y38)</f>
        <v>1.233943434507595E-2</v>
      </c>
      <c r="Z38" s="2">
        <f>IF(popproj!Z38-old!Z38=0,"",(popproj!Z38-old!Z38)/old!Z38)</f>
        <v>1.299877962522963E-2</v>
      </c>
      <c r="AA38" s="2">
        <f>IF(popproj!AA38-old!AA38=0,"",(popproj!AA38-old!AA38)/old!AA38)</f>
        <v>1.3792751457955747E-2</v>
      </c>
      <c r="AB38" s="2">
        <f>IF(popproj!AB38-old!AB38=0,"",(popproj!AB38-old!AB38)/old!AB38)</f>
        <v>1.4729644250291787E-2</v>
      </c>
      <c r="AC38" s="2">
        <f>IF(popproj!AC38-old!AC38=0,"",(popproj!AC38-old!AC38)/old!AC38)</f>
        <v>1.5797127518817431E-2</v>
      </c>
      <c r="AD38" s="2">
        <f>IF(popproj!AD38-old!AD38=0,"",(popproj!AD38-old!AD38)/old!AD38)</f>
        <v>1.7032908259082487E-2</v>
      </c>
      <c r="AE38" s="2">
        <f>IF(popproj!AE38-old!AE38=0,"",(popproj!AE38-old!AE38)/old!AE38)</f>
        <v>1.8418405236363254E-2</v>
      </c>
      <c r="AF38" s="2">
        <f>IF(popproj!AF38-old!AF38=0,"",(popproj!AF38-old!AF38)/old!AF38)</f>
        <v>2.0001310495325761E-2</v>
      </c>
      <c r="AG38" s="2">
        <f>IF(popproj!AG38-old!AG38=0,"",(popproj!AG38-old!AG38)/old!AG38)</f>
        <v>-1</v>
      </c>
      <c r="AH38" s="2">
        <f>IF(popproj!AH38-old!AH38=0,"",(popproj!AH38-old!AH38)/old!AH38)</f>
        <v>-1</v>
      </c>
      <c r="AI38" s="2">
        <f>IF(popproj!AI38-old!AI38=0,"",(popproj!AI38-old!AI38)/old!AI38)</f>
        <v>-1</v>
      </c>
      <c r="AJ38" s="2">
        <f>IF(popproj!AJ38-old!AJ38=0,"",(popproj!AJ38-old!AJ38)/old!AJ38)</f>
        <v>-1</v>
      </c>
      <c r="AK38" s="2">
        <f>IF(popproj!AK38-old!AK38=0,"",(popproj!AK38-old!AK38)/old!AK38)</f>
        <v>-1</v>
      </c>
      <c r="AL38" s="2">
        <f>IF(popproj!AL38-old!AL38=0,"",(popproj!AL38-old!AL38)/old!AL38)</f>
        <v>-1</v>
      </c>
      <c r="AM38" s="2">
        <f>IF(popproj!AM38-old!AM38=0,"",(popproj!AM38-old!AM38)/old!AM38)</f>
        <v>-1</v>
      </c>
      <c r="AN38" s="2">
        <f>IF(popproj!AN38-old!AN38=0,"",(popproj!AN38-old!AN38)/old!AN38)</f>
        <v>-1</v>
      </c>
      <c r="AO38" s="2">
        <f>IF(popproj!AO38-old!AO38=0,"",(popproj!AO38-old!AO38)/old!AO38)</f>
        <v>-1</v>
      </c>
      <c r="AP38" s="2">
        <f>IF(popproj!AP38-old!AP38=0,"",(popproj!AP38-old!AP38)/old!AP38)</f>
        <v>-1</v>
      </c>
      <c r="AQ38" s="2">
        <f>IF(popproj!AQ38-old!AQ38=0,"",(popproj!AQ38-old!AQ38)/old!AQ38)</f>
        <v>-1</v>
      </c>
      <c r="AR38" s="2">
        <f>IF(popproj!AR38-old!AR38=0,"",(popproj!AR38-old!AR38)/old!AR38)</f>
        <v>-1</v>
      </c>
      <c r="AS38" s="2">
        <f>IF(popproj!AS38-old!AS38=0,"",(popproj!AS38-old!AS38)/old!AS38)</f>
        <v>-1</v>
      </c>
      <c r="AT38" s="2">
        <f>IF(popproj!AT38-old!AT38=0,"",(popproj!AT38-old!AT38)/old!AT38)</f>
        <v>-1</v>
      </c>
      <c r="AU38" s="2">
        <f>IF(popproj!AU38-old!AU38=0,"",(popproj!AU38-old!AU38)/old!AU38)</f>
        <v>-1</v>
      </c>
      <c r="AV38" s="2">
        <f>IF(popproj!AV38-old!AV38=0,"",(popproj!AV38-old!AV38)/old!AV38)</f>
        <v>-1</v>
      </c>
      <c r="AW38" s="2">
        <f>IF(popproj!AW38-old!AW38=0,"",(popproj!AW38-old!AW38)/old!AW38)</f>
        <v>-1</v>
      </c>
      <c r="AX38" s="2">
        <f>IF(popproj!AX38-old!AX38=0,"",(popproj!AX38-old!AX38)/old!AX38)</f>
        <v>-1</v>
      </c>
      <c r="AY38" s="2">
        <f>IF(popproj!AY38-old!AY38=0,"",(popproj!AY38-old!AY38)/old!AY38)</f>
        <v>-1</v>
      </c>
      <c r="AZ38" s="2">
        <f>IF(popproj!AZ38-old!AZ38=0,"",(popproj!AZ38-old!AZ38)/old!AZ38)</f>
        <v>-1</v>
      </c>
      <c r="BA38" s="2">
        <f>IF(popproj!BA38-old!BA38=0,"",(popproj!BA38-old!BA38)/old!BA38)</f>
        <v>-1</v>
      </c>
      <c r="BB38" s="2">
        <f>IF(popproj!BB38-old!BB38=0,"",(popproj!BB38-old!BB38)/old!BB38)</f>
        <v>-1</v>
      </c>
      <c r="BC38" s="2">
        <f>IF(popproj!BC38-old!BC38=0,"",(popproj!BC38-old!BC38)/old!BC38)</f>
        <v>-1</v>
      </c>
      <c r="BD38" s="2">
        <f>IF(popproj!BD38-old!BD38=0,"",(popproj!BD38-old!BD38)/old!BD38)</f>
        <v>-1</v>
      </c>
      <c r="BE38" s="2">
        <f>IF(popproj!BE38-old!BE38=0,"",(popproj!BE38-old!BE38)/old!BE38)</f>
        <v>-1</v>
      </c>
      <c r="BF38" s="2">
        <f>IF(popproj!BF38-old!BF38=0,"",(popproj!BF38-old!BF38)/old!BF38)</f>
        <v>-1</v>
      </c>
      <c r="BG38" s="2">
        <f>IF(popproj!BG38-old!BG38=0,"",(popproj!BG38-old!BG38)/old!BG38)</f>
        <v>-1</v>
      </c>
      <c r="BH38" s="2">
        <f>IF(popproj!BH38-old!BH38=0,"",(popproj!BH38-old!BH38)/old!BH38)</f>
        <v>-1</v>
      </c>
      <c r="BI38" s="2">
        <f>IF(popproj!BI38-old!BI38=0,"",(popproj!BI38-old!BI38)/old!BI38)</f>
        <v>-1</v>
      </c>
      <c r="BJ38" s="2">
        <f>IF(popproj!BJ38-old!BJ38=0,"",(popproj!BJ38-old!BJ38)/old!BJ38)</f>
        <v>-1</v>
      </c>
      <c r="BK38" s="2">
        <f>IF(popproj!BK38-old!BK38=0,"",(popproj!BK38-old!BK38)/old!BK38)</f>
        <v>-1</v>
      </c>
      <c r="BL38" s="2">
        <f>IF(popproj!BL38-old!BL38=0,"",(popproj!BL38-old!BL38)/old!BL38)</f>
        <v>-1</v>
      </c>
      <c r="BM38" s="2">
        <f>IF(popproj!BM38-old!BM38=0,"",(popproj!BM38-old!BM38)/old!BM38)</f>
        <v>-1</v>
      </c>
      <c r="BN38" s="2">
        <f>IF(popproj!BN38-old!BN38=0,"",(popproj!BN38-old!BN38)/old!BN38)</f>
        <v>-1</v>
      </c>
      <c r="BO38" s="2">
        <f>IF(popproj!BO38-old!BO38=0,"",(popproj!BO38-old!BO38)/old!BO38)</f>
        <v>-1</v>
      </c>
    </row>
    <row r="39" spans="1:67" x14ac:dyDescent="0.2">
      <c r="A39" t="str">
        <f>popproj!A39</f>
        <v>ES_POPAF</v>
      </c>
      <c r="B39" s="2"/>
      <c r="C39" s="2"/>
      <c r="D39" s="2">
        <f>IF(popproj!D39-old!D39=0,"",(popproj!D39-old!D39)/old!D39)</f>
        <v>-1</v>
      </c>
      <c r="E39" s="2">
        <f>IF(popproj!E39-old!E39=0,"",(popproj!E39-old!E39)/old!E39)</f>
        <v>5.1584690811885877E-3</v>
      </c>
      <c r="F39" s="2">
        <f>IF(popproj!F39-old!F39=0,"",(popproj!F39-old!F39)/old!F39)</f>
        <v>8.5369262353746488E-3</v>
      </c>
      <c r="G39" s="2">
        <f>IF(popproj!G39-old!G39=0,"",(popproj!G39-old!G39)/old!G39)</f>
        <v>1.2106710968973648E-2</v>
      </c>
      <c r="H39" s="2">
        <f>IF(popproj!H39-old!H39=0,"",(popproj!H39-old!H39)/old!H39)</f>
        <v>1.4629582201550504E-2</v>
      </c>
      <c r="I39" s="2">
        <f>IF(popproj!I39-old!I39=0,"",(popproj!I39-old!I39)/old!I39)</f>
        <v>1.680980229707485E-2</v>
      </c>
      <c r="J39" s="2">
        <f>IF(popproj!J39-old!J39=0,"",(popproj!J39-old!J39)/old!J39)</f>
        <v>1.8938517101746679E-2</v>
      </c>
      <c r="K39" s="2">
        <f>IF(popproj!K39-old!K39=0,"",(popproj!K39-old!K39)/old!K39)</f>
        <v>2.0699066530013247E-2</v>
      </c>
      <c r="L39" s="2">
        <f>IF(popproj!L39-old!L39=0,"",(popproj!L39-old!L39)/old!L39)</f>
        <v>2.2433741818519457E-2</v>
      </c>
      <c r="M39" s="2">
        <f>IF(popproj!M39-old!M39=0,"",(popproj!M39-old!M39)/old!M39)</f>
        <v>2.4137721316202943E-2</v>
      </c>
      <c r="N39" s="2">
        <f>IF(popproj!N39-old!N39=0,"",(popproj!N39-old!N39)/old!N39)</f>
        <v>2.5875524361573511E-2</v>
      </c>
      <c r="O39" s="2">
        <f>IF(popproj!O39-old!O39=0,"",(popproj!O39-old!O39)/old!O39)</f>
        <v>2.764296682733805E-2</v>
      </c>
      <c r="P39" s="2">
        <f>IF(popproj!P39-old!P39=0,"",(popproj!P39-old!P39)/old!P39)</f>
        <v>2.9448823599586768E-2</v>
      </c>
      <c r="Q39" s="2">
        <f>IF(popproj!Q39-old!Q39=0,"",(popproj!Q39-old!Q39)/old!Q39)</f>
        <v>3.1094038042392882E-2</v>
      </c>
      <c r="R39" s="2">
        <f>IF(popproj!R39-old!R39=0,"",(popproj!R39-old!R39)/old!R39)</f>
        <v>3.2880374489328755E-2</v>
      </c>
      <c r="S39" s="2">
        <f>IF(popproj!S39-old!S39=0,"",(popproj!S39-old!S39)/old!S39)</f>
        <v>3.4820054352440261E-2</v>
      </c>
      <c r="T39" s="2">
        <f>IF(popproj!T39-old!T39=0,"",(popproj!T39-old!T39)/old!T39)</f>
        <v>3.6688963301821594E-2</v>
      </c>
      <c r="U39" s="2">
        <f>IF(popproj!U39-old!U39=0,"",(popproj!U39-old!U39)/old!U39)</f>
        <v>3.8520094489470573E-2</v>
      </c>
      <c r="V39" s="2">
        <f>IF(popproj!V39-old!V39=0,"",(popproj!V39-old!V39)/old!V39)</f>
        <v>4.0571012089798096E-2</v>
      </c>
      <c r="W39" s="2">
        <f>IF(popproj!W39-old!W39=0,"",(popproj!W39-old!W39)/old!W39)</f>
        <v>4.265362877044078E-2</v>
      </c>
      <c r="X39" s="2">
        <f>IF(popproj!X39-old!X39=0,"",(popproj!X39-old!X39)/old!X39)</f>
        <v>4.4786946878242598E-2</v>
      </c>
      <c r="Y39" s="2">
        <f>IF(popproj!Y39-old!Y39=0,"",(popproj!Y39-old!Y39)/old!Y39)</f>
        <v>4.6947716661664939E-2</v>
      </c>
      <c r="Z39" s="2">
        <f>IF(popproj!Z39-old!Z39=0,"",(popproj!Z39-old!Z39)/old!Z39)</f>
        <v>4.9151985683306233E-2</v>
      </c>
      <c r="AA39" s="2">
        <f>IF(popproj!AA39-old!AA39=0,"",(popproj!AA39-old!AA39)/old!AA39)</f>
        <v>5.1406808377484944E-2</v>
      </c>
      <c r="AB39" s="2">
        <f>IF(popproj!AB39-old!AB39=0,"",(popproj!AB39-old!AB39)/old!AB39)</f>
        <v>5.3658931605511322E-2</v>
      </c>
      <c r="AC39" s="2">
        <f>IF(popproj!AC39-old!AC39=0,"",(popproj!AC39-old!AC39)/old!AC39)</f>
        <v>5.5992387004434853E-2</v>
      </c>
      <c r="AD39" s="2">
        <f>IF(popproj!AD39-old!AD39=0,"",(popproj!AD39-old!AD39)/old!AD39)</f>
        <v>5.8383496553541601E-2</v>
      </c>
      <c r="AE39" s="2">
        <f>IF(popproj!AE39-old!AE39=0,"",(popproj!AE39-old!AE39)/old!AE39)</f>
        <v>6.084100676166608E-2</v>
      </c>
      <c r="AF39" s="2">
        <f>IF(popproj!AF39-old!AF39=0,"",(popproj!AF39-old!AF39)/old!AF39)</f>
        <v>6.3351403226865485E-2</v>
      </c>
      <c r="AG39" s="2">
        <f>IF(popproj!AG39-old!AG39=0,"",(popproj!AG39-old!AG39)/old!AG39)</f>
        <v>-1</v>
      </c>
      <c r="AH39" s="2">
        <f>IF(popproj!AH39-old!AH39=0,"",(popproj!AH39-old!AH39)/old!AH39)</f>
        <v>-1</v>
      </c>
      <c r="AI39" s="2">
        <f>IF(popproj!AI39-old!AI39=0,"",(popproj!AI39-old!AI39)/old!AI39)</f>
        <v>-1</v>
      </c>
      <c r="AJ39" s="2">
        <f>IF(popproj!AJ39-old!AJ39=0,"",(popproj!AJ39-old!AJ39)/old!AJ39)</f>
        <v>-1</v>
      </c>
      <c r="AK39" s="2">
        <f>IF(popproj!AK39-old!AK39=0,"",(popproj!AK39-old!AK39)/old!AK39)</f>
        <v>-1</v>
      </c>
      <c r="AL39" s="2">
        <f>IF(popproj!AL39-old!AL39=0,"",(popproj!AL39-old!AL39)/old!AL39)</f>
        <v>-1</v>
      </c>
      <c r="AM39" s="2">
        <f>IF(popproj!AM39-old!AM39=0,"",(popproj!AM39-old!AM39)/old!AM39)</f>
        <v>-1</v>
      </c>
      <c r="AN39" s="2">
        <f>IF(popproj!AN39-old!AN39=0,"",(popproj!AN39-old!AN39)/old!AN39)</f>
        <v>-1</v>
      </c>
      <c r="AO39" s="2">
        <f>IF(popproj!AO39-old!AO39=0,"",(popproj!AO39-old!AO39)/old!AO39)</f>
        <v>-1</v>
      </c>
      <c r="AP39" s="2">
        <f>IF(popproj!AP39-old!AP39=0,"",(popproj!AP39-old!AP39)/old!AP39)</f>
        <v>-1</v>
      </c>
      <c r="AQ39" s="2">
        <f>IF(popproj!AQ39-old!AQ39=0,"",(popproj!AQ39-old!AQ39)/old!AQ39)</f>
        <v>-1</v>
      </c>
      <c r="AR39" s="2">
        <f>IF(popproj!AR39-old!AR39=0,"",(popproj!AR39-old!AR39)/old!AR39)</f>
        <v>-1</v>
      </c>
      <c r="AS39" s="2">
        <f>IF(popproj!AS39-old!AS39=0,"",(popproj!AS39-old!AS39)/old!AS39)</f>
        <v>-1</v>
      </c>
      <c r="AT39" s="2">
        <f>IF(popproj!AT39-old!AT39=0,"",(popproj!AT39-old!AT39)/old!AT39)</f>
        <v>-1</v>
      </c>
      <c r="AU39" s="2">
        <f>IF(popproj!AU39-old!AU39=0,"",(popproj!AU39-old!AU39)/old!AU39)</f>
        <v>-1</v>
      </c>
      <c r="AV39" s="2">
        <f>IF(popproj!AV39-old!AV39=0,"",(popproj!AV39-old!AV39)/old!AV39)</f>
        <v>-1</v>
      </c>
      <c r="AW39" s="2">
        <f>IF(popproj!AW39-old!AW39=0,"",(popproj!AW39-old!AW39)/old!AW39)</f>
        <v>-1</v>
      </c>
      <c r="AX39" s="2">
        <f>IF(popproj!AX39-old!AX39=0,"",(popproj!AX39-old!AX39)/old!AX39)</f>
        <v>-1</v>
      </c>
      <c r="AY39" s="2">
        <f>IF(popproj!AY39-old!AY39=0,"",(popproj!AY39-old!AY39)/old!AY39)</f>
        <v>-1</v>
      </c>
      <c r="AZ39" s="2">
        <f>IF(popproj!AZ39-old!AZ39=0,"",(popproj!AZ39-old!AZ39)/old!AZ39)</f>
        <v>-1</v>
      </c>
      <c r="BA39" s="2">
        <f>IF(popproj!BA39-old!BA39=0,"",(popproj!BA39-old!BA39)/old!BA39)</f>
        <v>-1</v>
      </c>
      <c r="BB39" s="2">
        <f>IF(popproj!BB39-old!BB39=0,"",(popproj!BB39-old!BB39)/old!BB39)</f>
        <v>-1</v>
      </c>
      <c r="BC39" s="2">
        <f>IF(popproj!BC39-old!BC39=0,"",(popproj!BC39-old!BC39)/old!BC39)</f>
        <v>-1</v>
      </c>
      <c r="BD39" s="2">
        <f>IF(popproj!BD39-old!BD39=0,"",(popproj!BD39-old!BD39)/old!BD39)</f>
        <v>-1</v>
      </c>
      <c r="BE39" s="2">
        <f>IF(popproj!BE39-old!BE39=0,"",(popproj!BE39-old!BE39)/old!BE39)</f>
        <v>-1</v>
      </c>
      <c r="BF39" s="2">
        <f>IF(popproj!BF39-old!BF39=0,"",(popproj!BF39-old!BF39)/old!BF39)</f>
        <v>-1</v>
      </c>
      <c r="BG39" s="2">
        <f>IF(popproj!BG39-old!BG39=0,"",(popproj!BG39-old!BG39)/old!BG39)</f>
        <v>-1</v>
      </c>
      <c r="BH39" s="2">
        <f>IF(popproj!BH39-old!BH39=0,"",(popproj!BH39-old!BH39)/old!BH39)</f>
        <v>-1</v>
      </c>
      <c r="BI39" s="2">
        <f>IF(popproj!BI39-old!BI39=0,"",(popproj!BI39-old!BI39)/old!BI39)</f>
        <v>-1</v>
      </c>
      <c r="BJ39" s="2">
        <f>IF(popproj!BJ39-old!BJ39=0,"",(popproj!BJ39-old!BJ39)/old!BJ39)</f>
        <v>-1</v>
      </c>
      <c r="BK39" s="2">
        <f>IF(popproj!BK39-old!BK39=0,"",(popproj!BK39-old!BK39)/old!BK39)</f>
        <v>-1</v>
      </c>
      <c r="BL39" s="2">
        <f>IF(popproj!BL39-old!BL39=0,"",(popproj!BL39-old!BL39)/old!BL39)</f>
        <v>-1</v>
      </c>
      <c r="BM39" s="2">
        <f>IF(popproj!BM39-old!BM39=0,"",(popproj!BM39-old!BM39)/old!BM39)</f>
        <v>-1</v>
      </c>
      <c r="BN39" s="2">
        <f>IF(popproj!BN39-old!BN39=0,"",(popproj!BN39-old!BN39)/old!BN39)</f>
        <v>-1</v>
      </c>
      <c r="BO39" s="2">
        <f>IF(popproj!BO39-old!BO39=0,"",(popproj!BO39-old!BO39)/old!BO39)</f>
        <v>-1</v>
      </c>
    </row>
    <row r="40" spans="1:67" x14ac:dyDescent="0.2">
      <c r="A40" t="str">
        <f>popproj!A40</f>
        <v>FI_POPAF</v>
      </c>
      <c r="B40" s="2"/>
      <c r="C40" s="2"/>
      <c r="D40" s="2">
        <f>IF(popproj!D40-old!D40=0,"",(popproj!D40-old!D40)/old!D40)</f>
        <v>-1</v>
      </c>
      <c r="E40" s="2">
        <f>IF(popproj!E40-old!E40=0,"",(popproj!E40-old!E40)/old!E40)</f>
        <v>-1.0006411711835567E-3</v>
      </c>
      <c r="F40" s="2">
        <f>IF(popproj!F40-old!F40=0,"",(popproj!F40-old!F40)/old!F40)</f>
        <v>2.8483183883192971E-3</v>
      </c>
      <c r="G40" s="2">
        <f>IF(popproj!G40-old!G40=0,"",(popproj!G40-old!G40)/old!G40)</f>
        <v>7.4334068569808188E-3</v>
      </c>
      <c r="H40" s="2">
        <f>IF(popproj!H40-old!H40=0,"",(popproj!H40-old!H40)/old!H40)</f>
        <v>8.5249325064337515E-3</v>
      </c>
      <c r="I40" s="2">
        <f>IF(popproj!I40-old!I40=0,"",(popproj!I40-old!I40)/old!I40)</f>
        <v>9.9156543516681975E-3</v>
      </c>
      <c r="J40" s="2">
        <f>IF(popproj!J40-old!J40=0,"",(popproj!J40-old!J40)/old!J40)</f>
        <v>1.1657853563668857E-2</v>
      </c>
      <c r="K40" s="2">
        <f>IF(popproj!K40-old!K40=0,"",(popproj!K40-old!K40)/old!K40)</f>
        <v>1.3420338804107415E-2</v>
      </c>
      <c r="L40" s="2">
        <f>IF(popproj!L40-old!L40=0,"",(popproj!L40-old!L40)/old!L40)</f>
        <v>1.51939101090278E-2</v>
      </c>
      <c r="M40" s="2">
        <f>IF(popproj!M40-old!M40=0,"",(popproj!M40-old!M40)/old!M40)</f>
        <v>1.7018611179356696E-2</v>
      </c>
      <c r="N40" s="2">
        <f>IF(popproj!N40-old!N40=0,"",(popproj!N40-old!N40)/old!N40)</f>
        <v>1.8860443889679262E-2</v>
      </c>
      <c r="O40" s="2">
        <f>IF(popproj!O40-old!O40=0,"",(popproj!O40-old!O40)/old!O40)</f>
        <v>2.0766632800887575E-2</v>
      </c>
      <c r="P40" s="2">
        <f>IF(popproj!P40-old!P40=0,"",(popproj!P40-old!P40)/old!P40)</f>
        <v>2.2757302341684889E-2</v>
      </c>
      <c r="Q40" s="2">
        <f>IF(popproj!Q40-old!Q40=0,"",(popproj!Q40-old!Q40)/old!Q40)</f>
        <v>2.4371656109748244E-2</v>
      </c>
      <c r="R40" s="2">
        <f>IF(popproj!R40-old!R40=0,"",(popproj!R40-old!R40)/old!R40)</f>
        <v>2.6511437938813442E-2</v>
      </c>
      <c r="S40" s="2">
        <f>IF(popproj!S40-old!S40=0,"",(popproj!S40-old!S40)/old!S40)</f>
        <v>2.8745160192870177E-2</v>
      </c>
      <c r="T40" s="2">
        <f>IF(popproj!T40-old!T40=0,"",(popproj!T40-old!T40)/old!T40)</f>
        <v>3.0821704468265047E-2</v>
      </c>
      <c r="U40" s="2">
        <f>IF(popproj!U40-old!U40=0,"",(popproj!U40-old!U40)/old!U40)</f>
        <v>3.1994867414460032E-2</v>
      </c>
      <c r="V40" s="2">
        <f>IF(popproj!V40-old!V40=0,"",(popproj!V40-old!V40)/old!V40)</f>
        <v>3.3032179041016636E-2</v>
      </c>
      <c r="W40" s="2">
        <f>IF(popproj!W40-old!W40=0,"",(popproj!W40-old!W40)/old!W40)</f>
        <v>3.4054911372880005E-2</v>
      </c>
      <c r="X40" s="2">
        <f>IF(popproj!X40-old!X40=0,"",(popproj!X40-old!X40)/old!X40)</f>
        <v>3.5159188114600691E-2</v>
      </c>
      <c r="Y40" s="2">
        <f>IF(popproj!Y40-old!Y40=0,"",(popproj!Y40-old!Y40)/old!Y40)</f>
        <v>3.6310300133867997E-2</v>
      </c>
      <c r="Z40" s="2">
        <f>IF(popproj!Z40-old!Z40=0,"",(popproj!Z40-old!Z40)/old!Z40)</f>
        <v>3.7531393870046781E-2</v>
      </c>
      <c r="AA40" s="2">
        <f>IF(popproj!AA40-old!AA40=0,"",(popproj!AA40-old!AA40)/old!AA40)</f>
        <v>3.8746690495017708E-2</v>
      </c>
      <c r="AB40" s="2">
        <f>IF(popproj!AB40-old!AB40=0,"",(popproj!AB40-old!AB40)/old!AB40)</f>
        <v>4.000059138158208E-2</v>
      </c>
      <c r="AC40" s="2">
        <f>IF(popproj!AC40-old!AC40=0,"",(popproj!AC40-old!AC40)/old!AC40)</f>
        <v>4.1286310707337667E-2</v>
      </c>
      <c r="AD40" s="2">
        <f>IF(popproj!AD40-old!AD40=0,"",(popproj!AD40-old!AD40)/old!AD40)</f>
        <v>4.2609111426011426E-2</v>
      </c>
      <c r="AE40" s="2">
        <f>IF(popproj!AE40-old!AE40=0,"",(popproj!AE40-old!AE40)/old!AE40)</f>
        <v>4.3935402746515237E-2</v>
      </c>
      <c r="AF40" s="2">
        <f>IF(popproj!AF40-old!AF40=0,"",(popproj!AF40-old!AF40)/old!AF40)</f>
        <v>4.5361558872118367E-2</v>
      </c>
      <c r="AG40" s="2">
        <f>IF(popproj!AG40-old!AG40=0,"",(popproj!AG40-old!AG40)/old!AG40)</f>
        <v>-1</v>
      </c>
      <c r="AH40" s="2">
        <f>IF(popproj!AH40-old!AH40=0,"",(popproj!AH40-old!AH40)/old!AH40)</f>
        <v>-1</v>
      </c>
      <c r="AI40" s="2">
        <f>IF(popproj!AI40-old!AI40=0,"",(popproj!AI40-old!AI40)/old!AI40)</f>
        <v>-1</v>
      </c>
      <c r="AJ40" s="2">
        <f>IF(popproj!AJ40-old!AJ40=0,"",(popproj!AJ40-old!AJ40)/old!AJ40)</f>
        <v>-1</v>
      </c>
      <c r="AK40" s="2">
        <f>IF(popproj!AK40-old!AK40=0,"",(popproj!AK40-old!AK40)/old!AK40)</f>
        <v>-1</v>
      </c>
      <c r="AL40" s="2">
        <f>IF(popproj!AL40-old!AL40=0,"",(popproj!AL40-old!AL40)/old!AL40)</f>
        <v>-1</v>
      </c>
      <c r="AM40" s="2">
        <f>IF(popproj!AM40-old!AM40=0,"",(popproj!AM40-old!AM40)/old!AM40)</f>
        <v>-1</v>
      </c>
      <c r="AN40" s="2">
        <f>IF(popproj!AN40-old!AN40=0,"",(popproj!AN40-old!AN40)/old!AN40)</f>
        <v>-1</v>
      </c>
      <c r="AO40" s="2">
        <f>IF(popproj!AO40-old!AO40=0,"",(popproj!AO40-old!AO40)/old!AO40)</f>
        <v>-1</v>
      </c>
      <c r="AP40" s="2">
        <f>IF(popproj!AP40-old!AP40=0,"",(popproj!AP40-old!AP40)/old!AP40)</f>
        <v>-1</v>
      </c>
      <c r="AQ40" s="2">
        <f>IF(popproj!AQ40-old!AQ40=0,"",(popproj!AQ40-old!AQ40)/old!AQ40)</f>
        <v>-1</v>
      </c>
      <c r="AR40" s="2">
        <f>IF(popproj!AR40-old!AR40=0,"",(popproj!AR40-old!AR40)/old!AR40)</f>
        <v>-1</v>
      </c>
      <c r="AS40" s="2">
        <f>IF(popproj!AS40-old!AS40=0,"",(popproj!AS40-old!AS40)/old!AS40)</f>
        <v>-1</v>
      </c>
      <c r="AT40" s="2">
        <f>IF(popproj!AT40-old!AT40=0,"",(popproj!AT40-old!AT40)/old!AT40)</f>
        <v>-1</v>
      </c>
      <c r="AU40" s="2">
        <f>IF(popproj!AU40-old!AU40=0,"",(popproj!AU40-old!AU40)/old!AU40)</f>
        <v>-1</v>
      </c>
      <c r="AV40" s="2">
        <f>IF(popproj!AV40-old!AV40=0,"",(popproj!AV40-old!AV40)/old!AV40)</f>
        <v>-1</v>
      </c>
      <c r="AW40" s="2">
        <f>IF(popproj!AW40-old!AW40=0,"",(popproj!AW40-old!AW40)/old!AW40)</f>
        <v>-1</v>
      </c>
      <c r="AX40" s="2">
        <f>IF(popproj!AX40-old!AX40=0,"",(popproj!AX40-old!AX40)/old!AX40)</f>
        <v>-1</v>
      </c>
      <c r="AY40" s="2">
        <f>IF(popproj!AY40-old!AY40=0,"",(popproj!AY40-old!AY40)/old!AY40)</f>
        <v>-1</v>
      </c>
      <c r="AZ40" s="2">
        <f>IF(popproj!AZ40-old!AZ40=0,"",(popproj!AZ40-old!AZ40)/old!AZ40)</f>
        <v>-1</v>
      </c>
      <c r="BA40" s="2">
        <f>IF(popproj!BA40-old!BA40=0,"",(popproj!BA40-old!BA40)/old!BA40)</f>
        <v>-1</v>
      </c>
      <c r="BB40" s="2">
        <f>IF(popproj!BB40-old!BB40=0,"",(popproj!BB40-old!BB40)/old!BB40)</f>
        <v>-1</v>
      </c>
      <c r="BC40" s="2">
        <f>IF(popproj!BC40-old!BC40=0,"",(popproj!BC40-old!BC40)/old!BC40)</f>
        <v>-1</v>
      </c>
      <c r="BD40" s="2">
        <f>IF(popproj!BD40-old!BD40=0,"",(popproj!BD40-old!BD40)/old!BD40)</f>
        <v>-1</v>
      </c>
      <c r="BE40" s="2">
        <f>IF(popproj!BE40-old!BE40=0,"",(popproj!BE40-old!BE40)/old!BE40)</f>
        <v>-1</v>
      </c>
      <c r="BF40" s="2">
        <f>IF(popproj!BF40-old!BF40=0,"",(popproj!BF40-old!BF40)/old!BF40)</f>
        <v>-1</v>
      </c>
      <c r="BG40" s="2">
        <f>IF(popproj!BG40-old!BG40=0,"",(popproj!BG40-old!BG40)/old!BG40)</f>
        <v>-1</v>
      </c>
      <c r="BH40" s="2">
        <f>IF(popproj!BH40-old!BH40=0,"",(popproj!BH40-old!BH40)/old!BH40)</f>
        <v>-1</v>
      </c>
      <c r="BI40" s="2">
        <f>IF(popproj!BI40-old!BI40=0,"",(popproj!BI40-old!BI40)/old!BI40)</f>
        <v>-1</v>
      </c>
      <c r="BJ40" s="2">
        <f>IF(popproj!BJ40-old!BJ40=0,"",(popproj!BJ40-old!BJ40)/old!BJ40)</f>
        <v>-1</v>
      </c>
      <c r="BK40" s="2">
        <f>IF(popproj!BK40-old!BK40=0,"",(popproj!BK40-old!BK40)/old!BK40)</f>
        <v>-1</v>
      </c>
      <c r="BL40" s="2">
        <f>IF(popproj!BL40-old!BL40=0,"",(popproj!BL40-old!BL40)/old!BL40)</f>
        <v>-1</v>
      </c>
      <c r="BM40" s="2">
        <f>IF(popproj!BM40-old!BM40=0,"",(popproj!BM40-old!BM40)/old!BM40)</f>
        <v>-1</v>
      </c>
      <c r="BN40" s="2">
        <f>IF(popproj!BN40-old!BN40=0,"",(popproj!BN40-old!BN40)/old!BN40)</f>
        <v>-1</v>
      </c>
      <c r="BO40" s="2">
        <f>IF(popproj!BO40-old!BO40=0,"",(popproj!BO40-old!BO40)/old!BO40)</f>
        <v>-1</v>
      </c>
    </row>
    <row r="41" spans="1:67" x14ac:dyDescent="0.2">
      <c r="A41" t="str">
        <f>popproj!A41</f>
        <v>FR_POPAF</v>
      </c>
      <c r="B41" s="2"/>
      <c r="C41" s="2"/>
      <c r="D41" s="2">
        <f>IF(popproj!D41-old!D41=0,"",(popproj!D41-old!D41)/old!D41)</f>
        <v>-1</v>
      </c>
      <c r="E41" s="2">
        <f>IF(popproj!E41-old!E41=0,"",(popproj!E41-old!E41)/old!E41)</f>
        <v>8.9448292206855404E-4</v>
      </c>
      <c r="F41" s="2">
        <f>IF(popproj!F41-old!F41=0,"",(popproj!F41-old!F41)/old!F41)</f>
        <v>1.2407123785980695E-3</v>
      </c>
      <c r="G41" s="2">
        <f>IF(popproj!G41-old!G41=0,"",(popproj!G41-old!G41)/old!G41)</f>
        <v>1.26734470901568E-3</v>
      </c>
      <c r="H41" s="2">
        <f>IF(popproj!H41-old!H41=0,"",(popproj!H41-old!H41)/old!H41)</f>
        <v>1.7021183707477449E-3</v>
      </c>
      <c r="I41" s="2">
        <f>IF(popproj!I41-old!I41=0,"",(popproj!I41-old!I41)/old!I41)</f>
        <v>2.3586417351717688E-3</v>
      </c>
      <c r="J41" s="2">
        <f>IF(popproj!J41-old!J41=0,"",(popproj!J41-old!J41)/old!J41)</f>
        <v>3.2774685896516079E-3</v>
      </c>
      <c r="K41" s="2">
        <f>IF(popproj!K41-old!K41=0,"",(popproj!K41-old!K41)/old!K41)</f>
        <v>4.104926448874697E-3</v>
      </c>
      <c r="L41" s="2">
        <f>IF(popproj!L41-old!L41=0,"",(popproj!L41-old!L41)/old!L41)</f>
        <v>4.9560440904553131E-3</v>
      </c>
      <c r="M41" s="2">
        <f>IF(popproj!M41-old!M41=0,"",(popproj!M41-old!M41)/old!M41)</f>
        <v>5.8323664245475138E-3</v>
      </c>
      <c r="N41" s="2">
        <f>IF(popproj!N41-old!N41=0,"",(popproj!N41-old!N41)/old!N41)</f>
        <v>6.6934170494905047E-3</v>
      </c>
      <c r="O41" s="2">
        <f>IF(popproj!O41-old!O41=0,"",(popproj!O41-old!O41)/old!O41)</f>
        <v>7.578566912093198E-3</v>
      </c>
      <c r="P41" s="2">
        <f>IF(popproj!P41-old!P41=0,"",(popproj!P41-old!P41)/old!P41)</f>
        <v>8.4584773443923053E-3</v>
      </c>
      <c r="Q41" s="2">
        <f>IF(popproj!Q41-old!Q41=0,"",(popproj!Q41-old!Q41)/old!Q41)</f>
        <v>9.2294228590662983E-3</v>
      </c>
      <c r="R41" s="2">
        <f>IF(popproj!R41-old!R41=0,"",(popproj!R41-old!R41)/old!R41)</f>
        <v>9.9391059291057335E-3</v>
      </c>
      <c r="S41" s="2">
        <f>IF(popproj!S41-old!S41=0,"",(popproj!S41-old!S41)/old!S41)</f>
        <v>1.0674864523404257E-2</v>
      </c>
      <c r="T41" s="2">
        <f>IF(popproj!T41-old!T41=0,"",(popproj!T41-old!T41)/old!T41)</f>
        <v>1.0163641333778655E-2</v>
      </c>
      <c r="U41" s="2">
        <f>IF(popproj!U41-old!U41=0,"",(popproj!U41-old!U41)/old!U41)</f>
        <v>9.9905825306412285E-3</v>
      </c>
      <c r="V41" s="2">
        <f>IF(popproj!V41-old!V41=0,"",(popproj!V41-old!V41)/old!V41)</f>
        <v>1.0688103858620585E-2</v>
      </c>
      <c r="W41" s="2">
        <f>IF(popproj!W41-old!W41=0,"",(popproj!W41-old!W41)/old!W41)</f>
        <v>1.1444956322127348E-2</v>
      </c>
      <c r="X41" s="2">
        <f>IF(popproj!X41-old!X41=0,"",(popproj!X41-old!X41)/old!X41)</f>
        <v>1.2223552228249144E-2</v>
      </c>
      <c r="Y41" s="2">
        <f>IF(popproj!Y41-old!Y41=0,"",(popproj!Y41-old!Y41)/old!Y41)</f>
        <v>1.2987570597222919E-2</v>
      </c>
      <c r="Z41" s="2">
        <f>IF(popproj!Z41-old!Z41=0,"",(popproj!Z41-old!Z41)/old!Z41)</f>
        <v>1.3828515488081875E-2</v>
      </c>
      <c r="AA41" s="2">
        <f>IF(popproj!AA41-old!AA41=0,"",(popproj!AA41-old!AA41)/old!AA41)</f>
        <v>1.4688129897264477E-2</v>
      </c>
      <c r="AB41" s="2">
        <f>IF(popproj!AB41-old!AB41=0,"",(popproj!AB41-old!AB41)/old!AB41)</f>
        <v>1.5543457943094825E-2</v>
      </c>
      <c r="AC41" s="2">
        <f>IF(popproj!AC41-old!AC41=0,"",(popproj!AC41-old!AC41)/old!AC41)</f>
        <v>1.6434767291102419E-2</v>
      </c>
      <c r="AD41" s="2">
        <f>IF(popproj!AD41-old!AD41=0,"",(popproj!AD41-old!AD41)/old!AD41)</f>
        <v>1.735186306954857E-2</v>
      </c>
      <c r="AE41" s="2">
        <f>IF(popproj!AE41-old!AE41=0,"",(popproj!AE41-old!AE41)/old!AE41)</f>
        <v>1.8310853496286677E-2</v>
      </c>
      <c r="AF41" s="2">
        <f>IF(popproj!AF41-old!AF41=0,"",(popproj!AF41-old!AF41)/old!AF41)</f>
        <v>1.9257426108421814E-2</v>
      </c>
      <c r="AG41" s="2">
        <f>IF(popproj!AG41-old!AG41=0,"",(popproj!AG41-old!AG41)/old!AG41)</f>
        <v>-1</v>
      </c>
      <c r="AH41" s="2">
        <f>IF(popproj!AH41-old!AH41=0,"",(popproj!AH41-old!AH41)/old!AH41)</f>
        <v>-1</v>
      </c>
      <c r="AI41" s="2">
        <f>IF(popproj!AI41-old!AI41=0,"",(popproj!AI41-old!AI41)/old!AI41)</f>
        <v>-1</v>
      </c>
      <c r="AJ41" s="2">
        <f>IF(popproj!AJ41-old!AJ41=0,"",(popproj!AJ41-old!AJ41)/old!AJ41)</f>
        <v>-1</v>
      </c>
      <c r="AK41" s="2">
        <f>IF(popproj!AK41-old!AK41=0,"",(popproj!AK41-old!AK41)/old!AK41)</f>
        <v>-1</v>
      </c>
      <c r="AL41" s="2">
        <f>IF(popproj!AL41-old!AL41=0,"",(popproj!AL41-old!AL41)/old!AL41)</f>
        <v>-1</v>
      </c>
      <c r="AM41" s="2">
        <f>IF(popproj!AM41-old!AM41=0,"",(popproj!AM41-old!AM41)/old!AM41)</f>
        <v>-1</v>
      </c>
      <c r="AN41" s="2">
        <f>IF(popproj!AN41-old!AN41=0,"",(popproj!AN41-old!AN41)/old!AN41)</f>
        <v>-1</v>
      </c>
      <c r="AO41" s="2">
        <f>IF(popproj!AO41-old!AO41=0,"",(popproj!AO41-old!AO41)/old!AO41)</f>
        <v>-1</v>
      </c>
      <c r="AP41" s="2">
        <f>IF(popproj!AP41-old!AP41=0,"",(popproj!AP41-old!AP41)/old!AP41)</f>
        <v>-1</v>
      </c>
      <c r="AQ41" s="2">
        <f>IF(popproj!AQ41-old!AQ41=0,"",(popproj!AQ41-old!AQ41)/old!AQ41)</f>
        <v>-1</v>
      </c>
      <c r="AR41" s="2">
        <f>IF(popproj!AR41-old!AR41=0,"",(popproj!AR41-old!AR41)/old!AR41)</f>
        <v>-1</v>
      </c>
      <c r="AS41" s="2">
        <f>IF(popproj!AS41-old!AS41=0,"",(popproj!AS41-old!AS41)/old!AS41)</f>
        <v>-1</v>
      </c>
      <c r="AT41" s="2">
        <f>IF(popproj!AT41-old!AT41=0,"",(popproj!AT41-old!AT41)/old!AT41)</f>
        <v>-1</v>
      </c>
      <c r="AU41" s="2">
        <f>IF(popproj!AU41-old!AU41=0,"",(popproj!AU41-old!AU41)/old!AU41)</f>
        <v>-1</v>
      </c>
      <c r="AV41" s="2">
        <f>IF(popproj!AV41-old!AV41=0,"",(popproj!AV41-old!AV41)/old!AV41)</f>
        <v>-1</v>
      </c>
      <c r="AW41" s="2">
        <f>IF(popproj!AW41-old!AW41=0,"",(popproj!AW41-old!AW41)/old!AW41)</f>
        <v>-1</v>
      </c>
      <c r="AX41" s="2">
        <f>IF(popproj!AX41-old!AX41=0,"",(popproj!AX41-old!AX41)/old!AX41)</f>
        <v>-1</v>
      </c>
      <c r="AY41" s="2">
        <f>IF(popproj!AY41-old!AY41=0,"",(popproj!AY41-old!AY41)/old!AY41)</f>
        <v>-1</v>
      </c>
      <c r="AZ41" s="2">
        <f>IF(popproj!AZ41-old!AZ41=0,"",(popproj!AZ41-old!AZ41)/old!AZ41)</f>
        <v>-1</v>
      </c>
      <c r="BA41" s="2">
        <f>IF(popproj!BA41-old!BA41=0,"",(popproj!BA41-old!BA41)/old!BA41)</f>
        <v>-1</v>
      </c>
      <c r="BB41" s="2">
        <f>IF(popproj!BB41-old!BB41=0,"",(popproj!BB41-old!BB41)/old!BB41)</f>
        <v>-1</v>
      </c>
      <c r="BC41" s="2">
        <f>IF(popproj!BC41-old!BC41=0,"",(popproj!BC41-old!BC41)/old!BC41)</f>
        <v>-1</v>
      </c>
      <c r="BD41" s="2">
        <f>IF(popproj!BD41-old!BD41=0,"",(popproj!BD41-old!BD41)/old!BD41)</f>
        <v>-1</v>
      </c>
      <c r="BE41" s="2">
        <f>IF(popproj!BE41-old!BE41=0,"",(popproj!BE41-old!BE41)/old!BE41)</f>
        <v>-1</v>
      </c>
      <c r="BF41" s="2">
        <f>IF(popproj!BF41-old!BF41=0,"",(popproj!BF41-old!BF41)/old!BF41)</f>
        <v>-1</v>
      </c>
      <c r="BG41" s="2">
        <f>IF(popproj!BG41-old!BG41=0,"",(popproj!BG41-old!BG41)/old!BG41)</f>
        <v>-1</v>
      </c>
      <c r="BH41" s="2">
        <f>IF(popproj!BH41-old!BH41=0,"",(popproj!BH41-old!BH41)/old!BH41)</f>
        <v>-1</v>
      </c>
      <c r="BI41" s="2">
        <f>IF(popproj!BI41-old!BI41=0,"",(popproj!BI41-old!BI41)/old!BI41)</f>
        <v>-1</v>
      </c>
      <c r="BJ41" s="2">
        <f>IF(popproj!BJ41-old!BJ41=0,"",(popproj!BJ41-old!BJ41)/old!BJ41)</f>
        <v>-1</v>
      </c>
      <c r="BK41" s="2">
        <f>IF(popproj!BK41-old!BK41=0,"",(popproj!BK41-old!BK41)/old!BK41)</f>
        <v>-1</v>
      </c>
      <c r="BL41" s="2">
        <f>IF(popproj!BL41-old!BL41=0,"",(popproj!BL41-old!BL41)/old!BL41)</f>
        <v>-1</v>
      </c>
      <c r="BM41" s="2">
        <f>IF(popproj!BM41-old!BM41=0,"",(popproj!BM41-old!BM41)/old!BM41)</f>
        <v>-1</v>
      </c>
      <c r="BN41" s="2">
        <f>IF(popproj!BN41-old!BN41=0,"",(popproj!BN41-old!BN41)/old!BN41)</f>
        <v>-1</v>
      </c>
      <c r="BO41" s="2">
        <f>IF(popproj!BO41-old!BO41=0,"",(popproj!BO41-old!BO41)/old!BO41)</f>
        <v>-1</v>
      </c>
    </row>
    <row r="42" spans="1:67" x14ac:dyDescent="0.2">
      <c r="A42" t="str">
        <f>popproj!A42</f>
        <v>HR_POPAF</v>
      </c>
      <c r="B42" s="2"/>
      <c r="C42" s="2"/>
      <c r="D42" s="2">
        <f>IF(popproj!D42-old!D42=0,"",(popproj!D42-old!D42)/old!D42)</f>
        <v>-1</v>
      </c>
      <c r="E42" s="2">
        <f>IF(popproj!E42-old!E42=0,"",(popproj!E42-old!E42)/old!E42)</f>
        <v>2.062686611870455E-4</v>
      </c>
      <c r="F42" s="2">
        <f>IF(popproj!F42-old!F42=0,"",(popproj!F42-old!F42)/old!F42)</f>
        <v>1.6225206829445993E-2</v>
      </c>
      <c r="G42" s="2">
        <f>IF(popproj!G42-old!G42=0,"",(popproj!G42-old!G42)/old!G42)</f>
        <v>1.8023503517938119E-2</v>
      </c>
      <c r="H42" s="2">
        <f>IF(popproj!H42-old!H42=0,"",(popproj!H42-old!H42)/old!H42)</f>
        <v>1.7871242361123425E-2</v>
      </c>
      <c r="I42" s="2">
        <f>IF(popproj!I42-old!I42=0,"",(popproj!I42-old!I42)/old!I42)</f>
        <v>1.7062042996628574E-2</v>
      </c>
      <c r="J42" s="2">
        <f>IF(popproj!J42-old!J42=0,"",(popproj!J42-old!J42)/old!J42)</f>
        <v>1.8989851877028837E-2</v>
      </c>
      <c r="K42" s="2">
        <f>IF(popproj!K42-old!K42=0,"",(popproj!K42-old!K42)/old!K42)</f>
        <v>1.7479953935180217E-2</v>
      </c>
      <c r="L42" s="2">
        <f>IF(popproj!L42-old!L42=0,"",(popproj!L42-old!L42)/old!L42)</f>
        <v>1.5937683344014297E-2</v>
      </c>
      <c r="M42" s="2">
        <f>IF(popproj!M42-old!M42=0,"",(popproj!M42-old!M42)/old!M42)</f>
        <v>1.4412998572446951E-2</v>
      </c>
      <c r="N42" s="2">
        <f>IF(popproj!N42-old!N42=0,"",(popproj!N42-old!N42)/old!N42)</f>
        <v>1.2936212890999658E-2</v>
      </c>
      <c r="O42" s="2">
        <f>IF(popproj!O42-old!O42=0,"",(popproj!O42-old!O42)/old!O42)</f>
        <v>1.1546239762446781E-2</v>
      </c>
      <c r="P42" s="2">
        <f>IF(popproj!P42-old!P42=0,"",(popproj!P42-old!P42)/old!P42)</f>
        <v>1.0360237617171584E-2</v>
      </c>
      <c r="Q42" s="2">
        <f>IF(popproj!Q42-old!Q42=0,"",(popproj!Q42-old!Q42)/old!Q42)</f>
        <v>8.9466231328116583E-3</v>
      </c>
      <c r="R42" s="2">
        <f>IF(popproj!R42-old!R42=0,"",(popproj!R42-old!R42)/old!R42)</f>
        <v>7.7836519282358657E-3</v>
      </c>
      <c r="S42" s="2">
        <f>IF(popproj!S42-old!S42=0,"",(popproj!S42-old!S42)/old!S42)</f>
        <v>6.7192258418635326E-3</v>
      </c>
      <c r="T42" s="2">
        <f>IF(popproj!T42-old!T42=0,"",(popproj!T42-old!T42)/old!T42)</f>
        <v>4.6746679600030809E-3</v>
      </c>
      <c r="U42" s="2">
        <f>IF(popproj!U42-old!U42=0,"",(popproj!U42-old!U42)/old!U42)</f>
        <v>3.5849411404864657E-3</v>
      </c>
      <c r="V42" s="2">
        <f>IF(popproj!V42-old!V42=0,"",(popproj!V42-old!V42)/old!V42)</f>
        <v>2.6753851591411878E-3</v>
      </c>
      <c r="W42" s="2">
        <f>IF(popproj!W42-old!W42=0,"",(popproj!W42-old!W42)/old!W42)</f>
        <v>1.7531138386175853E-3</v>
      </c>
      <c r="X42" s="2">
        <f>IF(popproj!X42-old!X42=0,"",(popproj!X42-old!X42)/old!X42)</f>
        <v>8.2545486960411342E-4</v>
      </c>
      <c r="Y42" s="2">
        <f>IF(popproj!Y42-old!Y42=0,"",(popproj!Y42-old!Y42)/old!Y42)</f>
        <v>2.1748489990257481E-5</v>
      </c>
      <c r="Z42" s="2">
        <f>IF(popproj!Z42-old!Z42=0,"",(popproj!Z42-old!Z42)/old!Z42)</f>
        <v>-7.3893883192507762E-4</v>
      </c>
      <c r="AA42" s="2">
        <f>IF(popproj!AA42-old!AA42=0,"",(popproj!AA42-old!AA42)/old!AA42)</f>
        <v>-1.5545610936794519E-3</v>
      </c>
      <c r="AB42" s="2">
        <f>IF(popproj!AB42-old!AB42=0,"",(popproj!AB42-old!AB42)/old!AB42)</f>
        <v>-2.3759845696515402E-3</v>
      </c>
      <c r="AC42" s="2">
        <f>IF(popproj!AC42-old!AC42=0,"",(popproj!AC42-old!AC42)/old!AC42)</f>
        <v>-3.1887509926093235E-3</v>
      </c>
      <c r="AD42" s="2">
        <f>IF(popproj!AD42-old!AD42=0,"",(popproj!AD42-old!AD42)/old!AD42)</f>
        <v>-4.0451895953728355E-3</v>
      </c>
      <c r="AE42" s="2">
        <f>IF(popproj!AE42-old!AE42=0,"",(popproj!AE42-old!AE42)/old!AE42)</f>
        <v>-4.8364538649312474E-3</v>
      </c>
      <c r="AF42" s="2">
        <f>IF(popproj!AF42-old!AF42=0,"",(popproj!AF42-old!AF42)/old!AF42)</f>
        <v>-5.6280041929517074E-3</v>
      </c>
      <c r="AG42" s="2">
        <f>IF(popproj!AG42-old!AG42=0,"",(popproj!AG42-old!AG42)/old!AG42)</f>
        <v>-1</v>
      </c>
      <c r="AH42" s="2">
        <f>IF(popproj!AH42-old!AH42=0,"",(popproj!AH42-old!AH42)/old!AH42)</f>
        <v>-1</v>
      </c>
      <c r="AI42" s="2">
        <f>IF(popproj!AI42-old!AI42=0,"",(popproj!AI42-old!AI42)/old!AI42)</f>
        <v>-1</v>
      </c>
      <c r="AJ42" s="2">
        <f>IF(popproj!AJ42-old!AJ42=0,"",(popproj!AJ42-old!AJ42)/old!AJ42)</f>
        <v>-1</v>
      </c>
      <c r="AK42" s="2">
        <f>IF(popproj!AK42-old!AK42=0,"",(popproj!AK42-old!AK42)/old!AK42)</f>
        <v>-1</v>
      </c>
      <c r="AL42" s="2">
        <f>IF(popproj!AL42-old!AL42=0,"",(popproj!AL42-old!AL42)/old!AL42)</f>
        <v>-1</v>
      </c>
      <c r="AM42" s="2">
        <f>IF(popproj!AM42-old!AM42=0,"",(popproj!AM42-old!AM42)/old!AM42)</f>
        <v>-1</v>
      </c>
      <c r="AN42" s="2">
        <f>IF(popproj!AN42-old!AN42=0,"",(popproj!AN42-old!AN42)/old!AN42)</f>
        <v>-1</v>
      </c>
      <c r="AO42" s="2">
        <f>IF(popproj!AO42-old!AO42=0,"",(popproj!AO42-old!AO42)/old!AO42)</f>
        <v>-1</v>
      </c>
      <c r="AP42" s="2">
        <f>IF(popproj!AP42-old!AP42=0,"",(popproj!AP42-old!AP42)/old!AP42)</f>
        <v>-1</v>
      </c>
      <c r="AQ42" s="2">
        <f>IF(popproj!AQ42-old!AQ42=0,"",(popproj!AQ42-old!AQ42)/old!AQ42)</f>
        <v>-1</v>
      </c>
      <c r="AR42" s="2">
        <f>IF(popproj!AR42-old!AR42=0,"",(popproj!AR42-old!AR42)/old!AR42)</f>
        <v>-1</v>
      </c>
      <c r="AS42" s="2">
        <f>IF(popproj!AS42-old!AS42=0,"",(popproj!AS42-old!AS42)/old!AS42)</f>
        <v>-1</v>
      </c>
      <c r="AT42" s="2">
        <f>IF(popproj!AT42-old!AT42=0,"",(popproj!AT42-old!AT42)/old!AT42)</f>
        <v>-1</v>
      </c>
      <c r="AU42" s="2">
        <f>IF(popproj!AU42-old!AU42=0,"",(popproj!AU42-old!AU42)/old!AU42)</f>
        <v>-1</v>
      </c>
      <c r="AV42" s="2">
        <f>IF(popproj!AV42-old!AV42=0,"",(popproj!AV42-old!AV42)/old!AV42)</f>
        <v>-1</v>
      </c>
      <c r="AW42" s="2">
        <f>IF(popproj!AW42-old!AW42=0,"",(popproj!AW42-old!AW42)/old!AW42)</f>
        <v>-1</v>
      </c>
      <c r="AX42" s="2">
        <f>IF(popproj!AX42-old!AX42=0,"",(popproj!AX42-old!AX42)/old!AX42)</f>
        <v>-1</v>
      </c>
      <c r="AY42" s="2">
        <f>IF(popproj!AY42-old!AY42=0,"",(popproj!AY42-old!AY42)/old!AY42)</f>
        <v>-1</v>
      </c>
      <c r="AZ42" s="2">
        <f>IF(popproj!AZ42-old!AZ42=0,"",(popproj!AZ42-old!AZ42)/old!AZ42)</f>
        <v>-1</v>
      </c>
      <c r="BA42" s="2">
        <f>IF(popproj!BA42-old!BA42=0,"",(popproj!BA42-old!BA42)/old!BA42)</f>
        <v>-1</v>
      </c>
      <c r="BB42" s="2">
        <f>IF(popproj!BB42-old!BB42=0,"",(popproj!BB42-old!BB42)/old!BB42)</f>
        <v>-1</v>
      </c>
      <c r="BC42" s="2">
        <f>IF(popproj!BC42-old!BC42=0,"",(popproj!BC42-old!BC42)/old!BC42)</f>
        <v>-1</v>
      </c>
      <c r="BD42" s="2">
        <f>IF(popproj!BD42-old!BD42=0,"",(popproj!BD42-old!BD42)/old!BD42)</f>
        <v>-1</v>
      </c>
      <c r="BE42" s="2">
        <f>IF(popproj!BE42-old!BE42=0,"",(popproj!BE42-old!BE42)/old!BE42)</f>
        <v>-1</v>
      </c>
      <c r="BF42" s="2">
        <f>IF(popproj!BF42-old!BF42=0,"",(popproj!BF42-old!BF42)/old!BF42)</f>
        <v>-1</v>
      </c>
      <c r="BG42" s="2">
        <f>IF(popproj!BG42-old!BG42=0,"",(popproj!BG42-old!BG42)/old!BG42)</f>
        <v>-1</v>
      </c>
      <c r="BH42" s="2">
        <f>IF(popproj!BH42-old!BH42=0,"",(popproj!BH42-old!BH42)/old!BH42)</f>
        <v>-1</v>
      </c>
      <c r="BI42" s="2">
        <f>IF(popproj!BI42-old!BI42=0,"",(popproj!BI42-old!BI42)/old!BI42)</f>
        <v>-1</v>
      </c>
      <c r="BJ42" s="2">
        <f>IF(popproj!BJ42-old!BJ42=0,"",(popproj!BJ42-old!BJ42)/old!BJ42)</f>
        <v>-1</v>
      </c>
      <c r="BK42" s="2">
        <f>IF(popproj!BK42-old!BK42=0,"",(popproj!BK42-old!BK42)/old!BK42)</f>
        <v>-1</v>
      </c>
      <c r="BL42" s="2">
        <f>IF(popproj!BL42-old!BL42=0,"",(popproj!BL42-old!BL42)/old!BL42)</f>
        <v>-1</v>
      </c>
      <c r="BM42" s="2">
        <f>IF(popproj!BM42-old!BM42=0,"",(popproj!BM42-old!BM42)/old!BM42)</f>
        <v>-1</v>
      </c>
      <c r="BN42" s="2">
        <f>IF(popproj!BN42-old!BN42=0,"",(popproj!BN42-old!BN42)/old!BN42)</f>
        <v>-1</v>
      </c>
      <c r="BO42" s="2">
        <f>IF(popproj!BO42-old!BO42=0,"",(popproj!BO42-old!BO42)/old!BO42)</f>
        <v>-1</v>
      </c>
    </row>
    <row r="43" spans="1:67" x14ac:dyDescent="0.2">
      <c r="A43" t="str">
        <f>popproj!A43</f>
        <v>HU_POPAF</v>
      </c>
      <c r="B43" s="2"/>
      <c r="C43" s="2"/>
      <c r="D43" s="2">
        <f>IF(popproj!D43-old!D43=0,"",(popproj!D43-old!D43)/old!D43)</f>
        <v>-1</v>
      </c>
      <c r="E43" s="2">
        <f>IF(popproj!E43-old!E43=0,"",(popproj!E43-old!E43)/old!E43)</f>
        <v>-6.0963009857279904E-3</v>
      </c>
      <c r="F43" s="2">
        <f>IF(popproj!F43-old!F43=0,"",(popproj!F43-old!F43)/old!F43)</f>
        <v>-5.7179471482942026E-3</v>
      </c>
      <c r="G43" s="2">
        <f>IF(popproj!G43-old!G43=0,"",(popproj!G43-old!G43)/old!G43)</f>
        <v>-5.046810673443456E-3</v>
      </c>
      <c r="H43" s="2">
        <f>IF(popproj!H43-old!H43=0,"",(popproj!H43-old!H43)/old!H43)</f>
        <v>-5.2708439065048173E-3</v>
      </c>
      <c r="I43" s="2">
        <f>IF(popproj!I43-old!I43=0,"",(popproj!I43-old!I43)/old!I43)</f>
        <v>-5.6219204943732757E-3</v>
      </c>
      <c r="J43" s="2">
        <f>IF(popproj!J43-old!J43=0,"",(popproj!J43-old!J43)/old!J43)</f>
        <v>-5.9287572049718761E-3</v>
      </c>
      <c r="K43" s="2">
        <f>IF(popproj!K43-old!K43=0,"",(popproj!K43-old!K43)/old!K43)</f>
        <v>-6.241185962911143E-3</v>
      </c>
      <c r="L43" s="2">
        <f>IF(popproj!L43-old!L43=0,"",(popproj!L43-old!L43)/old!L43)</f>
        <v>-6.4978829333636173E-3</v>
      </c>
      <c r="M43" s="2">
        <f>IF(popproj!M43-old!M43=0,"",(popproj!M43-old!M43)/old!M43)</f>
        <v>-6.4299881301637949E-3</v>
      </c>
      <c r="N43" s="2">
        <f>IF(popproj!N43-old!N43=0,"",(popproj!N43-old!N43)/old!N43)</f>
        <v>-6.4758582967850611E-3</v>
      </c>
      <c r="O43" s="2">
        <f>IF(popproj!O43-old!O43=0,"",(popproj!O43-old!O43)/old!O43)</f>
        <v>-6.4763335581280055E-3</v>
      </c>
      <c r="P43" s="2">
        <f>IF(popproj!P43-old!P43=0,"",(popproj!P43-old!P43)/old!P43)</f>
        <v>-6.5349334240107169E-3</v>
      </c>
      <c r="Q43" s="2">
        <f>IF(popproj!Q43-old!Q43=0,"",(popproj!Q43-old!Q43)/old!Q43)</f>
        <v>-6.804557070522463E-3</v>
      </c>
      <c r="R43" s="2">
        <f>IF(popproj!R43-old!R43=0,"",(popproj!R43-old!R43)/old!R43)</f>
        <v>-6.6228713222424088E-3</v>
      </c>
      <c r="S43" s="2">
        <f>IF(popproj!S43-old!S43=0,"",(popproj!S43-old!S43)/old!S43)</f>
        <v>-6.5438781654707113E-3</v>
      </c>
      <c r="T43" s="2">
        <f>IF(popproj!T43-old!T43=0,"",(popproj!T43-old!T43)/old!T43)</f>
        <v>-6.3773377634804727E-3</v>
      </c>
      <c r="U43" s="2">
        <f>IF(popproj!U43-old!U43=0,"",(popproj!U43-old!U43)/old!U43)</f>
        <v>-7.0929562769981389E-3</v>
      </c>
      <c r="V43" s="2">
        <f>IF(popproj!V43-old!V43=0,"",(popproj!V43-old!V43)/old!V43)</f>
        <v>-7.9578532563914905E-3</v>
      </c>
      <c r="W43" s="2">
        <f>IF(popproj!W43-old!W43=0,"",(popproj!W43-old!W43)/old!W43)</f>
        <v>-8.8979341894350091E-3</v>
      </c>
      <c r="X43" s="2">
        <f>IF(popproj!X43-old!X43=0,"",(popproj!X43-old!X43)/old!X43)</f>
        <v>-9.9787512943062644E-3</v>
      </c>
      <c r="Y43" s="2">
        <f>IF(popproj!Y43-old!Y43=0,"",(popproj!Y43-old!Y43)/old!Y43)</f>
        <v>-1.1118892590440634E-2</v>
      </c>
      <c r="Z43" s="2">
        <f>IF(popproj!Z43-old!Z43=0,"",(popproj!Z43-old!Z43)/old!Z43)</f>
        <v>-1.2278861589609205E-2</v>
      </c>
      <c r="AA43" s="2">
        <f>IF(popproj!AA43-old!AA43=0,"",(popproj!AA43-old!AA43)/old!AA43)</f>
        <v>-1.3490391872312558E-2</v>
      </c>
      <c r="AB43" s="2">
        <f>IF(popproj!AB43-old!AB43=0,"",(popproj!AB43-old!AB43)/old!AB43)</f>
        <v>-1.4608035188853541E-2</v>
      </c>
      <c r="AC43" s="2">
        <f>IF(popproj!AC43-old!AC43=0,"",(popproj!AC43-old!AC43)/old!AC43)</f>
        <v>-1.5752266314594934E-2</v>
      </c>
      <c r="AD43" s="2">
        <f>IF(popproj!AD43-old!AD43=0,"",(popproj!AD43-old!AD43)/old!AD43)</f>
        <v>-1.6900450039893797E-2</v>
      </c>
      <c r="AE43" s="2">
        <f>IF(popproj!AE43-old!AE43=0,"",(popproj!AE43-old!AE43)/old!AE43)</f>
        <v>-1.8111851919324632E-2</v>
      </c>
      <c r="AF43" s="2">
        <f>IF(popproj!AF43-old!AF43=0,"",(popproj!AF43-old!AF43)/old!AF43)</f>
        <v>-1.947970747117236E-2</v>
      </c>
      <c r="AG43" s="2">
        <f>IF(popproj!AG43-old!AG43=0,"",(popproj!AG43-old!AG43)/old!AG43)</f>
        <v>-1</v>
      </c>
      <c r="AH43" s="2">
        <f>IF(popproj!AH43-old!AH43=0,"",(popproj!AH43-old!AH43)/old!AH43)</f>
        <v>-1</v>
      </c>
      <c r="AI43" s="2">
        <f>IF(popproj!AI43-old!AI43=0,"",(popproj!AI43-old!AI43)/old!AI43)</f>
        <v>-1</v>
      </c>
      <c r="AJ43" s="2">
        <f>IF(popproj!AJ43-old!AJ43=0,"",(popproj!AJ43-old!AJ43)/old!AJ43)</f>
        <v>-1</v>
      </c>
      <c r="AK43" s="2">
        <f>IF(popproj!AK43-old!AK43=0,"",(popproj!AK43-old!AK43)/old!AK43)</f>
        <v>-1</v>
      </c>
      <c r="AL43" s="2">
        <f>IF(popproj!AL43-old!AL43=0,"",(popproj!AL43-old!AL43)/old!AL43)</f>
        <v>-1</v>
      </c>
      <c r="AM43" s="2">
        <f>IF(popproj!AM43-old!AM43=0,"",(popproj!AM43-old!AM43)/old!AM43)</f>
        <v>-1</v>
      </c>
      <c r="AN43" s="2">
        <f>IF(popproj!AN43-old!AN43=0,"",(popproj!AN43-old!AN43)/old!AN43)</f>
        <v>-1</v>
      </c>
      <c r="AO43" s="2">
        <f>IF(popproj!AO43-old!AO43=0,"",(popproj!AO43-old!AO43)/old!AO43)</f>
        <v>-1</v>
      </c>
      <c r="AP43" s="2">
        <f>IF(popproj!AP43-old!AP43=0,"",(popproj!AP43-old!AP43)/old!AP43)</f>
        <v>-1</v>
      </c>
      <c r="AQ43" s="2">
        <f>IF(popproj!AQ43-old!AQ43=0,"",(popproj!AQ43-old!AQ43)/old!AQ43)</f>
        <v>-1</v>
      </c>
      <c r="AR43" s="2">
        <f>IF(popproj!AR43-old!AR43=0,"",(popproj!AR43-old!AR43)/old!AR43)</f>
        <v>-1</v>
      </c>
      <c r="AS43" s="2">
        <f>IF(popproj!AS43-old!AS43=0,"",(popproj!AS43-old!AS43)/old!AS43)</f>
        <v>-1</v>
      </c>
      <c r="AT43" s="2">
        <f>IF(popproj!AT43-old!AT43=0,"",(popproj!AT43-old!AT43)/old!AT43)</f>
        <v>-1</v>
      </c>
      <c r="AU43" s="2">
        <f>IF(popproj!AU43-old!AU43=0,"",(popproj!AU43-old!AU43)/old!AU43)</f>
        <v>-1</v>
      </c>
      <c r="AV43" s="2">
        <f>IF(popproj!AV43-old!AV43=0,"",(popproj!AV43-old!AV43)/old!AV43)</f>
        <v>-1</v>
      </c>
      <c r="AW43" s="2">
        <f>IF(popproj!AW43-old!AW43=0,"",(popproj!AW43-old!AW43)/old!AW43)</f>
        <v>-1</v>
      </c>
      <c r="AX43" s="2">
        <f>IF(popproj!AX43-old!AX43=0,"",(popproj!AX43-old!AX43)/old!AX43)</f>
        <v>-1</v>
      </c>
      <c r="AY43" s="2">
        <f>IF(popproj!AY43-old!AY43=0,"",(popproj!AY43-old!AY43)/old!AY43)</f>
        <v>-1</v>
      </c>
      <c r="AZ43" s="2">
        <f>IF(popproj!AZ43-old!AZ43=0,"",(popproj!AZ43-old!AZ43)/old!AZ43)</f>
        <v>-1</v>
      </c>
      <c r="BA43" s="2">
        <f>IF(popproj!BA43-old!BA43=0,"",(popproj!BA43-old!BA43)/old!BA43)</f>
        <v>-1</v>
      </c>
      <c r="BB43" s="2">
        <f>IF(popproj!BB43-old!BB43=0,"",(popproj!BB43-old!BB43)/old!BB43)</f>
        <v>-1</v>
      </c>
      <c r="BC43" s="2">
        <f>IF(popproj!BC43-old!BC43=0,"",(popproj!BC43-old!BC43)/old!BC43)</f>
        <v>-1</v>
      </c>
      <c r="BD43" s="2">
        <f>IF(popproj!BD43-old!BD43=0,"",(popproj!BD43-old!BD43)/old!BD43)</f>
        <v>-1</v>
      </c>
      <c r="BE43" s="2">
        <f>IF(popproj!BE43-old!BE43=0,"",(popproj!BE43-old!BE43)/old!BE43)</f>
        <v>-1</v>
      </c>
      <c r="BF43" s="2">
        <f>IF(popproj!BF43-old!BF43=0,"",(popproj!BF43-old!BF43)/old!BF43)</f>
        <v>-1</v>
      </c>
      <c r="BG43" s="2">
        <f>IF(popproj!BG43-old!BG43=0,"",(popproj!BG43-old!BG43)/old!BG43)</f>
        <v>-1</v>
      </c>
      <c r="BH43" s="2">
        <f>IF(popproj!BH43-old!BH43=0,"",(popproj!BH43-old!BH43)/old!BH43)</f>
        <v>-1</v>
      </c>
      <c r="BI43" s="2">
        <f>IF(popproj!BI43-old!BI43=0,"",(popproj!BI43-old!BI43)/old!BI43)</f>
        <v>-1</v>
      </c>
      <c r="BJ43" s="2">
        <f>IF(popproj!BJ43-old!BJ43=0,"",(popproj!BJ43-old!BJ43)/old!BJ43)</f>
        <v>-1</v>
      </c>
      <c r="BK43" s="2">
        <f>IF(popproj!BK43-old!BK43=0,"",(popproj!BK43-old!BK43)/old!BK43)</f>
        <v>-1</v>
      </c>
      <c r="BL43" s="2">
        <f>IF(popproj!BL43-old!BL43=0,"",(popproj!BL43-old!BL43)/old!BL43)</f>
        <v>-1</v>
      </c>
      <c r="BM43" s="2">
        <f>IF(popproj!BM43-old!BM43=0,"",(popproj!BM43-old!BM43)/old!BM43)</f>
        <v>-1</v>
      </c>
      <c r="BN43" s="2">
        <f>IF(popproj!BN43-old!BN43=0,"",(popproj!BN43-old!BN43)/old!BN43)</f>
        <v>-1</v>
      </c>
      <c r="BO43" s="2">
        <f>IF(popproj!BO43-old!BO43=0,"",(popproj!BO43-old!BO43)/old!BO43)</f>
        <v>-1</v>
      </c>
    </row>
    <row r="44" spans="1:67" x14ac:dyDescent="0.2">
      <c r="A44" t="str">
        <f>popproj!A44</f>
        <v>IE_POPAF</v>
      </c>
      <c r="B44" s="2"/>
      <c r="C44" s="2"/>
      <c r="D44" s="2">
        <f>IF(popproj!D44-old!D44=0,"",(popproj!D44-old!D44)/old!D44)</f>
        <v>-1</v>
      </c>
      <c r="E44" s="2">
        <f>IF(popproj!E44-old!E44=0,"",(popproj!E44-old!E44)/old!E44)</f>
        <v>2.0721606549345319E-2</v>
      </c>
      <c r="F44" s="2">
        <f>IF(popproj!F44-old!F44=0,"",(popproj!F44-old!F44)/old!F44)</f>
        <v>2.4428084794111557E-2</v>
      </c>
      <c r="G44" s="2">
        <f>IF(popproj!G44-old!G44=0,"",(popproj!G44-old!G44)/old!G44)</f>
        <v>3.1089478124038863E-2</v>
      </c>
      <c r="H44" s="2">
        <f>IF(popproj!H44-old!H44=0,"",(popproj!H44-old!H44)/old!H44)</f>
        <v>3.3311475741231375E-2</v>
      </c>
      <c r="I44" s="2">
        <f>IF(popproj!I44-old!I44=0,"",(popproj!I44-old!I44)/old!I44)</f>
        <v>3.4920614264055863E-2</v>
      </c>
      <c r="J44" s="2">
        <f>IF(popproj!J44-old!J44=0,"",(popproj!J44-old!J44)/old!J44)</f>
        <v>3.6103700259595521E-2</v>
      </c>
      <c r="K44" s="2">
        <f>IF(popproj!K44-old!K44=0,"",(popproj!K44-old!K44)/old!K44)</f>
        <v>3.7052404852576437E-2</v>
      </c>
      <c r="L44" s="2">
        <f>IF(popproj!L44-old!L44=0,"",(popproj!L44-old!L44)/old!L44)</f>
        <v>3.8277814800722475E-2</v>
      </c>
      <c r="M44" s="2">
        <f>IF(popproj!M44-old!M44=0,"",(popproj!M44-old!M44)/old!M44)</f>
        <v>3.9512931032389856E-2</v>
      </c>
      <c r="N44" s="2">
        <f>IF(popproj!N44-old!N44=0,"",(popproj!N44-old!N44)/old!N44)</f>
        <v>3.9961005650851485E-2</v>
      </c>
      <c r="O44" s="2">
        <f>IF(popproj!O44-old!O44=0,"",(popproj!O44-old!O44)/old!O44)</f>
        <v>3.9713572427508691E-2</v>
      </c>
      <c r="P44" s="2">
        <f>IF(popproj!P44-old!P44=0,"",(popproj!P44-old!P44)/old!P44)</f>
        <v>4.0304929520489211E-2</v>
      </c>
      <c r="Q44" s="2">
        <f>IF(popproj!Q44-old!Q44=0,"",(popproj!Q44-old!Q44)/old!Q44)</f>
        <v>3.9799425865684301E-2</v>
      </c>
      <c r="R44" s="2">
        <f>IF(popproj!R44-old!R44=0,"",(popproj!R44-old!R44)/old!R44)</f>
        <v>3.9984803672682472E-2</v>
      </c>
      <c r="S44" s="2">
        <f>IF(popproj!S44-old!S44=0,"",(popproj!S44-old!S44)/old!S44)</f>
        <v>4.0289992112346594E-2</v>
      </c>
      <c r="T44" s="2">
        <f>IF(popproj!T44-old!T44=0,"",(popproj!T44-old!T44)/old!T44)</f>
        <v>3.9243381254588677E-2</v>
      </c>
      <c r="U44" s="2">
        <f>IF(popproj!U44-old!U44=0,"",(popproj!U44-old!U44)/old!U44)</f>
        <v>3.9314397888318468E-2</v>
      </c>
      <c r="V44" s="2">
        <f>IF(popproj!V44-old!V44=0,"",(popproj!V44-old!V44)/old!V44)</f>
        <v>3.9160507626840542E-2</v>
      </c>
      <c r="W44" s="2">
        <f>IF(popproj!W44-old!W44=0,"",(popproj!W44-old!W44)/old!W44)</f>
        <v>3.8877759823648238E-2</v>
      </c>
      <c r="X44" s="2">
        <f>IF(popproj!X44-old!X44=0,"",(popproj!X44-old!X44)/old!X44)</f>
        <v>3.8774068082670983E-2</v>
      </c>
      <c r="Y44" s="2">
        <f>IF(popproj!Y44-old!Y44=0,"",(popproj!Y44-old!Y44)/old!Y44)</f>
        <v>3.8499023635510499E-2</v>
      </c>
      <c r="Z44" s="2">
        <f>IF(popproj!Z44-old!Z44=0,"",(popproj!Z44-old!Z44)/old!Z44)</f>
        <v>3.8352118766047064E-2</v>
      </c>
      <c r="AA44" s="2">
        <f>IF(popproj!AA44-old!AA44=0,"",(popproj!AA44-old!AA44)/old!AA44)</f>
        <v>3.8194255975642001E-2</v>
      </c>
      <c r="AB44" s="2">
        <f>IF(popproj!AB44-old!AB44=0,"",(popproj!AB44-old!AB44)/old!AB44)</f>
        <v>3.8039368791117863E-2</v>
      </c>
      <c r="AC44" s="2">
        <f>IF(popproj!AC44-old!AC44=0,"",(popproj!AC44-old!AC44)/old!AC44)</f>
        <v>3.8122171893001412E-2</v>
      </c>
      <c r="AD44" s="2">
        <f>IF(popproj!AD44-old!AD44=0,"",(popproj!AD44-old!AD44)/old!AD44)</f>
        <v>3.7900467729811822E-2</v>
      </c>
      <c r="AE44" s="2">
        <f>IF(popproj!AE44-old!AE44=0,"",(popproj!AE44-old!AE44)/old!AE44)</f>
        <v>3.7647118605824231E-2</v>
      </c>
      <c r="AF44" s="2">
        <f>IF(popproj!AF44-old!AF44=0,"",(popproj!AF44-old!AF44)/old!AF44)</f>
        <v>3.7847172489984475E-2</v>
      </c>
      <c r="AG44" s="2">
        <f>IF(popproj!AG44-old!AG44=0,"",(popproj!AG44-old!AG44)/old!AG44)</f>
        <v>-1</v>
      </c>
      <c r="AH44" s="2">
        <f>IF(popproj!AH44-old!AH44=0,"",(popproj!AH44-old!AH44)/old!AH44)</f>
        <v>-1</v>
      </c>
      <c r="AI44" s="2">
        <f>IF(popproj!AI44-old!AI44=0,"",(popproj!AI44-old!AI44)/old!AI44)</f>
        <v>-1</v>
      </c>
      <c r="AJ44" s="2">
        <f>IF(popproj!AJ44-old!AJ44=0,"",(popproj!AJ44-old!AJ44)/old!AJ44)</f>
        <v>-1</v>
      </c>
      <c r="AK44" s="2">
        <f>IF(popproj!AK44-old!AK44=0,"",(popproj!AK44-old!AK44)/old!AK44)</f>
        <v>-1</v>
      </c>
      <c r="AL44" s="2">
        <f>IF(popproj!AL44-old!AL44=0,"",(popproj!AL44-old!AL44)/old!AL44)</f>
        <v>-1</v>
      </c>
      <c r="AM44" s="2">
        <f>IF(popproj!AM44-old!AM44=0,"",(popproj!AM44-old!AM44)/old!AM44)</f>
        <v>-1</v>
      </c>
      <c r="AN44" s="2">
        <f>IF(popproj!AN44-old!AN44=0,"",(popproj!AN44-old!AN44)/old!AN44)</f>
        <v>-1</v>
      </c>
      <c r="AO44" s="2">
        <f>IF(popproj!AO44-old!AO44=0,"",(popproj!AO44-old!AO44)/old!AO44)</f>
        <v>-1</v>
      </c>
      <c r="AP44" s="2">
        <f>IF(popproj!AP44-old!AP44=0,"",(popproj!AP44-old!AP44)/old!AP44)</f>
        <v>-1</v>
      </c>
      <c r="AQ44" s="2">
        <f>IF(popproj!AQ44-old!AQ44=0,"",(popproj!AQ44-old!AQ44)/old!AQ44)</f>
        <v>-1</v>
      </c>
      <c r="AR44" s="2">
        <f>IF(popproj!AR44-old!AR44=0,"",(popproj!AR44-old!AR44)/old!AR44)</f>
        <v>-1</v>
      </c>
      <c r="AS44" s="2">
        <f>IF(popproj!AS44-old!AS44=0,"",(popproj!AS44-old!AS44)/old!AS44)</f>
        <v>-1</v>
      </c>
      <c r="AT44" s="2">
        <f>IF(popproj!AT44-old!AT44=0,"",(popproj!AT44-old!AT44)/old!AT44)</f>
        <v>-1</v>
      </c>
      <c r="AU44" s="2">
        <f>IF(popproj!AU44-old!AU44=0,"",(popproj!AU44-old!AU44)/old!AU44)</f>
        <v>-1</v>
      </c>
      <c r="AV44" s="2">
        <f>IF(popproj!AV44-old!AV44=0,"",(popproj!AV44-old!AV44)/old!AV44)</f>
        <v>-1</v>
      </c>
      <c r="AW44" s="2">
        <f>IF(popproj!AW44-old!AW44=0,"",(popproj!AW44-old!AW44)/old!AW44)</f>
        <v>-1</v>
      </c>
      <c r="AX44" s="2">
        <f>IF(popproj!AX44-old!AX44=0,"",(popproj!AX44-old!AX44)/old!AX44)</f>
        <v>-1</v>
      </c>
      <c r="AY44" s="2">
        <f>IF(popproj!AY44-old!AY44=0,"",(popproj!AY44-old!AY44)/old!AY44)</f>
        <v>-1</v>
      </c>
      <c r="AZ44" s="2">
        <f>IF(popproj!AZ44-old!AZ44=0,"",(popproj!AZ44-old!AZ44)/old!AZ44)</f>
        <v>-1</v>
      </c>
      <c r="BA44" s="2">
        <f>IF(popproj!BA44-old!BA44=0,"",(popproj!BA44-old!BA44)/old!BA44)</f>
        <v>-1</v>
      </c>
      <c r="BB44" s="2">
        <f>IF(popproj!BB44-old!BB44=0,"",(popproj!BB44-old!BB44)/old!BB44)</f>
        <v>-1</v>
      </c>
      <c r="BC44" s="2">
        <f>IF(popproj!BC44-old!BC44=0,"",(popproj!BC44-old!BC44)/old!BC44)</f>
        <v>-1</v>
      </c>
      <c r="BD44" s="2">
        <f>IF(popproj!BD44-old!BD44=0,"",(popproj!BD44-old!BD44)/old!BD44)</f>
        <v>-1</v>
      </c>
      <c r="BE44" s="2">
        <f>IF(popproj!BE44-old!BE44=0,"",(popproj!BE44-old!BE44)/old!BE44)</f>
        <v>-1</v>
      </c>
      <c r="BF44" s="2">
        <f>IF(popproj!BF44-old!BF44=0,"",(popproj!BF44-old!BF44)/old!BF44)</f>
        <v>-1</v>
      </c>
      <c r="BG44" s="2">
        <f>IF(popproj!BG44-old!BG44=0,"",(popproj!BG44-old!BG44)/old!BG44)</f>
        <v>-1</v>
      </c>
      <c r="BH44" s="2">
        <f>IF(popproj!BH44-old!BH44=0,"",(popproj!BH44-old!BH44)/old!BH44)</f>
        <v>-1</v>
      </c>
      <c r="BI44" s="2">
        <f>IF(popproj!BI44-old!BI44=0,"",(popproj!BI44-old!BI44)/old!BI44)</f>
        <v>-1</v>
      </c>
      <c r="BJ44" s="2">
        <f>IF(popproj!BJ44-old!BJ44=0,"",(popproj!BJ44-old!BJ44)/old!BJ44)</f>
        <v>-1</v>
      </c>
      <c r="BK44" s="2">
        <f>IF(popproj!BK44-old!BK44=0,"",(popproj!BK44-old!BK44)/old!BK44)</f>
        <v>-1</v>
      </c>
      <c r="BL44" s="2">
        <f>IF(popproj!BL44-old!BL44=0,"",(popproj!BL44-old!BL44)/old!BL44)</f>
        <v>-1</v>
      </c>
      <c r="BM44" s="2">
        <f>IF(popproj!BM44-old!BM44=0,"",(popproj!BM44-old!BM44)/old!BM44)</f>
        <v>-1</v>
      </c>
      <c r="BN44" s="2">
        <f>IF(popproj!BN44-old!BN44=0,"",(popproj!BN44-old!BN44)/old!BN44)</f>
        <v>-1</v>
      </c>
      <c r="BO44" s="2">
        <f>IF(popproj!BO44-old!BO44=0,"",(popproj!BO44-old!BO44)/old!BO44)</f>
        <v>-1</v>
      </c>
    </row>
    <row r="45" spans="1:67" x14ac:dyDescent="0.2">
      <c r="A45" t="str">
        <f>popproj!A45</f>
        <v>IT_POPAF</v>
      </c>
      <c r="B45" s="2"/>
      <c r="C45" s="2"/>
      <c r="D45" s="2">
        <f>IF(popproj!D45-old!D45=0,"",(popproj!D45-old!D45)/old!D45)</f>
        <v>-1</v>
      </c>
      <c r="E45" s="2">
        <f>IF(popproj!E45-old!E45=0,"",(popproj!E45-old!E45)/old!E45)</f>
        <v>-3.8554034744259214E-4</v>
      </c>
      <c r="F45" s="2">
        <f>IF(popproj!F45-old!F45=0,"",(popproj!F45-old!F45)/old!F45)</f>
        <v>3.651246859321264E-4</v>
      </c>
      <c r="G45" s="2">
        <f>IF(popproj!G45-old!G45=0,"",(popproj!G45-old!G45)/old!G45)</f>
        <v>4.276970568509771E-4</v>
      </c>
      <c r="H45" s="2">
        <f>IF(popproj!H45-old!H45=0,"",(popproj!H45-old!H45)/old!H45)</f>
        <v>-2.9173429721189749E-4</v>
      </c>
      <c r="I45" s="2">
        <f>IF(popproj!I45-old!I45=0,"",(popproj!I45-old!I45)/old!I45)</f>
        <v>-1.4848754500389196E-3</v>
      </c>
      <c r="J45" s="2">
        <f>IF(popproj!J45-old!J45=0,"",(popproj!J45-old!J45)/old!J45)</f>
        <v>-3.1467070503395306E-3</v>
      </c>
      <c r="K45" s="2">
        <f>IF(popproj!K45-old!K45=0,"",(popproj!K45-old!K45)/old!K45)</f>
        <v>-4.7864448636040233E-3</v>
      </c>
      <c r="L45" s="2">
        <f>IF(popproj!L45-old!L45=0,"",(popproj!L45-old!L45)/old!L45)</f>
        <v>-6.4453573113041878E-3</v>
      </c>
      <c r="M45" s="2">
        <f>IF(popproj!M45-old!M45=0,"",(popproj!M45-old!M45)/old!M45)</f>
        <v>-8.0884966473381351E-3</v>
      </c>
      <c r="N45" s="2">
        <f>IF(popproj!N45-old!N45=0,"",(popproj!N45-old!N45)/old!N45)</f>
        <v>-9.7203551434448705E-3</v>
      </c>
      <c r="O45" s="2">
        <f>IF(popproj!O45-old!O45=0,"",(popproj!O45-old!O45)/old!O45)</f>
        <v>-1.1350107402017157E-2</v>
      </c>
      <c r="P45" s="2">
        <f>IF(popproj!P45-old!P45=0,"",(popproj!P45-old!P45)/old!P45)</f>
        <v>-1.2949252056528351E-2</v>
      </c>
      <c r="Q45" s="2">
        <f>IF(popproj!Q45-old!Q45=0,"",(popproj!Q45-old!Q45)/old!Q45)</f>
        <v>-1.4662490419060058E-2</v>
      </c>
      <c r="R45" s="2">
        <f>IF(popproj!R45-old!R45=0,"",(popproj!R45-old!R45)/old!R45)</f>
        <v>-1.6349664405860498E-2</v>
      </c>
      <c r="S45" s="2">
        <f>IF(popproj!S45-old!S45=0,"",(popproj!S45-old!S45)/old!S45)</f>
        <v>-1.8033491900076876E-2</v>
      </c>
      <c r="T45" s="2">
        <f>IF(popproj!T45-old!T45=0,"",(popproj!T45-old!T45)/old!T45)</f>
        <v>-1.9736896572862886E-2</v>
      </c>
      <c r="U45" s="2">
        <f>IF(popproj!U45-old!U45=0,"",(popproj!U45-old!U45)/old!U45)</f>
        <v>-2.1613415406796486E-2</v>
      </c>
      <c r="V45" s="2">
        <f>IF(popproj!V45-old!V45=0,"",(popproj!V45-old!V45)/old!V45)</f>
        <v>-2.3090063843966575E-2</v>
      </c>
      <c r="W45" s="2">
        <f>IF(popproj!W45-old!W45=0,"",(popproj!W45-old!W45)/old!W45)</f>
        <v>-2.4533622338774343E-2</v>
      </c>
      <c r="X45" s="2">
        <f>IF(popproj!X45-old!X45=0,"",(popproj!X45-old!X45)/old!X45)</f>
        <v>-2.5978091262248339E-2</v>
      </c>
      <c r="Y45" s="2">
        <f>IF(popproj!Y45-old!Y45=0,"",(popproj!Y45-old!Y45)/old!Y45)</f>
        <v>-2.7429619936925942E-2</v>
      </c>
      <c r="Z45" s="2">
        <f>IF(popproj!Z45-old!Z45=0,"",(popproj!Z45-old!Z45)/old!Z45)</f>
        <v>-2.8884664390921917E-2</v>
      </c>
      <c r="AA45" s="2">
        <f>IF(popproj!AA45-old!AA45=0,"",(popproj!AA45-old!AA45)/old!AA45)</f>
        <v>-3.0368629054070818E-2</v>
      </c>
      <c r="AB45" s="2">
        <f>IF(popproj!AB45-old!AB45=0,"",(popproj!AB45-old!AB45)/old!AB45)</f>
        <v>-3.1848203622336139E-2</v>
      </c>
      <c r="AC45" s="2">
        <f>IF(popproj!AC45-old!AC45=0,"",(popproj!AC45-old!AC45)/old!AC45)</f>
        <v>-3.3346222683811294E-2</v>
      </c>
      <c r="AD45" s="2">
        <f>IF(popproj!AD45-old!AD45=0,"",(popproj!AD45-old!AD45)/old!AD45)</f>
        <v>-3.4857755736118136E-2</v>
      </c>
      <c r="AE45" s="2">
        <f>IF(popproj!AE45-old!AE45=0,"",(popproj!AE45-old!AE45)/old!AE45)</f>
        <v>-3.6377514596909397E-2</v>
      </c>
      <c r="AF45" s="2">
        <f>IF(popproj!AF45-old!AF45=0,"",(popproj!AF45-old!AF45)/old!AF45)</f>
        <v>-3.7913413789285512E-2</v>
      </c>
      <c r="AG45" s="2">
        <f>IF(popproj!AG45-old!AG45=0,"",(popproj!AG45-old!AG45)/old!AG45)</f>
        <v>-1</v>
      </c>
      <c r="AH45" s="2">
        <f>IF(popproj!AH45-old!AH45=0,"",(popproj!AH45-old!AH45)/old!AH45)</f>
        <v>-1</v>
      </c>
      <c r="AI45" s="2">
        <f>IF(popproj!AI45-old!AI45=0,"",(popproj!AI45-old!AI45)/old!AI45)</f>
        <v>-1</v>
      </c>
      <c r="AJ45" s="2">
        <f>IF(popproj!AJ45-old!AJ45=0,"",(popproj!AJ45-old!AJ45)/old!AJ45)</f>
        <v>-1</v>
      </c>
      <c r="AK45" s="2">
        <f>IF(popproj!AK45-old!AK45=0,"",(popproj!AK45-old!AK45)/old!AK45)</f>
        <v>-1</v>
      </c>
      <c r="AL45" s="2">
        <f>IF(popproj!AL45-old!AL45=0,"",(popproj!AL45-old!AL45)/old!AL45)</f>
        <v>-1</v>
      </c>
      <c r="AM45" s="2">
        <f>IF(popproj!AM45-old!AM45=0,"",(popproj!AM45-old!AM45)/old!AM45)</f>
        <v>-1</v>
      </c>
      <c r="AN45" s="2">
        <f>IF(popproj!AN45-old!AN45=0,"",(popproj!AN45-old!AN45)/old!AN45)</f>
        <v>-1</v>
      </c>
      <c r="AO45" s="2">
        <f>IF(popproj!AO45-old!AO45=0,"",(popproj!AO45-old!AO45)/old!AO45)</f>
        <v>-1</v>
      </c>
      <c r="AP45" s="2">
        <f>IF(popproj!AP45-old!AP45=0,"",(popproj!AP45-old!AP45)/old!AP45)</f>
        <v>-1</v>
      </c>
      <c r="AQ45" s="2">
        <f>IF(popproj!AQ45-old!AQ45=0,"",(popproj!AQ45-old!AQ45)/old!AQ45)</f>
        <v>-1</v>
      </c>
      <c r="AR45" s="2">
        <f>IF(popproj!AR45-old!AR45=0,"",(popproj!AR45-old!AR45)/old!AR45)</f>
        <v>-1</v>
      </c>
      <c r="AS45" s="2">
        <f>IF(popproj!AS45-old!AS45=0,"",(popproj!AS45-old!AS45)/old!AS45)</f>
        <v>-1</v>
      </c>
      <c r="AT45" s="2">
        <f>IF(popproj!AT45-old!AT45=0,"",(popproj!AT45-old!AT45)/old!AT45)</f>
        <v>-1</v>
      </c>
      <c r="AU45" s="2">
        <f>IF(popproj!AU45-old!AU45=0,"",(popproj!AU45-old!AU45)/old!AU45)</f>
        <v>-1</v>
      </c>
      <c r="AV45" s="2">
        <f>IF(popproj!AV45-old!AV45=0,"",(popproj!AV45-old!AV45)/old!AV45)</f>
        <v>-1</v>
      </c>
      <c r="AW45" s="2">
        <f>IF(popproj!AW45-old!AW45=0,"",(popproj!AW45-old!AW45)/old!AW45)</f>
        <v>-1</v>
      </c>
      <c r="AX45" s="2">
        <f>IF(popproj!AX45-old!AX45=0,"",(popproj!AX45-old!AX45)/old!AX45)</f>
        <v>-1</v>
      </c>
      <c r="AY45" s="2">
        <f>IF(popproj!AY45-old!AY45=0,"",(popproj!AY45-old!AY45)/old!AY45)</f>
        <v>-1</v>
      </c>
      <c r="AZ45" s="2">
        <f>IF(popproj!AZ45-old!AZ45=0,"",(popproj!AZ45-old!AZ45)/old!AZ45)</f>
        <v>-1</v>
      </c>
      <c r="BA45" s="2">
        <f>IF(popproj!BA45-old!BA45=0,"",(popproj!BA45-old!BA45)/old!BA45)</f>
        <v>-1</v>
      </c>
      <c r="BB45" s="2">
        <f>IF(popproj!BB45-old!BB45=0,"",(popproj!BB45-old!BB45)/old!BB45)</f>
        <v>-1</v>
      </c>
      <c r="BC45" s="2">
        <f>IF(popproj!BC45-old!BC45=0,"",(popproj!BC45-old!BC45)/old!BC45)</f>
        <v>-1</v>
      </c>
      <c r="BD45" s="2">
        <f>IF(popproj!BD45-old!BD45=0,"",(popproj!BD45-old!BD45)/old!BD45)</f>
        <v>-1</v>
      </c>
      <c r="BE45" s="2">
        <f>IF(popproj!BE45-old!BE45=0,"",(popproj!BE45-old!BE45)/old!BE45)</f>
        <v>-1</v>
      </c>
      <c r="BF45" s="2">
        <f>IF(popproj!BF45-old!BF45=0,"",(popproj!BF45-old!BF45)/old!BF45)</f>
        <v>-1</v>
      </c>
      <c r="BG45" s="2">
        <f>IF(popproj!BG45-old!BG45=0,"",(popproj!BG45-old!BG45)/old!BG45)</f>
        <v>-1</v>
      </c>
      <c r="BH45" s="2">
        <f>IF(popproj!BH45-old!BH45=0,"",(popproj!BH45-old!BH45)/old!BH45)</f>
        <v>-1</v>
      </c>
      <c r="BI45" s="2">
        <f>IF(popproj!BI45-old!BI45=0,"",(popproj!BI45-old!BI45)/old!BI45)</f>
        <v>-1</v>
      </c>
      <c r="BJ45" s="2">
        <f>IF(popproj!BJ45-old!BJ45=0,"",(popproj!BJ45-old!BJ45)/old!BJ45)</f>
        <v>-1</v>
      </c>
      <c r="BK45" s="2">
        <f>IF(popproj!BK45-old!BK45=0,"",(popproj!BK45-old!BK45)/old!BK45)</f>
        <v>-1</v>
      </c>
      <c r="BL45" s="2">
        <f>IF(popproj!BL45-old!BL45=0,"",(popproj!BL45-old!BL45)/old!BL45)</f>
        <v>-1</v>
      </c>
      <c r="BM45" s="2">
        <f>IF(popproj!BM45-old!BM45=0,"",(popproj!BM45-old!BM45)/old!BM45)</f>
        <v>-1</v>
      </c>
      <c r="BN45" s="2">
        <f>IF(popproj!BN45-old!BN45=0,"",(popproj!BN45-old!BN45)/old!BN45)</f>
        <v>-1</v>
      </c>
      <c r="BO45" s="2">
        <f>IF(popproj!BO45-old!BO45=0,"",(popproj!BO45-old!BO45)/old!BO45)</f>
        <v>-1</v>
      </c>
    </row>
    <row r="46" spans="1:67" x14ac:dyDescent="0.2">
      <c r="A46" t="str">
        <f>popproj!A46</f>
        <v>LT_POPAF</v>
      </c>
      <c r="B46" s="2"/>
      <c r="C46" s="2"/>
      <c r="D46" s="2">
        <f>IF(popproj!D46-old!D46=0,"",(popproj!D46-old!D46)/old!D46)</f>
        <v>-1</v>
      </c>
      <c r="E46" s="2">
        <f>IF(popproj!E46-old!E46=0,"",(popproj!E46-old!E46)/old!E46)</f>
        <v>-2.1882200666316232E-3</v>
      </c>
      <c r="F46" s="2">
        <f>IF(popproj!F46-old!F46=0,"",(popproj!F46-old!F46)/old!F46)</f>
        <v>9.3805987135808268E-3</v>
      </c>
      <c r="G46" s="2">
        <f>IF(popproj!G46-old!G46=0,"",(popproj!G46-old!G46)/old!G46)</f>
        <v>1.9788537105983463E-2</v>
      </c>
      <c r="H46" s="2">
        <f>IF(popproj!H46-old!H46=0,"",(popproj!H46-old!H46)/old!H46)</f>
        <v>2.4774715311021406E-2</v>
      </c>
      <c r="I46" s="2">
        <f>IF(popproj!I46-old!I46=0,"",(popproj!I46-old!I46)/old!I46)</f>
        <v>2.9979717708954957E-2</v>
      </c>
      <c r="J46" s="2">
        <f>IF(popproj!J46-old!J46=0,"",(popproj!J46-old!J46)/old!J46)</f>
        <v>3.5454722219475876E-2</v>
      </c>
      <c r="K46" s="2">
        <f>IF(popproj!K46-old!K46=0,"",(popproj!K46-old!K46)/old!K46)</f>
        <v>4.1014434865950425E-2</v>
      </c>
      <c r="L46" s="2">
        <f>IF(popproj!L46-old!L46=0,"",(popproj!L46-old!L46)/old!L46)</f>
        <v>4.6635885959636858E-2</v>
      </c>
      <c r="M46" s="2">
        <f>IF(popproj!M46-old!M46=0,"",(popproj!M46-old!M46)/old!M46)</f>
        <v>5.2307442345372643E-2</v>
      </c>
      <c r="N46" s="2">
        <f>IF(popproj!N46-old!N46=0,"",(popproj!N46-old!N46)/old!N46)</f>
        <v>5.8358945629057177E-2</v>
      </c>
      <c r="O46" s="2">
        <f>IF(popproj!O46-old!O46=0,"",(popproj!O46-old!O46)/old!O46)</f>
        <v>6.4519168767147347E-2</v>
      </c>
      <c r="P46" s="2">
        <f>IF(popproj!P46-old!P46=0,"",(popproj!P46-old!P46)/old!P46)</f>
        <v>7.0927675610762492E-2</v>
      </c>
      <c r="Q46" s="2">
        <f>IF(popproj!Q46-old!Q46=0,"",(popproj!Q46-old!Q46)/old!Q46)</f>
        <v>7.624445395123422E-2</v>
      </c>
      <c r="R46" s="2">
        <f>IF(popproj!R46-old!R46=0,"",(popproj!R46-old!R46)/old!R46)</f>
        <v>8.2733577061166949E-2</v>
      </c>
      <c r="S46" s="2">
        <f>IF(popproj!S46-old!S46=0,"",(popproj!S46-old!S46)/old!S46)</f>
        <v>8.9279882196621765E-2</v>
      </c>
      <c r="T46" s="2">
        <f>IF(popproj!T46-old!T46=0,"",(popproj!T46-old!T46)/old!T46)</f>
        <v>9.562014606528739E-2</v>
      </c>
      <c r="U46" s="2">
        <f>IF(popproj!U46-old!U46=0,"",(popproj!U46-old!U46)/old!U46)</f>
        <v>9.9994412114535691E-2</v>
      </c>
      <c r="V46" s="2">
        <f>IF(popproj!V46-old!V46=0,"",(popproj!V46-old!V46)/old!V46)</f>
        <v>0.1046900311886832</v>
      </c>
      <c r="W46" s="2">
        <f>IF(popproj!W46-old!W46=0,"",(popproj!W46-old!W46)/old!W46)</f>
        <v>0.10930074123853657</v>
      </c>
      <c r="X46" s="2">
        <f>IF(popproj!X46-old!X46=0,"",(popproj!X46-old!X46)/old!X46)</f>
        <v>0.11399151376663573</v>
      </c>
      <c r="Y46" s="2">
        <f>IF(popproj!Y46-old!Y46=0,"",(popproj!Y46-old!Y46)/old!Y46)</f>
        <v>0.11884840865671194</v>
      </c>
      <c r="Z46" s="2">
        <f>IF(popproj!Z46-old!Z46=0,"",(popproj!Z46-old!Z46)/old!Z46)</f>
        <v>0.12387932429153073</v>
      </c>
      <c r="AA46" s="2">
        <f>IF(popproj!AA46-old!AA46=0,"",(popproj!AA46-old!AA46)/old!AA46)</f>
        <v>0.1291143166659755</v>
      </c>
      <c r="AB46" s="2">
        <f>IF(popproj!AB46-old!AB46=0,"",(popproj!AB46-old!AB46)/old!AB46)</f>
        <v>0.13456174583241134</v>
      </c>
      <c r="AC46" s="2">
        <f>IF(popproj!AC46-old!AC46=0,"",(popproj!AC46-old!AC46)/old!AC46)</f>
        <v>0.14021140788344941</v>
      </c>
      <c r="AD46" s="2">
        <f>IF(popproj!AD46-old!AD46=0,"",(popproj!AD46-old!AD46)/old!AD46)</f>
        <v>0.14606138820492851</v>
      </c>
      <c r="AE46" s="2">
        <f>IF(popproj!AE46-old!AE46=0,"",(popproj!AE46-old!AE46)/old!AE46)</f>
        <v>0.1519753062937329</v>
      </c>
      <c r="AF46" s="2">
        <f>IF(popproj!AF46-old!AF46=0,"",(popproj!AF46-old!AF46)/old!AF46)</f>
        <v>0.15797543709396403</v>
      </c>
      <c r="AG46" s="2">
        <f>IF(popproj!AG46-old!AG46=0,"",(popproj!AG46-old!AG46)/old!AG46)</f>
        <v>-1</v>
      </c>
      <c r="AH46" s="2">
        <f>IF(popproj!AH46-old!AH46=0,"",(popproj!AH46-old!AH46)/old!AH46)</f>
        <v>-1</v>
      </c>
      <c r="AI46" s="2">
        <f>IF(popproj!AI46-old!AI46=0,"",(popproj!AI46-old!AI46)/old!AI46)</f>
        <v>-1</v>
      </c>
      <c r="AJ46" s="2">
        <f>IF(popproj!AJ46-old!AJ46=0,"",(popproj!AJ46-old!AJ46)/old!AJ46)</f>
        <v>-1</v>
      </c>
      <c r="AK46" s="2">
        <f>IF(popproj!AK46-old!AK46=0,"",(popproj!AK46-old!AK46)/old!AK46)</f>
        <v>-1</v>
      </c>
      <c r="AL46" s="2">
        <f>IF(popproj!AL46-old!AL46=0,"",(popproj!AL46-old!AL46)/old!AL46)</f>
        <v>-1</v>
      </c>
      <c r="AM46" s="2">
        <f>IF(popproj!AM46-old!AM46=0,"",(popproj!AM46-old!AM46)/old!AM46)</f>
        <v>-1</v>
      </c>
      <c r="AN46" s="2">
        <f>IF(popproj!AN46-old!AN46=0,"",(popproj!AN46-old!AN46)/old!AN46)</f>
        <v>-1</v>
      </c>
      <c r="AO46" s="2">
        <f>IF(popproj!AO46-old!AO46=0,"",(popproj!AO46-old!AO46)/old!AO46)</f>
        <v>-1</v>
      </c>
      <c r="AP46" s="2">
        <f>IF(popproj!AP46-old!AP46=0,"",(popproj!AP46-old!AP46)/old!AP46)</f>
        <v>-1</v>
      </c>
      <c r="AQ46" s="2">
        <f>IF(popproj!AQ46-old!AQ46=0,"",(popproj!AQ46-old!AQ46)/old!AQ46)</f>
        <v>-1</v>
      </c>
      <c r="AR46" s="2">
        <f>IF(popproj!AR46-old!AR46=0,"",(popproj!AR46-old!AR46)/old!AR46)</f>
        <v>-1</v>
      </c>
      <c r="AS46" s="2">
        <f>IF(popproj!AS46-old!AS46=0,"",(popproj!AS46-old!AS46)/old!AS46)</f>
        <v>-1</v>
      </c>
      <c r="AT46" s="2">
        <f>IF(popproj!AT46-old!AT46=0,"",(popproj!AT46-old!AT46)/old!AT46)</f>
        <v>-1</v>
      </c>
      <c r="AU46" s="2">
        <f>IF(popproj!AU46-old!AU46=0,"",(popproj!AU46-old!AU46)/old!AU46)</f>
        <v>-1</v>
      </c>
      <c r="AV46" s="2">
        <f>IF(popproj!AV46-old!AV46=0,"",(popproj!AV46-old!AV46)/old!AV46)</f>
        <v>-1</v>
      </c>
      <c r="AW46" s="2">
        <f>IF(popproj!AW46-old!AW46=0,"",(popproj!AW46-old!AW46)/old!AW46)</f>
        <v>-1</v>
      </c>
      <c r="AX46" s="2">
        <f>IF(popproj!AX46-old!AX46=0,"",(popproj!AX46-old!AX46)/old!AX46)</f>
        <v>-1</v>
      </c>
      <c r="AY46" s="2">
        <f>IF(popproj!AY46-old!AY46=0,"",(popproj!AY46-old!AY46)/old!AY46)</f>
        <v>-1</v>
      </c>
      <c r="AZ46" s="2">
        <f>IF(popproj!AZ46-old!AZ46=0,"",(popproj!AZ46-old!AZ46)/old!AZ46)</f>
        <v>-1</v>
      </c>
      <c r="BA46" s="2">
        <f>IF(popproj!BA46-old!BA46=0,"",(popproj!BA46-old!BA46)/old!BA46)</f>
        <v>-1</v>
      </c>
      <c r="BB46" s="2">
        <f>IF(popproj!BB46-old!BB46=0,"",(popproj!BB46-old!BB46)/old!BB46)</f>
        <v>-1</v>
      </c>
      <c r="BC46" s="2">
        <f>IF(popproj!BC46-old!BC46=0,"",(popproj!BC46-old!BC46)/old!BC46)</f>
        <v>-1</v>
      </c>
      <c r="BD46" s="2">
        <f>IF(popproj!BD46-old!BD46=0,"",(popproj!BD46-old!BD46)/old!BD46)</f>
        <v>-1</v>
      </c>
      <c r="BE46" s="2">
        <f>IF(popproj!BE46-old!BE46=0,"",(popproj!BE46-old!BE46)/old!BE46)</f>
        <v>-1</v>
      </c>
      <c r="BF46" s="2">
        <f>IF(popproj!BF46-old!BF46=0,"",(popproj!BF46-old!BF46)/old!BF46)</f>
        <v>-1</v>
      </c>
      <c r="BG46" s="2">
        <f>IF(popproj!BG46-old!BG46=0,"",(popproj!BG46-old!BG46)/old!BG46)</f>
        <v>-1</v>
      </c>
      <c r="BH46" s="2">
        <f>IF(popproj!BH46-old!BH46=0,"",(popproj!BH46-old!BH46)/old!BH46)</f>
        <v>-1</v>
      </c>
      <c r="BI46" s="2">
        <f>IF(popproj!BI46-old!BI46=0,"",(popproj!BI46-old!BI46)/old!BI46)</f>
        <v>-1</v>
      </c>
      <c r="BJ46" s="2">
        <f>IF(popproj!BJ46-old!BJ46=0,"",(popproj!BJ46-old!BJ46)/old!BJ46)</f>
        <v>-1</v>
      </c>
      <c r="BK46" s="2">
        <f>IF(popproj!BK46-old!BK46=0,"",(popproj!BK46-old!BK46)/old!BK46)</f>
        <v>-1</v>
      </c>
      <c r="BL46" s="2">
        <f>IF(popproj!BL46-old!BL46=0,"",(popproj!BL46-old!BL46)/old!BL46)</f>
        <v>-1</v>
      </c>
      <c r="BM46" s="2">
        <f>IF(popproj!BM46-old!BM46=0,"",(popproj!BM46-old!BM46)/old!BM46)</f>
        <v>-1</v>
      </c>
      <c r="BN46" s="2">
        <f>IF(popproj!BN46-old!BN46=0,"",(popproj!BN46-old!BN46)/old!BN46)</f>
        <v>-1</v>
      </c>
      <c r="BO46" s="2">
        <f>IF(popproj!BO46-old!BO46=0,"",(popproj!BO46-old!BO46)/old!BO46)</f>
        <v>-1</v>
      </c>
    </row>
    <row r="47" spans="1:67" x14ac:dyDescent="0.2">
      <c r="A47" t="str">
        <f>popproj!A47</f>
        <v>LU_POPAF</v>
      </c>
      <c r="B47" s="2"/>
      <c r="C47" s="2"/>
      <c r="D47" s="2">
        <f>IF(popproj!D47-old!D47=0,"",(popproj!D47-old!D47)/old!D47)</f>
        <v>-1</v>
      </c>
      <c r="E47" s="2">
        <f>IF(popproj!E47-old!E47=0,"",(popproj!E47-old!E47)/old!E47)</f>
        <v>-1.8962536809343678E-3</v>
      </c>
      <c r="F47" s="2">
        <f>IF(popproj!F47-old!F47=0,"",(popproj!F47-old!F47)/old!F47)</f>
        <v>-2.7344713578466898E-3</v>
      </c>
      <c r="G47" s="2">
        <f>IF(popproj!G47-old!G47=0,"",(popproj!G47-old!G47)/old!G47)</f>
        <v>-1.3507158041273961E-3</v>
      </c>
      <c r="H47" s="2">
        <f>IF(popproj!H47-old!H47=0,"",(popproj!H47-old!H47)/old!H47)</f>
        <v>7.776827276666185E-4</v>
      </c>
      <c r="I47" s="2">
        <f>IF(popproj!I47-old!I47=0,"",(popproj!I47-old!I47)/old!I47)</f>
        <v>3.1959780294752355E-3</v>
      </c>
      <c r="J47" s="2">
        <f>IF(popproj!J47-old!J47=0,"",(popproj!J47-old!J47)/old!J47)</f>
        <v>5.5929739726125974E-3</v>
      </c>
      <c r="K47" s="2">
        <f>IF(popproj!K47-old!K47=0,"",(popproj!K47-old!K47)/old!K47)</f>
        <v>6.530576018460992E-3</v>
      </c>
      <c r="L47" s="2">
        <f>IF(popproj!L47-old!L47=0,"",(popproj!L47-old!L47)/old!L47)</f>
        <v>7.2538061013289589E-3</v>
      </c>
      <c r="M47" s="2">
        <f>IF(popproj!M47-old!M47=0,"",(popproj!M47-old!M47)/old!M47)</f>
        <v>7.6920279628247511E-3</v>
      </c>
      <c r="N47" s="2">
        <f>IF(popproj!N47-old!N47=0,"",(popproj!N47-old!N47)/old!N47)</f>
        <v>7.8573116316977207E-3</v>
      </c>
      <c r="O47" s="2">
        <f>IF(popproj!O47-old!O47=0,"",(popproj!O47-old!O47)/old!O47)</f>
        <v>7.8381748080688981E-3</v>
      </c>
      <c r="P47" s="2">
        <f>IF(popproj!P47-old!P47=0,"",(popproj!P47-old!P47)/old!P47)</f>
        <v>7.7574899613886659E-3</v>
      </c>
      <c r="Q47" s="2">
        <f>IF(popproj!Q47-old!Q47=0,"",(popproj!Q47-old!Q47)/old!Q47)</f>
        <v>7.1325799237729401E-3</v>
      </c>
      <c r="R47" s="2">
        <f>IF(popproj!R47-old!R47=0,"",(popproj!R47-old!R47)/old!R47)</f>
        <v>6.5437180964926728E-3</v>
      </c>
      <c r="S47" s="2">
        <f>IF(popproj!S47-old!S47=0,"",(popproj!S47-old!S47)/old!S47)</f>
        <v>5.8406961156186781E-3</v>
      </c>
      <c r="T47" s="2">
        <f>IF(popproj!T47-old!T47=0,"",(popproj!T47-old!T47)/old!T47)</f>
        <v>4.246356736089172E-3</v>
      </c>
      <c r="U47" s="2">
        <f>IF(popproj!U47-old!U47=0,"",(popproj!U47-old!U47)/old!U47)</f>
        <v>1.8731499629389642E-3</v>
      </c>
      <c r="V47" s="2">
        <f>IF(popproj!V47-old!V47=0,"",(popproj!V47-old!V47)/old!V47)</f>
        <v>-1.5326698150259116E-4</v>
      </c>
      <c r="W47" s="2">
        <f>IF(popproj!W47-old!W47=0,"",(popproj!W47-old!W47)/old!W47)</f>
        <v>-2.2850346878097124E-3</v>
      </c>
      <c r="X47" s="2">
        <f>IF(popproj!X47-old!X47=0,"",(popproj!X47-old!X47)/old!X47)</f>
        <v>-4.4591665721594271E-3</v>
      </c>
      <c r="Y47" s="2">
        <f>IF(popproj!Y47-old!Y47=0,"",(popproj!Y47-old!Y47)/old!Y47)</f>
        <v>-6.6480910414351236E-3</v>
      </c>
      <c r="Z47" s="2">
        <f>IF(popproj!Z47-old!Z47=0,"",(popproj!Z47-old!Z47)/old!Z47)</f>
        <v>-8.9776243992226654E-3</v>
      </c>
      <c r="AA47" s="2">
        <f>IF(popproj!AA47-old!AA47=0,"",(popproj!AA47-old!AA47)/old!AA47)</f>
        <v>-1.1423064846194658E-2</v>
      </c>
      <c r="AB47" s="2">
        <f>IF(popproj!AB47-old!AB47=0,"",(popproj!AB47-old!AB47)/old!AB47)</f>
        <v>-1.3904672566643857E-2</v>
      </c>
      <c r="AC47" s="2">
        <f>IF(popproj!AC47-old!AC47=0,"",(popproj!AC47-old!AC47)/old!AC47)</f>
        <v>-1.6412401160754032E-2</v>
      </c>
      <c r="AD47" s="2">
        <f>IF(popproj!AD47-old!AD47=0,"",(popproj!AD47-old!AD47)/old!AD47)</f>
        <v>-1.8998667080541203E-2</v>
      </c>
      <c r="AE47" s="2">
        <f>IF(popproj!AE47-old!AE47=0,"",(popproj!AE47-old!AE47)/old!AE47)</f>
        <v>-2.1429847104798748E-2</v>
      </c>
      <c r="AF47" s="2">
        <f>IF(popproj!AF47-old!AF47=0,"",(popproj!AF47-old!AF47)/old!AF47)</f>
        <v>-2.3984467259537755E-2</v>
      </c>
      <c r="AG47" s="2">
        <f>IF(popproj!AG47-old!AG47=0,"",(popproj!AG47-old!AG47)/old!AG47)</f>
        <v>-1</v>
      </c>
      <c r="AH47" s="2">
        <f>IF(popproj!AH47-old!AH47=0,"",(popproj!AH47-old!AH47)/old!AH47)</f>
        <v>-1</v>
      </c>
      <c r="AI47" s="2">
        <f>IF(popproj!AI47-old!AI47=0,"",(popproj!AI47-old!AI47)/old!AI47)</f>
        <v>-1</v>
      </c>
      <c r="AJ47" s="2">
        <f>IF(popproj!AJ47-old!AJ47=0,"",(popproj!AJ47-old!AJ47)/old!AJ47)</f>
        <v>-1</v>
      </c>
      <c r="AK47" s="2">
        <f>IF(popproj!AK47-old!AK47=0,"",(popproj!AK47-old!AK47)/old!AK47)</f>
        <v>-1</v>
      </c>
      <c r="AL47" s="2">
        <f>IF(popproj!AL47-old!AL47=0,"",(popproj!AL47-old!AL47)/old!AL47)</f>
        <v>-1</v>
      </c>
      <c r="AM47" s="2">
        <f>IF(popproj!AM47-old!AM47=0,"",(popproj!AM47-old!AM47)/old!AM47)</f>
        <v>-1</v>
      </c>
      <c r="AN47" s="2">
        <f>IF(popproj!AN47-old!AN47=0,"",(popproj!AN47-old!AN47)/old!AN47)</f>
        <v>-1</v>
      </c>
      <c r="AO47" s="2">
        <f>IF(popproj!AO47-old!AO47=0,"",(popproj!AO47-old!AO47)/old!AO47)</f>
        <v>-1</v>
      </c>
      <c r="AP47" s="2">
        <f>IF(popproj!AP47-old!AP47=0,"",(popproj!AP47-old!AP47)/old!AP47)</f>
        <v>-1</v>
      </c>
      <c r="AQ47" s="2">
        <f>IF(popproj!AQ47-old!AQ47=0,"",(popproj!AQ47-old!AQ47)/old!AQ47)</f>
        <v>-1</v>
      </c>
      <c r="AR47" s="2">
        <f>IF(popproj!AR47-old!AR47=0,"",(popproj!AR47-old!AR47)/old!AR47)</f>
        <v>-1</v>
      </c>
      <c r="AS47" s="2">
        <f>IF(popproj!AS47-old!AS47=0,"",(popproj!AS47-old!AS47)/old!AS47)</f>
        <v>-1</v>
      </c>
      <c r="AT47" s="2">
        <f>IF(popproj!AT47-old!AT47=0,"",(popproj!AT47-old!AT47)/old!AT47)</f>
        <v>-1</v>
      </c>
      <c r="AU47" s="2">
        <f>IF(popproj!AU47-old!AU47=0,"",(popproj!AU47-old!AU47)/old!AU47)</f>
        <v>-1</v>
      </c>
      <c r="AV47" s="2">
        <f>IF(popproj!AV47-old!AV47=0,"",(popproj!AV47-old!AV47)/old!AV47)</f>
        <v>-1</v>
      </c>
      <c r="AW47" s="2">
        <f>IF(popproj!AW47-old!AW47=0,"",(popproj!AW47-old!AW47)/old!AW47)</f>
        <v>-1</v>
      </c>
      <c r="AX47" s="2">
        <f>IF(popproj!AX47-old!AX47=0,"",(popproj!AX47-old!AX47)/old!AX47)</f>
        <v>-1</v>
      </c>
      <c r="AY47" s="2">
        <f>IF(popproj!AY47-old!AY47=0,"",(popproj!AY47-old!AY47)/old!AY47)</f>
        <v>-1</v>
      </c>
      <c r="AZ47" s="2">
        <f>IF(popproj!AZ47-old!AZ47=0,"",(popproj!AZ47-old!AZ47)/old!AZ47)</f>
        <v>-1</v>
      </c>
      <c r="BA47" s="2">
        <f>IF(popproj!BA47-old!BA47=0,"",(popproj!BA47-old!BA47)/old!BA47)</f>
        <v>-1</v>
      </c>
      <c r="BB47" s="2">
        <f>IF(popproj!BB47-old!BB47=0,"",(popproj!BB47-old!BB47)/old!BB47)</f>
        <v>-1</v>
      </c>
      <c r="BC47" s="2">
        <f>IF(popproj!BC47-old!BC47=0,"",(popproj!BC47-old!BC47)/old!BC47)</f>
        <v>-1</v>
      </c>
      <c r="BD47" s="2">
        <f>IF(popproj!BD47-old!BD47=0,"",(popproj!BD47-old!BD47)/old!BD47)</f>
        <v>-1</v>
      </c>
      <c r="BE47" s="2">
        <f>IF(popproj!BE47-old!BE47=0,"",(popproj!BE47-old!BE47)/old!BE47)</f>
        <v>-1</v>
      </c>
      <c r="BF47" s="2">
        <f>IF(popproj!BF47-old!BF47=0,"",(popproj!BF47-old!BF47)/old!BF47)</f>
        <v>-1</v>
      </c>
      <c r="BG47" s="2">
        <f>IF(popproj!BG47-old!BG47=0,"",(popproj!BG47-old!BG47)/old!BG47)</f>
        <v>-1</v>
      </c>
      <c r="BH47" s="2">
        <f>IF(popproj!BH47-old!BH47=0,"",(popproj!BH47-old!BH47)/old!BH47)</f>
        <v>-1</v>
      </c>
      <c r="BI47" s="2">
        <f>IF(popproj!BI47-old!BI47=0,"",(popproj!BI47-old!BI47)/old!BI47)</f>
        <v>-1</v>
      </c>
      <c r="BJ47" s="2">
        <f>IF(popproj!BJ47-old!BJ47=0,"",(popproj!BJ47-old!BJ47)/old!BJ47)</f>
        <v>-1</v>
      </c>
      <c r="BK47" s="2">
        <f>IF(popproj!BK47-old!BK47=0,"",(popproj!BK47-old!BK47)/old!BK47)</f>
        <v>-1</v>
      </c>
      <c r="BL47" s="2">
        <f>IF(popproj!BL47-old!BL47=0,"",(popproj!BL47-old!BL47)/old!BL47)</f>
        <v>-1</v>
      </c>
      <c r="BM47" s="2">
        <f>IF(popproj!BM47-old!BM47=0,"",(popproj!BM47-old!BM47)/old!BM47)</f>
        <v>-1</v>
      </c>
      <c r="BN47" s="2">
        <f>IF(popproj!BN47-old!BN47=0,"",(popproj!BN47-old!BN47)/old!BN47)</f>
        <v>-1</v>
      </c>
      <c r="BO47" s="2">
        <f>IF(popproj!BO47-old!BO47=0,"",(popproj!BO47-old!BO47)/old!BO47)</f>
        <v>-1</v>
      </c>
    </row>
    <row r="48" spans="1:67" x14ac:dyDescent="0.2">
      <c r="A48" t="str">
        <f>popproj!A48</f>
        <v>LV_POPAF</v>
      </c>
      <c r="B48" s="2"/>
      <c r="C48" s="2"/>
      <c r="D48" s="2">
        <f>IF(popproj!D48-old!D48=0,"",(popproj!D48-old!D48)/old!D48)</f>
        <v>-1</v>
      </c>
      <c r="E48" s="2">
        <f>IF(popproj!E48-old!E48=0,"",(popproj!E48-old!E48)/old!E48)</f>
        <v>-5.0397237105783031E-3</v>
      </c>
      <c r="F48" s="2">
        <f>IF(popproj!F48-old!F48=0,"",(popproj!F48-old!F48)/old!F48)</f>
        <v>-3.2938767730287602E-3</v>
      </c>
      <c r="G48" s="2">
        <f>IF(popproj!G48-old!G48=0,"",(popproj!G48-old!G48)/old!G48)</f>
        <v>7.5892750761996435E-4</v>
      </c>
      <c r="H48" s="2">
        <f>IF(popproj!H48-old!H48=0,"",(popproj!H48-old!H48)/old!H48)</f>
        <v>-7.0140368412285084E-5</v>
      </c>
      <c r="I48" s="2">
        <f>IF(popproj!I48-old!I48=0,"",(popproj!I48-old!I48)/old!I48)</f>
        <v>-6.2289348077611642E-4</v>
      </c>
      <c r="J48" s="2">
        <f>IF(popproj!J48-old!J48=0,"",(popproj!J48-old!J48)/old!J48)</f>
        <v>-7.0748625268114826E-4</v>
      </c>
      <c r="K48" s="2">
        <f>IF(popproj!K48-old!K48=0,"",(popproj!K48-old!K48)/old!K48)</f>
        <v>-2.5049910622524334E-4</v>
      </c>
      <c r="L48" s="2">
        <f>IF(popproj!L48-old!L48=0,"",(popproj!L48-old!L48)/old!L48)</f>
        <v>2.0270539028054426E-4</v>
      </c>
      <c r="M48" s="2">
        <f>IF(popproj!M48-old!M48=0,"",(popproj!M48-old!M48)/old!M48)</f>
        <v>5.7986746549208712E-4</v>
      </c>
      <c r="N48" s="2">
        <f>IF(popproj!N48-old!N48=0,"",(popproj!N48-old!N48)/old!N48)</f>
        <v>9.328329057198126E-4</v>
      </c>
      <c r="O48" s="2">
        <f>IF(popproj!O48-old!O48=0,"",(popproj!O48-old!O48)/old!O48)</f>
        <v>1.3033316761762192E-3</v>
      </c>
      <c r="P48" s="2">
        <f>IF(popproj!P48-old!P48=0,"",(popproj!P48-old!P48)/old!P48)</f>
        <v>1.8520342350089719E-3</v>
      </c>
      <c r="Q48" s="2">
        <f>IF(popproj!Q48-old!Q48=0,"",(popproj!Q48-old!Q48)/old!Q48)</f>
        <v>1.2651549105597885E-3</v>
      </c>
      <c r="R48" s="2">
        <f>IF(popproj!R48-old!R48=0,"",(popproj!R48-old!R48)/old!R48)</f>
        <v>1.6396148013619394E-3</v>
      </c>
      <c r="S48" s="2">
        <f>IF(popproj!S48-old!S48=0,"",(popproj!S48-old!S48)/old!S48)</f>
        <v>1.6835604685037013E-3</v>
      </c>
      <c r="T48" s="2">
        <f>IF(popproj!T48-old!T48=0,"",(popproj!T48-old!T48)/old!T48)</f>
        <v>1.5692596935268669E-3</v>
      </c>
      <c r="U48" s="2">
        <f>IF(popproj!U48-old!U48=0,"",(popproj!U48-old!U48)/old!U48)</f>
        <v>5.918300168680083E-4</v>
      </c>
      <c r="V48" s="2">
        <f>IF(popproj!V48-old!V48=0,"",(popproj!V48-old!V48)/old!V48)</f>
        <v>-2.0022508060785573E-4</v>
      </c>
      <c r="W48" s="2">
        <f>IF(popproj!W48-old!W48=0,"",(popproj!W48-old!W48)/old!W48)</f>
        <v>-1.0474768900411134E-3</v>
      </c>
      <c r="X48" s="2">
        <f>IF(popproj!X48-old!X48=0,"",(popproj!X48-old!X48)/old!X48)</f>
        <v>-1.8789885440886507E-3</v>
      </c>
      <c r="Y48" s="2">
        <f>IF(popproj!Y48-old!Y48=0,"",(popproj!Y48-old!Y48)/old!Y48)</f>
        <v>-2.6761612420678599E-3</v>
      </c>
      <c r="Z48" s="2">
        <f>IF(popproj!Z48-old!Z48=0,"",(popproj!Z48-old!Z48)/old!Z48)</f>
        <v>-3.3204426291243011E-3</v>
      </c>
      <c r="AA48" s="2">
        <f>IF(popproj!AA48-old!AA48=0,"",(popproj!AA48-old!AA48)/old!AA48)</f>
        <v>-3.8880904544721291E-3</v>
      </c>
      <c r="AB48" s="2">
        <f>IF(popproj!AB48-old!AB48=0,"",(popproj!AB48-old!AB48)/old!AB48)</f>
        <v>-4.3090441646851498E-3</v>
      </c>
      <c r="AC48" s="2">
        <f>IF(popproj!AC48-old!AC48=0,"",(popproj!AC48-old!AC48)/old!AC48)</f>
        <v>-4.598205128687644E-3</v>
      </c>
      <c r="AD48" s="2">
        <f>IF(popproj!AD48-old!AD48=0,"",(popproj!AD48-old!AD48)/old!AD48)</f>
        <v>-4.7470465574620405E-3</v>
      </c>
      <c r="AE48" s="2">
        <f>IF(popproj!AE48-old!AE48=0,"",(popproj!AE48-old!AE48)/old!AE48)</f>
        <v>-4.7828473472947197E-3</v>
      </c>
      <c r="AF48" s="2">
        <f>IF(popproj!AF48-old!AF48=0,"",(popproj!AF48-old!AF48)/old!AF48)</f>
        <v>-4.7675024848031584E-3</v>
      </c>
      <c r="AG48" s="2">
        <f>IF(popproj!AG48-old!AG48=0,"",(popproj!AG48-old!AG48)/old!AG48)</f>
        <v>-1</v>
      </c>
      <c r="AH48" s="2">
        <f>IF(popproj!AH48-old!AH48=0,"",(popproj!AH48-old!AH48)/old!AH48)</f>
        <v>-1</v>
      </c>
      <c r="AI48" s="2">
        <f>IF(popproj!AI48-old!AI48=0,"",(popproj!AI48-old!AI48)/old!AI48)</f>
        <v>-1</v>
      </c>
      <c r="AJ48" s="2">
        <f>IF(popproj!AJ48-old!AJ48=0,"",(popproj!AJ48-old!AJ48)/old!AJ48)</f>
        <v>-1</v>
      </c>
      <c r="AK48" s="2">
        <f>IF(popproj!AK48-old!AK48=0,"",(popproj!AK48-old!AK48)/old!AK48)</f>
        <v>-1</v>
      </c>
      <c r="AL48" s="2">
        <f>IF(popproj!AL48-old!AL48=0,"",(popproj!AL48-old!AL48)/old!AL48)</f>
        <v>-1</v>
      </c>
      <c r="AM48" s="2">
        <f>IF(popproj!AM48-old!AM48=0,"",(popproj!AM48-old!AM48)/old!AM48)</f>
        <v>-1</v>
      </c>
      <c r="AN48" s="2">
        <f>IF(popproj!AN48-old!AN48=0,"",(popproj!AN48-old!AN48)/old!AN48)</f>
        <v>-1</v>
      </c>
      <c r="AO48" s="2">
        <f>IF(popproj!AO48-old!AO48=0,"",(popproj!AO48-old!AO48)/old!AO48)</f>
        <v>-1</v>
      </c>
      <c r="AP48" s="2">
        <f>IF(popproj!AP48-old!AP48=0,"",(popproj!AP48-old!AP48)/old!AP48)</f>
        <v>-1</v>
      </c>
      <c r="AQ48" s="2">
        <f>IF(popproj!AQ48-old!AQ48=0,"",(popproj!AQ48-old!AQ48)/old!AQ48)</f>
        <v>-1</v>
      </c>
      <c r="AR48" s="2">
        <f>IF(popproj!AR48-old!AR48=0,"",(popproj!AR48-old!AR48)/old!AR48)</f>
        <v>-1</v>
      </c>
      <c r="AS48" s="2">
        <f>IF(popproj!AS48-old!AS48=0,"",(popproj!AS48-old!AS48)/old!AS48)</f>
        <v>-1</v>
      </c>
      <c r="AT48" s="2">
        <f>IF(popproj!AT48-old!AT48=0,"",(popproj!AT48-old!AT48)/old!AT48)</f>
        <v>-1</v>
      </c>
      <c r="AU48" s="2">
        <f>IF(popproj!AU48-old!AU48=0,"",(popproj!AU48-old!AU48)/old!AU48)</f>
        <v>-1</v>
      </c>
      <c r="AV48" s="2">
        <f>IF(popproj!AV48-old!AV48=0,"",(popproj!AV48-old!AV48)/old!AV48)</f>
        <v>-1</v>
      </c>
      <c r="AW48" s="2">
        <f>IF(popproj!AW48-old!AW48=0,"",(popproj!AW48-old!AW48)/old!AW48)</f>
        <v>-1</v>
      </c>
      <c r="AX48" s="2">
        <f>IF(popproj!AX48-old!AX48=0,"",(popproj!AX48-old!AX48)/old!AX48)</f>
        <v>-1</v>
      </c>
      <c r="AY48" s="2">
        <f>IF(popproj!AY48-old!AY48=0,"",(popproj!AY48-old!AY48)/old!AY48)</f>
        <v>-1</v>
      </c>
      <c r="AZ48" s="2">
        <f>IF(popproj!AZ48-old!AZ48=0,"",(popproj!AZ48-old!AZ48)/old!AZ48)</f>
        <v>-1</v>
      </c>
      <c r="BA48" s="2">
        <f>IF(popproj!BA48-old!BA48=0,"",(popproj!BA48-old!BA48)/old!BA48)</f>
        <v>-1</v>
      </c>
      <c r="BB48" s="2">
        <f>IF(popproj!BB48-old!BB48=0,"",(popproj!BB48-old!BB48)/old!BB48)</f>
        <v>-1</v>
      </c>
      <c r="BC48" s="2">
        <f>IF(popproj!BC48-old!BC48=0,"",(popproj!BC48-old!BC48)/old!BC48)</f>
        <v>-1</v>
      </c>
      <c r="BD48" s="2">
        <f>IF(popproj!BD48-old!BD48=0,"",(popproj!BD48-old!BD48)/old!BD48)</f>
        <v>-1</v>
      </c>
      <c r="BE48" s="2">
        <f>IF(popproj!BE48-old!BE48=0,"",(popproj!BE48-old!BE48)/old!BE48)</f>
        <v>-1</v>
      </c>
      <c r="BF48" s="2">
        <f>IF(popproj!BF48-old!BF48=0,"",(popproj!BF48-old!BF48)/old!BF48)</f>
        <v>-1</v>
      </c>
      <c r="BG48" s="2">
        <f>IF(popproj!BG48-old!BG48=0,"",(popproj!BG48-old!BG48)/old!BG48)</f>
        <v>-1</v>
      </c>
      <c r="BH48" s="2">
        <f>IF(popproj!BH48-old!BH48=0,"",(popproj!BH48-old!BH48)/old!BH48)</f>
        <v>-1</v>
      </c>
      <c r="BI48" s="2">
        <f>IF(popproj!BI48-old!BI48=0,"",(popproj!BI48-old!BI48)/old!BI48)</f>
        <v>-1</v>
      </c>
      <c r="BJ48" s="2">
        <f>IF(popproj!BJ48-old!BJ48=0,"",(popproj!BJ48-old!BJ48)/old!BJ48)</f>
        <v>-1</v>
      </c>
      <c r="BK48" s="2">
        <f>IF(popproj!BK48-old!BK48=0,"",(popproj!BK48-old!BK48)/old!BK48)</f>
        <v>-1</v>
      </c>
      <c r="BL48" s="2">
        <f>IF(popproj!BL48-old!BL48=0,"",(popproj!BL48-old!BL48)/old!BL48)</f>
        <v>-1</v>
      </c>
      <c r="BM48" s="2">
        <f>IF(popproj!BM48-old!BM48=0,"",(popproj!BM48-old!BM48)/old!BM48)</f>
        <v>-1</v>
      </c>
      <c r="BN48" s="2">
        <f>IF(popproj!BN48-old!BN48=0,"",(popproj!BN48-old!BN48)/old!BN48)</f>
        <v>-1</v>
      </c>
      <c r="BO48" s="2">
        <f>IF(popproj!BO48-old!BO48=0,"",(popproj!BO48-old!BO48)/old!BO48)</f>
        <v>-1</v>
      </c>
    </row>
    <row r="49" spans="1:67" x14ac:dyDescent="0.2">
      <c r="A49" t="str">
        <f>popproj!A49</f>
        <v>MT_POPAF</v>
      </c>
      <c r="B49" s="2"/>
      <c r="C49" s="2"/>
      <c r="D49" s="2">
        <f>IF(popproj!D49-old!D49=0,"",(popproj!D49-old!D49)/old!D49)</f>
        <v>-1</v>
      </c>
      <c r="E49" s="2">
        <f>IF(popproj!E49-old!E49=0,"",(popproj!E49-old!E49)/old!E49)</f>
        <v>3.2882943659528534E-2</v>
      </c>
      <c r="F49" s="2">
        <f>IF(popproj!F49-old!F49=0,"",(popproj!F49-old!F49)/old!F49)</f>
        <v>5.7309550722886141E-2</v>
      </c>
      <c r="G49" s="2">
        <f>IF(popproj!G49-old!G49=0,"",(popproj!G49-old!G49)/old!G49)</f>
        <v>7.3678566849656749E-2</v>
      </c>
      <c r="H49" s="2">
        <f>IF(popproj!H49-old!H49=0,"",(popproj!H49-old!H49)/old!H49)</f>
        <v>8.4952837113704757E-2</v>
      </c>
      <c r="I49" s="2">
        <f>IF(popproj!I49-old!I49=0,"",(popproj!I49-old!I49)/old!I49)</f>
        <v>9.1718984231467182E-2</v>
      </c>
      <c r="J49" s="2">
        <f>IF(popproj!J49-old!J49=0,"",(popproj!J49-old!J49)/old!J49)</f>
        <v>9.4405625390467499E-2</v>
      </c>
      <c r="K49" s="2">
        <f>IF(popproj!K49-old!K49=0,"",(popproj!K49-old!K49)/old!K49)</f>
        <v>9.457230211359223E-2</v>
      </c>
      <c r="L49" s="2">
        <f>IF(popproj!L49-old!L49=0,"",(popproj!L49-old!L49)/old!L49)</f>
        <v>9.4650779620873413E-2</v>
      </c>
      <c r="M49" s="2">
        <f>IF(popproj!M49-old!M49=0,"",(popproj!M49-old!M49)/old!M49)</f>
        <v>9.4383712724645158E-2</v>
      </c>
      <c r="N49" s="2">
        <f>IF(popproj!N49-old!N49=0,"",(popproj!N49-old!N49)/old!N49)</f>
        <v>9.4139549606207393E-2</v>
      </c>
      <c r="O49" s="2">
        <f>IF(popproj!O49-old!O49=0,"",(popproj!O49-old!O49)/old!O49)</f>
        <v>9.3708009221020974E-2</v>
      </c>
      <c r="P49" s="2">
        <f>IF(popproj!P49-old!P49=0,"",(popproj!P49-old!P49)/old!P49)</f>
        <v>9.3612232068622875E-2</v>
      </c>
      <c r="Q49" s="2">
        <f>IF(popproj!Q49-old!Q49=0,"",(popproj!Q49-old!Q49)/old!Q49)</f>
        <v>9.3297380894190055E-2</v>
      </c>
      <c r="R49" s="2">
        <f>IF(popproj!R49-old!R49=0,"",(popproj!R49-old!R49)/old!R49)</f>
        <v>9.313349847628892E-2</v>
      </c>
      <c r="S49" s="2">
        <f>IF(popproj!S49-old!S49=0,"",(popproj!S49-old!S49)/old!S49)</f>
        <v>9.289707333114107E-2</v>
      </c>
      <c r="T49" s="2">
        <f>IF(popproj!T49-old!T49=0,"",(popproj!T49-old!T49)/old!T49)</f>
        <v>9.2206132879045999E-2</v>
      </c>
      <c r="U49" s="2">
        <f>IF(popproj!U49-old!U49=0,"",(popproj!U49-old!U49)/old!U49)</f>
        <v>9.0935528183700098E-2</v>
      </c>
      <c r="V49" s="2">
        <f>IF(popproj!V49-old!V49=0,"",(popproj!V49-old!V49)/old!V49)</f>
        <v>8.9859502318930487E-2</v>
      </c>
      <c r="W49" s="2">
        <f>IF(popproj!W49-old!W49=0,"",(popproj!W49-old!W49)/old!W49)</f>
        <v>8.8614152083091785E-2</v>
      </c>
      <c r="X49" s="2">
        <f>IF(popproj!X49-old!X49=0,"",(popproj!X49-old!X49)/old!X49)</f>
        <v>8.7309453192606676E-2</v>
      </c>
      <c r="Y49" s="2">
        <f>IF(popproj!Y49-old!Y49=0,"",(popproj!Y49-old!Y49)/old!Y49)</f>
        <v>8.6116471997878002E-2</v>
      </c>
      <c r="Z49" s="2">
        <f>IF(popproj!Z49-old!Z49=0,"",(popproj!Z49-old!Z49)/old!Z49)</f>
        <v>8.4721080105923996E-2</v>
      </c>
      <c r="AA49" s="2">
        <f>IF(popproj!AA49-old!AA49=0,"",(popproj!AA49-old!AA49)/old!AA49)</f>
        <v>8.3014508974614223E-2</v>
      </c>
      <c r="AB49" s="2">
        <f>IF(popproj!AB49-old!AB49=0,"",(popproj!AB49-old!AB49)/old!AB49)</f>
        <v>8.1423674084821582E-2</v>
      </c>
      <c r="AC49" s="2">
        <f>IF(popproj!AC49-old!AC49=0,"",(popproj!AC49-old!AC49)/old!AC49)</f>
        <v>7.9880952170929248E-2</v>
      </c>
      <c r="AD49" s="2">
        <f>IF(popproj!AD49-old!AD49=0,"",(popproj!AD49-old!AD49)/old!AD49)</f>
        <v>7.8530812163000174E-2</v>
      </c>
      <c r="AE49" s="2">
        <f>IF(popproj!AE49-old!AE49=0,"",(popproj!AE49-old!AE49)/old!AE49)</f>
        <v>7.7375906646916404E-2</v>
      </c>
      <c r="AF49" s="2">
        <f>IF(popproj!AF49-old!AF49=0,"",(popproj!AF49-old!AF49)/old!AF49)</f>
        <v>7.6185250067510951E-2</v>
      </c>
      <c r="AG49" s="2">
        <f>IF(popproj!AG49-old!AG49=0,"",(popproj!AG49-old!AG49)/old!AG49)</f>
        <v>-1</v>
      </c>
      <c r="AH49" s="2">
        <f>IF(popproj!AH49-old!AH49=0,"",(popproj!AH49-old!AH49)/old!AH49)</f>
        <v>-1</v>
      </c>
      <c r="AI49" s="2">
        <f>IF(popproj!AI49-old!AI49=0,"",(popproj!AI49-old!AI49)/old!AI49)</f>
        <v>-1</v>
      </c>
      <c r="AJ49" s="2">
        <f>IF(popproj!AJ49-old!AJ49=0,"",(popproj!AJ49-old!AJ49)/old!AJ49)</f>
        <v>-1</v>
      </c>
      <c r="AK49" s="2">
        <f>IF(popproj!AK49-old!AK49=0,"",(popproj!AK49-old!AK49)/old!AK49)</f>
        <v>-1</v>
      </c>
      <c r="AL49" s="2">
        <f>IF(popproj!AL49-old!AL49=0,"",(popproj!AL49-old!AL49)/old!AL49)</f>
        <v>-1</v>
      </c>
      <c r="AM49" s="2">
        <f>IF(popproj!AM49-old!AM49=0,"",(popproj!AM49-old!AM49)/old!AM49)</f>
        <v>-1</v>
      </c>
      <c r="AN49" s="2">
        <f>IF(popproj!AN49-old!AN49=0,"",(popproj!AN49-old!AN49)/old!AN49)</f>
        <v>-1</v>
      </c>
      <c r="AO49" s="2">
        <f>IF(popproj!AO49-old!AO49=0,"",(popproj!AO49-old!AO49)/old!AO49)</f>
        <v>-1</v>
      </c>
      <c r="AP49" s="2">
        <f>IF(popproj!AP49-old!AP49=0,"",(popproj!AP49-old!AP49)/old!AP49)</f>
        <v>-1</v>
      </c>
      <c r="AQ49" s="2">
        <f>IF(popproj!AQ49-old!AQ49=0,"",(popproj!AQ49-old!AQ49)/old!AQ49)</f>
        <v>-1</v>
      </c>
      <c r="AR49" s="2">
        <f>IF(popproj!AR49-old!AR49=0,"",(popproj!AR49-old!AR49)/old!AR49)</f>
        <v>-1</v>
      </c>
      <c r="AS49" s="2">
        <f>IF(popproj!AS49-old!AS49=0,"",(popproj!AS49-old!AS49)/old!AS49)</f>
        <v>-1</v>
      </c>
      <c r="AT49" s="2">
        <f>IF(popproj!AT49-old!AT49=0,"",(popproj!AT49-old!AT49)/old!AT49)</f>
        <v>-1</v>
      </c>
      <c r="AU49" s="2">
        <f>IF(popproj!AU49-old!AU49=0,"",(popproj!AU49-old!AU49)/old!AU49)</f>
        <v>-1</v>
      </c>
      <c r="AV49" s="2">
        <f>IF(popproj!AV49-old!AV49=0,"",(popproj!AV49-old!AV49)/old!AV49)</f>
        <v>-1</v>
      </c>
      <c r="AW49" s="2">
        <f>IF(popproj!AW49-old!AW49=0,"",(popproj!AW49-old!AW49)/old!AW49)</f>
        <v>-1</v>
      </c>
      <c r="AX49" s="2">
        <f>IF(popproj!AX49-old!AX49=0,"",(popproj!AX49-old!AX49)/old!AX49)</f>
        <v>-1</v>
      </c>
      <c r="AY49" s="2">
        <f>IF(popproj!AY49-old!AY49=0,"",(popproj!AY49-old!AY49)/old!AY49)</f>
        <v>-1</v>
      </c>
      <c r="AZ49" s="2">
        <f>IF(popproj!AZ49-old!AZ49=0,"",(popproj!AZ49-old!AZ49)/old!AZ49)</f>
        <v>-1</v>
      </c>
      <c r="BA49" s="2">
        <f>IF(popproj!BA49-old!BA49=0,"",(popproj!BA49-old!BA49)/old!BA49)</f>
        <v>-1</v>
      </c>
      <c r="BB49" s="2">
        <f>IF(popproj!BB49-old!BB49=0,"",(popproj!BB49-old!BB49)/old!BB49)</f>
        <v>-1</v>
      </c>
      <c r="BC49" s="2">
        <f>IF(popproj!BC49-old!BC49=0,"",(popproj!BC49-old!BC49)/old!BC49)</f>
        <v>-1</v>
      </c>
      <c r="BD49" s="2">
        <f>IF(popproj!BD49-old!BD49=0,"",(popproj!BD49-old!BD49)/old!BD49)</f>
        <v>-1</v>
      </c>
      <c r="BE49" s="2">
        <f>IF(popproj!BE49-old!BE49=0,"",(popproj!BE49-old!BE49)/old!BE49)</f>
        <v>-1</v>
      </c>
      <c r="BF49" s="2">
        <f>IF(popproj!BF49-old!BF49=0,"",(popproj!BF49-old!BF49)/old!BF49)</f>
        <v>-1</v>
      </c>
      <c r="BG49" s="2">
        <f>IF(popproj!BG49-old!BG49=0,"",(popproj!BG49-old!BG49)/old!BG49)</f>
        <v>-1</v>
      </c>
      <c r="BH49" s="2">
        <f>IF(popproj!BH49-old!BH49=0,"",(popproj!BH49-old!BH49)/old!BH49)</f>
        <v>-1</v>
      </c>
      <c r="BI49" s="2">
        <f>IF(popproj!BI49-old!BI49=0,"",(popproj!BI49-old!BI49)/old!BI49)</f>
        <v>-1</v>
      </c>
      <c r="BJ49" s="2">
        <f>IF(popproj!BJ49-old!BJ49=0,"",(popproj!BJ49-old!BJ49)/old!BJ49)</f>
        <v>-1</v>
      </c>
      <c r="BK49" s="2">
        <f>IF(popproj!BK49-old!BK49=0,"",(popproj!BK49-old!BK49)/old!BK49)</f>
        <v>-1</v>
      </c>
      <c r="BL49" s="2">
        <f>IF(popproj!BL49-old!BL49=0,"",(popproj!BL49-old!BL49)/old!BL49)</f>
        <v>-1</v>
      </c>
      <c r="BM49" s="2">
        <f>IF(popproj!BM49-old!BM49=0,"",(popproj!BM49-old!BM49)/old!BM49)</f>
        <v>-1</v>
      </c>
      <c r="BN49" s="2">
        <f>IF(popproj!BN49-old!BN49=0,"",(popproj!BN49-old!BN49)/old!BN49)</f>
        <v>-1</v>
      </c>
      <c r="BO49" s="2">
        <f>IF(popproj!BO49-old!BO49=0,"",(popproj!BO49-old!BO49)/old!BO49)</f>
        <v>-1</v>
      </c>
    </row>
    <row r="50" spans="1:67" x14ac:dyDescent="0.2">
      <c r="A50" t="str">
        <f>popproj!A50</f>
        <v>NL_POPAF</v>
      </c>
      <c r="B50" s="2"/>
      <c r="C50" s="2"/>
      <c r="D50" s="2">
        <f>IF(popproj!D50-old!D50=0,"",(popproj!D50-old!D50)/old!D50)</f>
        <v>-1</v>
      </c>
      <c r="E50" s="2">
        <f>IF(popproj!E50-old!E50=0,"",(popproj!E50-old!E50)/old!E50)</f>
        <v>-1.7124295231478887E-4</v>
      </c>
      <c r="F50" s="2">
        <f>IF(popproj!F50-old!F50=0,"",(popproj!F50-old!F50)/old!F50)</f>
        <v>6.0399328383154392E-4</v>
      </c>
      <c r="G50" s="2">
        <f>IF(popproj!G50-old!G50=0,"",(popproj!G50-old!G50)/old!G50)</f>
        <v>3.1663398947018367E-3</v>
      </c>
      <c r="H50" s="2">
        <f>IF(popproj!H50-old!H50=0,"",(popproj!H50-old!H50)/old!H50)</f>
        <v>5.2384059741435209E-3</v>
      </c>
      <c r="I50" s="2">
        <f>IF(popproj!I50-old!I50=0,"",(popproj!I50-old!I50)/old!I50)</f>
        <v>7.6255791304491059E-3</v>
      </c>
      <c r="J50" s="2">
        <f>IF(popproj!J50-old!J50=0,"",(popproj!J50-old!J50)/old!J50)</f>
        <v>1.0380848806256808E-2</v>
      </c>
      <c r="K50" s="2">
        <f>IF(popproj!K50-old!K50=0,"",(popproj!K50-old!K50)/old!K50)</f>
        <v>1.2916261596005866E-2</v>
      </c>
      <c r="L50" s="2">
        <f>IF(popproj!L50-old!L50=0,"",(popproj!L50-old!L50)/old!L50)</f>
        <v>1.5406878968746165E-2</v>
      </c>
      <c r="M50" s="2">
        <f>IF(popproj!M50-old!M50=0,"",(popproj!M50-old!M50)/old!M50)</f>
        <v>1.7888675900712539E-2</v>
      </c>
      <c r="N50" s="2">
        <f>IF(popproj!N50-old!N50=0,"",(popproj!N50-old!N50)/old!N50)</f>
        <v>2.0363192276712818E-2</v>
      </c>
      <c r="O50" s="2">
        <f>IF(popproj!O50-old!O50=0,"",(popproj!O50-old!O50)/old!O50)</f>
        <v>2.2842712600055937E-2</v>
      </c>
      <c r="P50" s="2">
        <f>IF(popproj!P50-old!P50=0,"",(popproj!P50-old!P50)/old!P50)</f>
        <v>2.5425772861007612E-2</v>
      </c>
      <c r="Q50" s="2">
        <f>IF(popproj!Q50-old!Q50=0,"",(popproj!Q50-old!Q50)/old!Q50)</f>
        <v>2.7704462061262407E-2</v>
      </c>
      <c r="R50" s="2">
        <f>IF(popproj!R50-old!R50=0,"",(popproj!R50-old!R50)/old!R50)</f>
        <v>3.0203935623683002E-2</v>
      </c>
      <c r="S50" s="2">
        <f>IF(popproj!S50-old!S50=0,"",(popproj!S50-old!S50)/old!S50)</f>
        <v>3.2746422776045461E-2</v>
      </c>
      <c r="T50" s="2">
        <f>IF(popproj!T50-old!T50=0,"",(popproj!T50-old!T50)/old!T50)</f>
        <v>3.5183326799694874E-2</v>
      </c>
      <c r="U50" s="2">
        <f>IF(popproj!U50-old!U50=0,"",(popproj!U50-old!U50)/old!U50)</f>
        <v>3.6950317242247857E-2</v>
      </c>
      <c r="V50" s="2">
        <f>IF(popproj!V50-old!V50=0,"",(popproj!V50-old!V50)/old!V50)</f>
        <v>3.9097160951800533E-2</v>
      </c>
      <c r="W50" s="2">
        <f>IF(popproj!W50-old!W50=0,"",(popproj!W50-old!W50)/old!W50)</f>
        <v>4.1234439037062837E-2</v>
      </c>
      <c r="X50" s="2">
        <f>IF(popproj!X50-old!X50=0,"",(popproj!X50-old!X50)/old!X50)</f>
        <v>4.3391408998389253E-2</v>
      </c>
      <c r="Y50" s="2">
        <f>IF(popproj!Y50-old!Y50=0,"",(popproj!Y50-old!Y50)/old!Y50)</f>
        <v>4.5566370388932402E-2</v>
      </c>
      <c r="Z50" s="2">
        <f>IF(popproj!Z50-old!Z50=0,"",(popproj!Z50-old!Z50)/old!Z50)</f>
        <v>4.7765877336222951E-2</v>
      </c>
      <c r="AA50" s="2">
        <f>IF(popproj!AA50-old!AA50=0,"",(popproj!AA50-old!AA50)/old!AA50)</f>
        <v>4.9987586201897284E-2</v>
      </c>
      <c r="AB50" s="2">
        <f>IF(popproj!AB50-old!AB50=0,"",(popproj!AB50-old!AB50)/old!AB50)</f>
        <v>5.2204795186580312E-2</v>
      </c>
      <c r="AC50" s="2">
        <f>IF(popproj!AC50-old!AC50=0,"",(popproj!AC50-old!AC50)/old!AC50)</f>
        <v>5.4423663998682557E-2</v>
      </c>
      <c r="AD50" s="2">
        <f>IF(popproj!AD50-old!AD50=0,"",(popproj!AD50-old!AD50)/old!AD50)</f>
        <v>5.6593184513702009E-2</v>
      </c>
      <c r="AE50" s="2">
        <f>IF(popproj!AE50-old!AE50=0,"",(popproj!AE50-old!AE50)/old!AE50)</f>
        <v>5.86783931546268E-2</v>
      </c>
      <c r="AF50" s="2">
        <f>IF(popproj!AF50-old!AF50=0,"",(popproj!AF50-old!AF50)/old!AF50)</f>
        <v>6.0697588182320399E-2</v>
      </c>
      <c r="AG50" s="2">
        <f>IF(popproj!AG50-old!AG50=0,"",(popproj!AG50-old!AG50)/old!AG50)</f>
        <v>-1</v>
      </c>
      <c r="AH50" s="2">
        <f>IF(popproj!AH50-old!AH50=0,"",(popproj!AH50-old!AH50)/old!AH50)</f>
        <v>-1</v>
      </c>
      <c r="AI50" s="2">
        <f>IF(popproj!AI50-old!AI50=0,"",(popproj!AI50-old!AI50)/old!AI50)</f>
        <v>-1</v>
      </c>
      <c r="AJ50" s="2">
        <f>IF(popproj!AJ50-old!AJ50=0,"",(popproj!AJ50-old!AJ50)/old!AJ50)</f>
        <v>-1</v>
      </c>
      <c r="AK50" s="2">
        <f>IF(popproj!AK50-old!AK50=0,"",(popproj!AK50-old!AK50)/old!AK50)</f>
        <v>-1</v>
      </c>
      <c r="AL50" s="2">
        <f>IF(popproj!AL50-old!AL50=0,"",(popproj!AL50-old!AL50)/old!AL50)</f>
        <v>-1</v>
      </c>
      <c r="AM50" s="2">
        <f>IF(popproj!AM50-old!AM50=0,"",(popproj!AM50-old!AM50)/old!AM50)</f>
        <v>-1</v>
      </c>
      <c r="AN50" s="2">
        <f>IF(popproj!AN50-old!AN50=0,"",(popproj!AN50-old!AN50)/old!AN50)</f>
        <v>-1</v>
      </c>
      <c r="AO50" s="2">
        <f>IF(popproj!AO50-old!AO50=0,"",(popproj!AO50-old!AO50)/old!AO50)</f>
        <v>-1</v>
      </c>
      <c r="AP50" s="2">
        <f>IF(popproj!AP50-old!AP50=0,"",(popproj!AP50-old!AP50)/old!AP50)</f>
        <v>-1</v>
      </c>
      <c r="AQ50" s="2">
        <f>IF(popproj!AQ50-old!AQ50=0,"",(popproj!AQ50-old!AQ50)/old!AQ50)</f>
        <v>-1</v>
      </c>
      <c r="AR50" s="2">
        <f>IF(popproj!AR50-old!AR50=0,"",(popproj!AR50-old!AR50)/old!AR50)</f>
        <v>-1</v>
      </c>
      <c r="AS50" s="2">
        <f>IF(popproj!AS50-old!AS50=0,"",(popproj!AS50-old!AS50)/old!AS50)</f>
        <v>-1</v>
      </c>
      <c r="AT50" s="2">
        <f>IF(popproj!AT50-old!AT50=0,"",(popproj!AT50-old!AT50)/old!AT50)</f>
        <v>-1</v>
      </c>
      <c r="AU50" s="2">
        <f>IF(popproj!AU50-old!AU50=0,"",(popproj!AU50-old!AU50)/old!AU50)</f>
        <v>-1</v>
      </c>
      <c r="AV50" s="2">
        <f>IF(popproj!AV50-old!AV50=0,"",(popproj!AV50-old!AV50)/old!AV50)</f>
        <v>-1</v>
      </c>
      <c r="AW50" s="2">
        <f>IF(popproj!AW50-old!AW50=0,"",(popproj!AW50-old!AW50)/old!AW50)</f>
        <v>-1</v>
      </c>
      <c r="AX50" s="2">
        <f>IF(popproj!AX50-old!AX50=0,"",(popproj!AX50-old!AX50)/old!AX50)</f>
        <v>-1</v>
      </c>
      <c r="AY50" s="2">
        <f>IF(popproj!AY50-old!AY50=0,"",(popproj!AY50-old!AY50)/old!AY50)</f>
        <v>-1</v>
      </c>
      <c r="AZ50" s="2">
        <f>IF(popproj!AZ50-old!AZ50=0,"",(popproj!AZ50-old!AZ50)/old!AZ50)</f>
        <v>-1</v>
      </c>
      <c r="BA50" s="2">
        <f>IF(popproj!BA50-old!BA50=0,"",(popproj!BA50-old!BA50)/old!BA50)</f>
        <v>-1</v>
      </c>
      <c r="BB50" s="2">
        <f>IF(popproj!BB50-old!BB50=0,"",(popproj!BB50-old!BB50)/old!BB50)</f>
        <v>-1</v>
      </c>
      <c r="BC50" s="2">
        <f>IF(popproj!BC50-old!BC50=0,"",(popproj!BC50-old!BC50)/old!BC50)</f>
        <v>-1</v>
      </c>
      <c r="BD50" s="2">
        <f>IF(popproj!BD50-old!BD50=0,"",(popproj!BD50-old!BD50)/old!BD50)</f>
        <v>-1</v>
      </c>
      <c r="BE50" s="2">
        <f>IF(popproj!BE50-old!BE50=0,"",(popproj!BE50-old!BE50)/old!BE50)</f>
        <v>-1</v>
      </c>
      <c r="BF50" s="2">
        <f>IF(popproj!BF50-old!BF50=0,"",(popproj!BF50-old!BF50)/old!BF50)</f>
        <v>-1</v>
      </c>
      <c r="BG50" s="2">
        <f>IF(popproj!BG50-old!BG50=0,"",(popproj!BG50-old!BG50)/old!BG50)</f>
        <v>-1</v>
      </c>
      <c r="BH50" s="2">
        <f>IF(popproj!BH50-old!BH50=0,"",(popproj!BH50-old!BH50)/old!BH50)</f>
        <v>-1</v>
      </c>
      <c r="BI50" s="2">
        <f>IF(popproj!BI50-old!BI50=0,"",(popproj!BI50-old!BI50)/old!BI50)</f>
        <v>-1</v>
      </c>
      <c r="BJ50" s="2">
        <f>IF(popproj!BJ50-old!BJ50=0,"",(popproj!BJ50-old!BJ50)/old!BJ50)</f>
        <v>-1</v>
      </c>
      <c r="BK50" s="2">
        <f>IF(popproj!BK50-old!BK50=0,"",(popproj!BK50-old!BK50)/old!BK50)</f>
        <v>-1</v>
      </c>
      <c r="BL50" s="2">
        <f>IF(popproj!BL50-old!BL50=0,"",(popproj!BL50-old!BL50)/old!BL50)</f>
        <v>-1</v>
      </c>
      <c r="BM50" s="2">
        <f>IF(popproj!BM50-old!BM50=0,"",(popproj!BM50-old!BM50)/old!BM50)</f>
        <v>-1</v>
      </c>
      <c r="BN50" s="2">
        <f>IF(popproj!BN50-old!BN50=0,"",(popproj!BN50-old!BN50)/old!BN50)</f>
        <v>-1</v>
      </c>
      <c r="BO50" s="2">
        <f>IF(popproj!BO50-old!BO50=0,"",(popproj!BO50-old!BO50)/old!BO50)</f>
        <v>-1</v>
      </c>
    </row>
    <row r="51" spans="1:67" x14ac:dyDescent="0.2">
      <c r="A51" t="str">
        <f>popproj!A51</f>
        <v>PL_POPAF</v>
      </c>
      <c r="B51" s="2"/>
      <c r="C51" s="2"/>
      <c r="D51" s="2">
        <f>IF(popproj!D51-old!D51=0,"",(popproj!D51-old!D51)/old!D51)</f>
        <v>-1</v>
      </c>
      <c r="E51" s="2">
        <f>IF(popproj!E51-old!E51=0,"",(popproj!E51-old!E51)/old!E51)</f>
        <v>-2.6736916593771542E-2</v>
      </c>
      <c r="F51" s="2">
        <f>IF(popproj!F51-old!F51=0,"",(popproj!F51-old!F51)/old!F51)</f>
        <v>-2.4677724454082554E-2</v>
      </c>
      <c r="G51" s="2">
        <f>IF(popproj!G51-old!G51=0,"",(popproj!G51-old!G51)/old!G51)</f>
        <v>-2.1261454693762082E-2</v>
      </c>
      <c r="H51" s="2">
        <f>IF(popproj!H51-old!H51=0,"",(popproj!H51-old!H51)/old!H51)</f>
        <v>-2.0250630201255265E-2</v>
      </c>
      <c r="I51" s="2">
        <f>IF(popproj!I51-old!I51=0,"",(popproj!I51-old!I51)/old!I51)</f>
        <v>-1.9311283378432645E-2</v>
      </c>
      <c r="J51" s="2">
        <f>IF(popproj!J51-old!J51=0,"",(popproj!J51-old!J51)/old!J51)</f>
        <v>-1.8270852309734954E-2</v>
      </c>
      <c r="K51" s="2">
        <f>IF(popproj!K51-old!K51=0,"",(popproj!K51-old!K51)/old!K51)</f>
        <v>-1.7071389735132853E-2</v>
      </c>
      <c r="L51" s="2">
        <f>IF(popproj!L51-old!L51=0,"",(popproj!L51-old!L51)/old!L51)</f>
        <v>-1.5827904008023138E-2</v>
      </c>
      <c r="M51" s="2">
        <f>IF(popproj!M51-old!M51=0,"",(popproj!M51-old!M51)/old!M51)</f>
        <v>-1.4469254441292977E-2</v>
      </c>
      <c r="N51" s="2">
        <f>IF(popproj!N51-old!N51=0,"",(popproj!N51-old!N51)/old!N51)</f>
        <v>-1.3161475170502639E-2</v>
      </c>
      <c r="O51" s="2">
        <f>IF(popproj!O51-old!O51=0,"",(popproj!O51-old!O51)/old!O51)</f>
        <v>-1.1760760940099113E-2</v>
      </c>
      <c r="P51" s="2">
        <f>IF(popproj!P51-old!P51=0,"",(popproj!P51-old!P51)/old!P51)</f>
        <v>-1.0289176516060896E-2</v>
      </c>
      <c r="Q51" s="2">
        <f>IF(popproj!Q51-old!Q51=0,"",(popproj!Q51-old!Q51)/old!Q51)</f>
        <v>-1.0108272632565229E-2</v>
      </c>
      <c r="R51" s="2">
        <f>IF(popproj!R51-old!R51=0,"",(popproj!R51-old!R51)/old!R51)</f>
        <v>-9.0211341624661396E-3</v>
      </c>
      <c r="S51" s="2">
        <f>IF(popproj!S51-old!S51=0,"",(popproj!S51-old!S51)/old!S51)</f>
        <v>-7.5649666852815513E-3</v>
      </c>
      <c r="T51" s="2">
        <f>IF(popproj!T51-old!T51=0,"",(popproj!T51-old!T51)/old!T51)</f>
        <v>-6.4581505962362272E-3</v>
      </c>
      <c r="U51" s="2">
        <f>IF(popproj!U51-old!U51=0,"",(popproj!U51-old!U51)/old!U51)</f>
        <v>-7.0521056742323144E-3</v>
      </c>
      <c r="V51" s="2">
        <f>IF(popproj!V51-old!V51=0,"",(popproj!V51-old!V51)/old!V51)</f>
        <v>-7.2368804888620969E-3</v>
      </c>
      <c r="W51" s="2">
        <f>IF(popproj!W51-old!W51=0,"",(popproj!W51-old!W51)/old!W51)</f>
        <v>-7.4930842338722693E-3</v>
      </c>
      <c r="X51" s="2">
        <f>IF(popproj!X51-old!X51=0,"",(popproj!X51-old!X51)/old!X51)</f>
        <v>-7.7393346631368454E-3</v>
      </c>
      <c r="Y51" s="2">
        <f>IF(popproj!Y51-old!Y51=0,"",(popproj!Y51-old!Y51)/old!Y51)</f>
        <v>-7.9527067146290768E-3</v>
      </c>
      <c r="Z51" s="2">
        <f>IF(popproj!Z51-old!Z51=0,"",(popproj!Z51-old!Z51)/old!Z51)</f>
        <v>-8.1178696923943604E-3</v>
      </c>
      <c r="AA51" s="2">
        <f>IF(popproj!AA51-old!AA51=0,"",(popproj!AA51-old!AA51)/old!AA51)</f>
        <v>-8.2886938556025209E-3</v>
      </c>
      <c r="AB51" s="2">
        <f>IF(popproj!AB51-old!AB51=0,"",(popproj!AB51-old!AB51)/old!AB51)</f>
        <v>-8.4242619084436438E-3</v>
      </c>
      <c r="AC51" s="2">
        <f>IF(popproj!AC51-old!AC51=0,"",(popproj!AC51-old!AC51)/old!AC51)</f>
        <v>-8.5245501242040313E-3</v>
      </c>
      <c r="AD51" s="2">
        <f>IF(popproj!AD51-old!AD51=0,"",(popproj!AD51-old!AD51)/old!AD51)</f>
        <v>-8.5568061161985752E-3</v>
      </c>
      <c r="AE51" s="2">
        <f>IF(popproj!AE51-old!AE51=0,"",(popproj!AE51-old!AE51)/old!AE51)</f>
        <v>-8.5509627992918138E-3</v>
      </c>
      <c r="AF51" s="2">
        <f>IF(popproj!AF51-old!AF51=0,"",(popproj!AF51-old!AF51)/old!AF51)</f>
        <v>-8.4990392843125959E-3</v>
      </c>
      <c r="AG51" s="2">
        <f>IF(popproj!AG51-old!AG51=0,"",(popproj!AG51-old!AG51)/old!AG51)</f>
        <v>-1</v>
      </c>
      <c r="AH51" s="2">
        <f>IF(popproj!AH51-old!AH51=0,"",(popproj!AH51-old!AH51)/old!AH51)</f>
        <v>-1</v>
      </c>
      <c r="AI51" s="2">
        <f>IF(popproj!AI51-old!AI51=0,"",(popproj!AI51-old!AI51)/old!AI51)</f>
        <v>-1</v>
      </c>
      <c r="AJ51" s="2">
        <f>IF(popproj!AJ51-old!AJ51=0,"",(popproj!AJ51-old!AJ51)/old!AJ51)</f>
        <v>-1</v>
      </c>
      <c r="AK51" s="2">
        <f>IF(popproj!AK51-old!AK51=0,"",(popproj!AK51-old!AK51)/old!AK51)</f>
        <v>-1</v>
      </c>
      <c r="AL51" s="2">
        <f>IF(popproj!AL51-old!AL51=0,"",(popproj!AL51-old!AL51)/old!AL51)</f>
        <v>-1</v>
      </c>
      <c r="AM51" s="2">
        <f>IF(popproj!AM51-old!AM51=0,"",(popproj!AM51-old!AM51)/old!AM51)</f>
        <v>-1</v>
      </c>
      <c r="AN51" s="2">
        <f>IF(popproj!AN51-old!AN51=0,"",(popproj!AN51-old!AN51)/old!AN51)</f>
        <v>-1</v>
      </c>
      <c r="AO51" s="2">
        <f>IF(popproj!AO51-old!AO51=0,"",(popproj!AO51-old!AO51)/old!AO51)</f>
        <v>-1</v>
      </c>
      <c r="AP51" s="2">
        <f>IF(popproj!AP51-old!AP51=0,"",(popproj!AP51-old!AP51)/old!AP51)</f>
        <v>-1</v>
      </c>
      <c r="AQ51" s="2">
        <f>IF(popproj!AQ51-old!AQ51=0,"",(popproj!AQ51-old!AQ51)/old!AQ51)</f>
        <v>-1</v>
      </c>
      <c r="AR51" s="2">
        <f>IF(popproj!AR51-old!AR51=0,"",(popproj!AR51-old!AR51)/old!AR51)</f>
        <v>-1</v>
      </c>
      <c r="AS51" s="2">
        <f>IF(popproj!AS51-old!AS51=0,"",(popproj!AS51-old!AS51)/old!AS51)</f>
        <v>-1</v>
      </c>
      <c r="AT51" s="2">
        <f>IF(popproj!AT51-old!AT51=0,"",(popproj!AT51-old!AT51)/old!AT51)</f>
        <v>-1</v>
      </c>
      <c r="AU51" s="2">
        <f>IF(popproj!AU51-old!AU51=0,"",(popproj!AU51-old!AU51)/old!AU51)</f>
        <v>-1</v>
      </c>
      <c r="AV51" s="2">
        <f>IF(popproj!AV51-old!AV51=0,"",(popproj!AV51-old!AV51)/old!AV51)</f>
        <v>-1</v>
      </c>
      <c r="AW51" s="2">
        <f>IF(popproj!AW51-old!AW51=0,"",(popproj!AW51-old!AW51)/old!AW51)</f>
        <v>-1</v>
      </c>
      <c r="AX51" s="2">
        <f>IF(popproj!AX51-old!AX51=0,"",(popproj!AX51-old!AX51)/old!AX51)</f>
        <v>-1</v>
      </c>
      <c r="AY51" s="2">
        <f>IF(popproj!AY51-old!AY51=0,"",(popproj!AY51-old!AY51)/old!AY51)</f>
        <v>-1</v>
      </c>
      <c r="AZ51" s="2">
        <f>IF(popproj!AZ51-old!AZ51=0,"",(popproj!AZ51-old!AZ51)/old!AZ51)</f>
        <v>-1</v>
      </c>
      <c r="BA51" s="2">
        <f>IF(popproj!BA51-old!BA51=0,"",(popproj!BA51-old!BA51)/old!BA51)</f>
        <v>-1</v>
      </c>
      <c r="BB51" s="2">
        <f>IF(popproj!BB51-old!BB51=0,"",(popproj!BB51-old!BB51)/old!BB51)</f>
        <v>-1</v>
      </c>
      <c r="BC51" s="2">
        <f>IF(popproj!BC51-old!BC51=0,"",(popproj!BC51-old!BC51)/old!BC51)</f>
        <v>-1</v>
      </c>
      <c r="BD51" s="2">
        <f>IF(popproj!BD51-old!BD51=0,"",(popproj!BD51-old!BD51)/old!BD51)</f>
        <v>-1</v>
      </c>
      <c r="BE51" s="2">
        <f>IF(popproj!BE51-old!BE51=0,"",(popproj!BE51-old!BE51)/old!BE51)</f>
        <v>-1</v>
      </c>
      <c r="BF51" s="2">
        <f>IF(popproj!BF51-old!BF51=0,"",(popproj!BF51-old!BF51)/old!BF51)</f>
        <v>-1</v>
      </c>
      <c r="BG51" s="2">
        <f>IF(popproj!BG51-old!BG51=0,"",(popproj!BG51-old!BG51)/old!BG51)</f>
        <v>-1</v>
      </c>
      <c r="BH51" s="2">
        <f>IF(popproj!BH51-old!BH51=0,"",(popproj!BH51-old!BH51)/old!BH51)</f>
        <v>-1</v>
      </c>
      <c r="BI51" s="2">
        <f>IF(popproj!BI51-old!BI51=0,"",(popproj!BI51-old!BI51)/old!BI51)</f>
        <v>-1</v>
      </c>
      <c r="BJ51" s="2">
        <f>IF(popproj!BJ51-old!BJ51=0,"",(popproj!BJ51-old!BJ51)/old!BJ51)</f>
        <v>-1</v>
      </c>
      <c r="BK51" s="2">
        <f>IF(popproj!BK51-old!BK51=0,"",(popproj!BK51-old!BK51)/old!BK51)</f>
        <v>-1</v>
      </c>
      <c r="BL51" s="2">
        <f>IF(popproj!BL51-old!BL51=0,"",(popproj!BL51-old!BL51)/old!BL51)</f>
        <v>-1</v>
      </c>
      <c r="BM51" s="2">
        <f>IF(popproj!BM51-old!BM51=0,"",(popproj!BM51-old!BM51)/old!BM51)</f>
        <v>-1</v>
      </c>
      <c r="BN51" s="2">
        <f>IF(popproj!BN51-old!BN51=0,"",(popproj!BN51-old!BN51)/old!BN51)</f>
        <v>-1</v>
      </c>
      <c r="BO51" s="2">
        <f>IF(popproj!BO51-old!BO51=0,"",(popproj!BO51-old!BO51)/old!BO51)</f>
        <v>-1</v>
      </c>
    </row>
    <row r="52" spans="1:67" x14ac:dyDescent="0.2">
      <c r="A52" t="str">
        <f>popproj!A52</f>
        <v>PT_POPAF</v>
      </c>
      <c r="B52" s="2"/>
      <c r="C52" s="2"/>
      <c r="D52" s="2">
        <f>IF(popproj!D52-old!D52=0,"",(popproj!D52-old!D52)/old!D52)</f>
        <v>-1</v>
      </c>
      <c r="E52" s="2">
        <f>IF(popproj!E52-old!E52=0,"",(popproj!E52-old!E52)/old!E52)</f>
        <v>1.0302789634142459E-2</v>
      </c>
      <c r="F52" s="2">
        <f>IF(popproj!F52-old!F52=0,"",(popproj!F52-old!F52)/old!F52)</f>
        <v>2.2759990775565054E-2</v>
      </c>
      <c r="G52" s="2">
        <f>IF(popproj!G52-old!G52=0,"",(popproj!G52-old!G52)/old!G52)</f>
        <v>2.8680450989941954E-2</v>
      </c>
      <c r="H52" s="2">
        <f>IF(popproj!H52-old!H52=0,"",(popproj!H52-old!H52)/old!H52)</f>
        <v>3.2482827159574977E-2</v>
      </c>
      <c r="I52" s="2">
        <f>IF(popproj!I52-old!I52=0,"",(popproj!I52-old!I52)/old!I52)</f>
        <v>3.5690380965889383E-2</v>
      </c>
      <c r="J52" s="2">
        <f>IF(popproj!J52-old!J52=0,"",(popproj!J52-old!J52)/old!J52)</f>
        <v>3.8322844340005872E-2</v>
      </c>
      <c r="K52" s="2">
        <f>IF(popproj!K52-old!K52=0,"",(popproj!K52-old!K52)/old!K52)</f>
        <v>4.0652712584968283E-2</v>
      </c>
      <c r="L52" s="2">
        <f>IF(popproj!L52-old!L52=0,"",(popproj!L52-old!L52)/old!L52)</f>
        <v>4.2586394169852777E-2</v>
      </c>
      <c r="M52" s="2">
        <f>IF(popproj!M52-old!M52=0,"",(popproj!M52-old!M52)/old!M52)</f>
        <v>4.4454164681602314E-2</v>
      </c>
      <c r="N52" s="2">
        <f>IF(popproj!N52-old!N52=0,"",(popproj!N52-old!N52)/old!N52)</f>
        <v>4.6265580323682089E-2</v>
      </c>
      <c r="O52" s="2">
        <f>IF(popproj!O52-old!O52=0,"",(popproj!O52-old!O52)/old!O52)</f>
        <v>4.819573836073248E-2</v>
      </c>
      <c r="P52" s="2">
        <f>IF(popproj!P52-old!P52=0,"",(popproj!P52-old!P52)/old!P52)</f>
        <v>5.0366794611929964E-2</v>
      </c>
      <c r="Q52" s="2">
        <f>IF(popproj!Q52-old!Q52=0,"",(popproj!Q52-old!Q52)/old!Q52)</f>
        <v>5.2545898710644016E-2</v>
      </c>
      <c r="R52" s="2">
        <f>IF(popproj!R52-old!R52=0,"",(popproj!R52-old!R52)/old!R52)</f>
        <v>5.4423841372264518E-2</v>
      </c>
      <c r="S52" s="2">
        <f>IF(popproj!S52-old!S52=0,"",(popproj!S52-old!S52)/old!S52)</f>
        <v>5.5284641384650661E-2</v>
      </c>
      <c r="T52" s="2">
        <f>IF(popproj!T52-old!T52=0,"",(popproj!T52-old!T52)/old!T52)</f>
        <v>5.651613933817401E-2</v>
      </c>
      <c r="U52" s="2">
        <f>IF(popproj!U52-old!U52=0,"",(popproj!U52-old!U52)/old!U52)</f>
        <v>5.8035991990571606E-2</v>
      </c>
      <c r="V52" s="2">
        <f>IF(popproj!V52-old!V52=0,"",(popproj!V52-old!V52)/old!V52)</f>
        <v>5.9524839415084928E-2</v>
      </c>
      <c r="W52" s="2">
        <f>IF(popproj!W52-old!W52=0,"",(popproj!W52-old!W52)/old!W52)</f>
        <v>6.0854538518956044E-2</v>
      </c>
      <c r="X52" s="2">
        <f>IF(popproj!X52-old!X52=0,"",(popproj!X52-old!X52)/old!X52)</f>
        <v>6.2209307817349492E-2</v>
      </c>
      <c r="Y52" s="2">
        <f>IF(popproj!Y52-old!Y52=0,"",(popproj!Y52-old!Y52)/old!Y52)</f>
        <v>6.3586280577033458E-2</v>
      </c>
      <c r="Z52" s="2">
        <f>IF(popproj!Z52-old!Z52=0,"",(popproj!Z52-old!Z52)/old!Z52)</f>
        <v>6.4836376562420653E-2</v>
      </c>
      <c r="AA52" s="2">
        <f>IF(popproj!AA52-old!AA52=0,"",(popproj!AA52-old!AA52)/old!AA52)</f>
        <v>6.5953350820737361E-2</v>
      </c>
      <c r="AB52" s="2">
        <f>IF(popproj!AB52-old!AB52=0,"",(popproj!AB52-old!AB52)/old!AB52)</f>
        <v>6.6891563854421979E-2</v>
      </c>
      <c r="AC52" s="2">
        <f>IF(popproj!AC52-old!AC52=0,"",(popproj!AC52-old!AC52)/old!AC52)</f>
        <v>6.7913966914138008E-2</v>
      </c>
      <c r="AD52" s="2">
        <f>IF(popproj!AD52-old!AD52=0,"",(popproj!AD52-old!AD52)/old!AD52)</f>
        <v>6.8849686932765969E-2</v>
      </c>
      <c r="AE52" s="2">
        <f>IF(popproj!AE52-old!AE52=0,"",(popproj!AE52-old!AE52)/old!AE52)</f>
        <v>6.9820682463053049E-2</v>
      </c>
      <c r="AF52" s="2">
        <f>IF(popproj!AF52-old!AF52=0,"",(popproj!AF52-old!AF52)/old!AF52)</f>
        <v>7.0811434022566663E-2</v>
      </c>
      <c r="AG52" s="2">
        <f>IF(popproj!AG52-old!AG52=0,"",(popproj!AG52-old!AG52)/old!AG52)</f>
        <v>-1</v>
      </c>
      <c r="AH52" s="2">
        <f>IF(popproj!AH52-old!AH52=0,"",(popproj!AH52-old!AH52)/old!AH52)</f>
        <v>-1</v>
      </c>
      <c r="AI52" s="2">
        <f>IF(popproj!AI52-old!AI52=0,"",(popproj!AI52-old!AI52)/old!AI52)</f>
        <v>-1</v>
      </c>
      <c r="AJ52" s="2">
        <f>IF(popproj!AJ52-old!AJ52=0,"",(popproj!AJ52-old!AJ52)/old!AJ52)</f>
        <v>-1</v>
      </c>
      <c r="AK52" s="2">
        <f>IF(popproj!AK52-old!AK52=0,"",(popproj!AK52-old!AK52)/old!AK52)</f>
        <v>-1</v>
      </c>
      <c r="AL52" s="2">
        <f>IF(popproj!AL52-old!AL52=0,"",(popproj!AL52-old!AL52)/old!AL52)</f>
        <v>-1</v>
      </c>
      <c r="AM52" s="2">
        <f>IF(popproj!AM52-old!AM52=0,"",(popproj!AM52-old!AM52)/old!AM52)</f>
        <v>-1</v>
      </c>
      <c r="AN52" s="2">
        <f>IF(popproj!AN52-old!AN52=0,"",(popproj!AN52-old!AN52)/old!AN52)</f>
        <v>-1</v>
      </c>
      <c r="AO52" s="2">
        <f>IF(popproj!AO52-old!AO52=0,"",(popproj!AO52-old!AO52)/old!AO52)</f>
        <v>-1</v>
      </c>
      <c r="AP52" s="2">
        <f>IF(popproj!AP52-old!AP52=0,"",(popproj!AP52-old!AP52)/old!AP52)</f>
        <v>-1</v>
      </c>
      <c r="AQ52" s="2">
        <f>IF(popproj!AQ52-old!AQ52=0,"",(popproj!AQ52-old!AQ52)/old!AQ52)</f>
        <v>-1</v>
      </c>
      <c r="AR52" s="2">
        <f>IF(popproj!AR52-old!AR52=0,"",(popproj!AR52-old!AR52)/old!AR52)</f>
        <v>-1</v>
      </c>
      <c r="AS52" s="2">
        <f>IF(popproj!AS52-old!AS52=0,"",(popproj!AS52-old!AS52)/old!AS52)</f>
        <v>-1</v>
      </c>
      <c r="AT52" s="2">
        <f>IF(popproj!AT52-old!AT52=0,"",(popproj!AT52-old!AT52)/old!AT52)</f>
        <v>-1</v>
      </c>
      <c r="AU52" s="2">
        <f>IF(popproj!AU52-old!AU52=0,"",(popproj!AU52-old!AU52)/old!AU52)</f>
        <v>-1</v>
      </c>
      <c r="AV52" s="2">
        <f>IF(popproj!AV52-old!AV52=0,"",(popproj!AV52-old!AV52)/old!AV52)</f>
        <v>-1</v>
      </c>
      <c r="AW52" s="2">
        <f>IF(popproj!AW52-old!AW52=0,"",(popproj!AW52-old!AW52)/old!AW52)</f>
        <v>-1</v>
      </c>
      <c r="AX52" s="2">
        <f>IF(popproj!AX52-old!AX52=0,"",(popproj!AX52-old!AX52)/old!AX52)</f>
        <v>-1</v>
      </c>
      <c r="AY52" s="2">
        <f>IF(popproj!AY52-old!AY52=0,"",(popproj!AY52-old!AY52)/old!AY52)</f>
        <v>-1</v>
      </c>
      <c r="AZ52" s="2">
        <f>IF(popproj!AZ52-old!AZ52=0,"",(popproj!AZ52-old!AZ52)/old!AZ52)</f>
        <v>-1</v>
      </c>
      <c r="BA52" s="2">
        <f>IF(popproj!BA52-old!BA52=0,"",(popproj!BA52-old!BA52)/old!BA52)</f>
        <v>-1</v>
      </c>
      <c r="BB52" s="2">
        <f>IF(popproj!BB52-old!BB52=0,"",(popproj!BB52-old!BB52)/old!BB52)</f>
        <v>-1</v>
      </c>
      <c r="BC52" s="2">
        <f>IF(popproj!BC52-old!BC52=0,"",(popproj!BC52-old!BC52)/old!BC52)</f>
        <v>-1</v>
      </c>
      <c r="BD52" s="2">
        <f>IF(popproj!BD52-old!BD52=0,"",(popproj!BD52-old!BD52)/old!BD52)</f>
        <v>-1</v>
      </c>
      <c r="BE52" s="2">
        <f>IF(popproj!BE52-old!BE52=0,"",(popproj!BE52-old!BE52)/old!BE52)</f>
        <v>-1</v>
      </c>
      <c r="BF52" s="2">
        <f>IF(popproj!BF52-old!BF52=0,"",(popproj!BF52-old!BF52)/old!BF52)</f>
        <v>-1</v>
      </c>
      <c r="BG52" s="2">
        <f>IF(popproj!BG52-old!BG52=0,"",(popproj!BG52-old!BG52)/old!BG52)</f>
        <v>-1</v>
      </c>
      <c r="BH52" s="2">
        <f>IF(popproj!BH52-old!BH52=0,"",(popproj!BH52-old!BH52)/old!BH52)</f>
        <v>-1</v>
      </c>
      <c r="BI52" s="2">
        <f>IF(popproj!BI52-old!BI52=0,"",(popproj!BI52-old!BI52)/old!BI52)</f>
        <v>-1</v>
      </c>
      <c r="BJ52" s="2">
        <f>IF(popproj!BJ52-old!BJ52=0,"",(popproj!BJ52-old!BJ52)/old!BJ52)</f>
        <v>-1</v>
      </c>
      <c r="BK52" s="2">
        <f>IF(popproj!BK52-old!BK52=0,"",(popproj!BK52-old!BK52)/old!BK52)</f>
        <v>-1</v>
      </c>
      <c r="BL52" s="2">
        <f>IF(popproj!BL52-old!BL52=0,"",(popproj!BL52-old!BL52)/old!BL52)</f>
        <v>-1</v>
      </c>
      <c r="BM52" s="2">
        <f>IF(popproj!BM52-old!BM52=0,"",(popproj!BM52-old!BM52)/old!BM52)</f>
        <v>-1</v>
      </c>
      <c r="BN52" s="2">
        <f>IF(popproj!BN52-old!BN52=0,"",(popproj!BN52-old!BN52)/old!BN52)</f>
        <v>-1</v>
      </c>
      <c r="BO52" s="2">
        <f>IF(popproj!BO52-old!BO52=0,"",(popproj!BO52-old!BO52)/old!BO52)</f>
        <v>-1</v>
      </c>
    </row>
    <row r="53" spans="1:67" x14ac:dyDescent="0.2">
      <c r="A53" t="str">
        <f>popproj!A53</f>
        <v>RO_POPAF</v>
      </c>
      <c r="B53" s="2"/>
      <c r="C53" s="2"/>
      <c r="D53" s="2">
        <f>IF(popproj!D53-old!D53=0,"",(popproj!D53-old!D53)/old!D53)</f>
        <v>-1</v>
      </c>
      <c r="E53" s="2">
        <f>IF(popproj!E53-old!E53=0,"",(popproj!E53-old!E53)/old!E53)</f>
        <v>2.6577293083916865E-3</v>
      </c>
      <c r="F53" s="2">
        <f>IF(popproj!F53-old!F53=0,"",(popproj!F53-old!F53)/old!F53)</f>
        <v>9.7142466274958358E-3</v>
      </c>
      <c r="G53" s="2">
        <f>IF(popproj!G53-old!G53=0,"",(popproj!G53-old!G53)/old!G53)</f>
        <v>1.5617353883623036E-2</v>
      </c>
      <c r="H53" s="2">
        <f>IF(popproj!H53-old!H53=0,"",(popproj!H53-old!H53)/old!H53)</f>
        <v>1.8371313734848529E-2</v>
      </c>
      <c r="I53" s="2">
        <f>IF(popproj!I53-old!I53=0,"",(popproj!I53-old!I53)/old!I53)</f>
        <v>2.0701738602114474E-2</v>
      </c>
      <c r="J53" s="2">
        <f>IF(popproj!J53-old!J53=0,"",(popproj!J53-old!J53)/old!J53)</f>
        <v>2.2563300192746574E-2</v>
      </c>
      <c r="K53" s="2">
        <f>IF(popproj!K53-old!K53=0,"",(popproj!K53-old!K53)/old!K53)</f>
        <v>2.437491169890544E-2</v>
      </c>
      <c r="L53" s="2">
        <f>IF(popproj!L53-old!L53=0,"",(popproj!L53-old!L53)/old!L53)</f>
        <v>2.6119963851767035E-2</v>
      </c>
      <c r="M53" s="2">
        <f>IF(popproj!M53-old!M53=0,"",(popproj!M53-old!M53)/old!M53)</f>
        <v>2.7876910251633448E-2</v>
      </c>
      <c r="N53" s="2">
        <f>IF(popproj!N53-old!N53=0,"",(popproj!N53-old!N53)/old!N53)</f>
        <v>2.9627135020032416E-2</v>
      </c>
      <c r="O53" s="2">
        <f>IF(popproj!O53-old!O53=0,"",(popproj!O53-old!O53)/old!O53)</f>
        <v>3.1396251998153726E-2</v>
      </c>
      <c r="P53" s="2">
        <f>IF(popproj!P53-old!P53=0,"",(popproj!P53-old!P53)/old!P53)</f>
        <v>3.3117681910366341E-2</v>
      </c>
      <c r="Q53" s="2">
        <f>IF(popproj!Q53-old!Q53=0,"",(popproj!Q53-old!Q53)/old!Q53)</f>
        <v>3.4528661824241247E-2</v>
      </c>
      <c r="R53" s="2">
        <f>IF(popproj!R53-old!R53=0,"",(popproj!R53-old!R53)/old!R53)</f>
        <v>3.6399038113668236E-2</v>
      </c>
      <c r="S53" s="2">
        <f>IF(popproj!S53-old!S53=0,"",(popproj!S53-old!S53)/old!S53)</f>
        <v>3.8559711629850578E-2</v>
      </c>
      <c r="T53" s="2">
        <f>IF(popproj!T53-old!T53=0,"",(popproj!T53-old!T53)/old!T53)</f>
        <v>3.9975751112712669E-2</v>
      </c>
      <c r="U53" s="2">
        <f>IF(popproj!U53-old!U53=0,"",(popproj!U53-old!U53)/old!U53)</f>
        <v>3.9425658233069129E-2</v>
      </c>
      <c r="V53" s="2">
        <f>IF(popproj!V53-old!V53=0,"",(popproj!V53-old!V53)/old!V53)</f>
        <v>4.0242019286968987E-2</v>
      </c>
      <c r="W53" s="2">
        <f>IF(popproj!W53-old!W53=0,"",(popproj!W53-old!W53)/old!W53)</f>
        <v>4.1164479175013084E-2</v>
      </c>
      <c r="X53" s="2">
        <f>IF(popproj!X53-old!X53=0,"",(popproj!X53-old!X53)/old!X53)</f>
        <v>4.1995389436745842E-2</v>
      </c>
      <c r="Y53" s="2">
        <f>IF(popproj!Y53-old!Y53=0,"",(popproj!Y53-old!Y53)/old!Y53)</f>
        <v>4.2845130720105325E-2</v>
      </c>
      <c r="Z53" s="2">
        <f>IF(popproj!Z53-old!Z53=0,"",(popproj!Z53-old!Z53)/old!Z53)</f>
        <v>4.3785805148189763E-2</v>
      </c>
      <c r="AA53" s="2">
        <f>IF(popproj!AA53-old!AA53=0,"",(popproj!AA53-old!AA53)/old!AA53)</f>
        <v>4.5125186667675218E-2</v>
      </c>
      <c r="AB53" s="2">
        <f>IF(popproj!AB53-old!AB53=0,"",(popproj!AB53-old!AB53)/old!AB53)</f>
        <v>4.6587632105022272E-2</v>
      </c>
      <c r="AC53" s="2">
        <f>IF(popproj!AC53-old!AC53=0,"",(popproj!AC53-old!AC53)/old!AC53)</f>
        <v>4.7965952312928314E-2</v>
      </c>
      <c r="AD53" s="2">
        <f>IF(popproj!AD53-old!AD53=0,"",(popproj!AD53-old!AD53)/old!AD53)</f>
        <v>4.9285185102436742E-2</v>
      </c>
      <c r="AE53" s="2">
        <f>IF(popproj!AE53-old!AE53=0,"",(popproj!AE53-old!AE53)/old!AE53)</f>
        <v>5.0489162772495953E-2</v>
      </c>
      <c r="AF53" s="2">
        <f>IF(popproj!AF53-old!AF53=0,"",(popproj!AF53-old!AF53)/old!AF53)</f>
        <v>5.1636040606194679E-2</v>
      </c>
      <c r="AG53" s="2">
        <f>IF(popproj!AG53-old!AG53=0,"",(popproj!AG53-old!AG53)/old!AG53)</f>
        <v>-1</v>
      </c>
      <c r="AH53" s="2">
        <f>IF(popproj!AH53-old!AH53=0,"",(popproj!AH53-old!AH53)/old!AH53)</f>
        <v>-1</v>
      </c>
      <c r="AI53" s="2">
        <f>IF(popproj!AI53-old!AI53=0,"",(popproj!AI53-old!AI53)/old!AI53)</f>
        <v>-1</v>
      </c>
      <c r="AJ53" s="2">
        <f>IF(popproj!AJ53-old!AJ53=0,"",(popproj!AJ53-old!AJ53)/old!AJ53)</f>
        <v>-1</v>
      </c>
      <c r="AK53" s="2">
        <f>IF(popproj!AK53-old!AK53=0,"",(popproj!AK53-old!AK53)/old!AK53)</f>
        <v>-1</v>
      </c>
      <c r="AL53" s="2">
        <f>IF(popproj!AL53-old!AL53=0,"",(popproj!AL53-old!AL53)/old!AL53)</f>
        <v>-1</v>
      </c>
      <c r="AM53" s="2">
        <f>IF(popproj!AM53-old!AM53=0,"",(popproj!AM53-old!AM53)/old!AM53)</f>
        <v>-1</v>
      </c>
      <c r="AN53" s="2">
        <f>IF(popproj!AN53-old!AN53=0,"",(popproj!AN53-old!AN53)/old!AN53)</f>
        <v>-1</v>
      </c>
      <c r="AO53" s="2">
        <f>IF(popproj!AO53-old!AO53=0,"",(popproj!AO53-old!AO53)/old!AO53)</f>
        <v>-1</v>
      </c>
      <c r="AP53" s="2">
        <f>IF(popproj!AP53-old!AP53=0,"",(popproj!AP53-old!AP53)/old!AP53)</f>
        <v>-1</v>
      </c>
      <c r="AQ53" s="2">
        <f>IF(popproj!AQ53-old!AQ53=0,"",(popproj!AQ53-old!AQ53)/old!AQ53)</f>
        <v>-1</v>
      </c>
      <c r="AR53" s="2">
        <f>IF(popproj!AR53-old!AR53=0,"",(popproj!AR53-old!AR53)/old!AR53)</f>
        <v>-1</v>
      </c>
      <c r="AS53" s="2">
        <f>IF(popproj!AS53-old!AS53=0,"",(popproj!AS53-old!AS53)/old!AS53)</f>
        <v>-1</v>
      </c>
      <c r="AT53" s="2">
        <f>IF(popproj!AT53-old!AT53=0,"",(popproj!AT53-old!AT53)/old!AT53)</f>
        <v>-1</v>
      </c>
      <c r="AU53" s="2">
        <f>IF(popproj!AU53-old!AU53=0,"",(popproj!AU53-old!AU53)/old!AU53)</f>
        <v>-1</v>
      </c>
      <c r="AV53" s="2">
        <f>IF(popproj!AV53-old!AV53=0,"",(popproj!AV53-old!AV53)/old!AV53)</f>
        <v>-1</v>
      </c>
      <c r="AW53" s="2">
        <f>IF(popproj!AW53-old!AW53=0,"",(popproj!AW53-old!AW53)/old!AW53)</f>
        <v>-1</v>
      </c>
      <c r="AX53" s="2">
        <f>IF(popproj!AX53-old!AX53=0,"",(popproj!AX53-old!AX53)/old!AX53)</f>
        <v>-1</v>
      </c>
      <c r="AY53" s="2">
        <f>IF(popproj!AY53-old!AY53=0,"",(popproj!AY53-old!AY53)/old!AY53)</f>
        <v>-1</v>
      </c>
      <c r="AZ53" s="2">
        <f>IF(popproj!AZ53-old!AZ53=0,"",(popproj!AZ53-old!AZ53)/old!AZ53)</f>
        <v>-1</v>
      </c>
      <c r="BA53" s="2">
        <f>IF(popproj!BA53-old!BA53=0,"",(popproj!BA53-old!BA53)/old!BA53)</f>
        <v>-1</v>
      </c>
      <c r="BB53" s="2">
        <f>IF(popproj!BB53-old!BB53=0,"",(popproj!BB53-old!BB53)/old!BB53)</f>
        <v>-1</v>
      </c>
      <c r="BC53" s="2">
        <f>IF(popproj!BC53-old!BC53=0,"",(popproj!BC53-old!BC53)/old!BC53)</f>
        <v>-1</v>
      </c>
      <c r="BD53" s="2">
        <f>IF(popproj!BD53-old!BD53=0,"",(popproj!BD53-old!BD53)/old!BD53)</f>
        <v>-1</v>
      </c>
      <c r="BE53" s="2">
        <f>IF(popproj!BE53-old!BE53=0,"",(popproj!BE53-old!BE53)/old!BE53)</f>
        <v>-1</v>
      </c>
      <c r="BF53" s="2">
        <f>IF(popproj!BF53-old!BF53=0,"",(popproj!BF53-old!BF53)/old!BF53)</f>
        <v>-1</v>
      </c>
      <c r="BG53" s="2">
        <f>IF(popproj!BG53-old!BG53=0,"",(popproj!BG53-old!BG53)/old!BG53)</f>
        <v>-1</v>
      </c>
      <c r="BH53" s="2">
        <f>IF(popproj!BH53-old!BH53=0,"",(popproj!BH53-old!BH53)/old!BH53)</f>
        <v>-1</v>
      </c>
      <c r="BI53" s="2">
        <f>IF(popproj!BI53-old!BI53=0,"",(popproj!BI53-old!BI53)/old!BI53)</f>
        <v>-1</v>
      </c>
      <c r="BJ53" s="2">
        <f>IF(popproj!BJ53-old!BJ53=0,"",(popproj!BJ53-old!BJ53)/old!BJ53)</f>
        <v>-1</v>
      </c>
      <c r="BK53" s="2">
        <f>IF(popproj!BK53-old!BK53=0,"",(popproj!BK53-old!BK53)/old!BK53)</f>
        <v>-1</v>
      </c>
      <c r="BL53" s="2">
        <f>IF(popproj!BL53-old!BL53=0,"",(popproj!BL53-old!BL53)/old!BL53)</f>
        <v>-1</v>
      </c>
      <c r="BM53" s="2">
        <f>IF(popproj!BM53-old!BM53=0,"",(popproj!BM53-old!BM53)/old!BM53)</f>
        <v>-1</v>
      </c>
      <c r="BN53" s="2">
        <f>IF(popproj!BN53-old!BN53=0,"",(popproj!BN53-old!BN53)/old!BN53)</f>
        <v>-1</v>
      </c>
      <c r="BO53" s="2">
        <f>IF(popproj!BO53-old!BO53=0,"",(popproj!BO53-old!BO53)/old!BO53)</f>
        <v>-1</v>
      </c>
    </row>
    <row r="54" spans="1:67" x14ac:dyDescent="0.2">
      <c r="A54" t="str">
        <f>popproj!A54</f>
        <v>SE_POPAF</v>
      </c>
      <c r="B54" s="2"/>
      <c r="C54" s="2"/>
      <c r="D54" s="2">
        <f>IF(popproj!D54-old!D54=0,"",(popproj!D54-old!D54)/old!D54)</f>
        <v>-1</v>
      </c>
      <c r="E54" s="2">
        <f>IF(popproj!E54-old!E54=0,"",(popproj!E54-old!E54)/old!E54)</f>
        <v>6.5589782089181927E-4</v>
      </c>
      <c r="F54" s="2">
        <f>IF(popproj!F54-old!F54=0,"",(popproj!F54-old!F54)/old!F54)</f>
        <v>-2.8911647069923287E-3</v>
      </c>
      <c r="G54" s="2">
        <f>IF(popproj!G54-old!G54=0,"",(popproj!G54-old!G54)/old!G54)</f>
        <v>-2.1693718107199753E-3</v>
      </c>
      <c r="H54" s="2">
        <f>IF(popproj!H54-old!H54=0,"",(popproj!H54-old!H54)/old!H54)</f>
        <v>-1.4515855607200431E-3</v>
      </c>
      <c r="I54" s="2">
        <f>IF(popproj!I54-old!I54=0,"",(popproj!I54-old!I54)/old!I54)</f>
        <v>-6.181360660483E-4</v>
      </c>
      <c r="J54" s="2">
        <f>IF(popproj!J54-old!J54=0,"",(popproj!J54-old!J54)/old!J54)</f>
        <v>3.51221654101175E-4</v>
      </c>
      <c r="K54" s="2">
        <f>IF(popproj!K54-old!K54=0,"",(popproj!K54-old!K54)/old!K54)</f>
        <v>1.257455779872581E-3</v>
      </c>
      <c r="L54" s="2">
        <f>IF(popproj!L54-old!L54=0,"",(popproj!L54-old!L54)/old!L54)</f>
        <v>2.1210549509811812E-3</v>
      </c>
      <c r="M54" s="2">
        <f>IF(popproj!M54-old!M54=0,"",(popproj!M54-old!M54)/old!M54)</f>
        <v>2.9342138308329217E-3</v>
      </c>
      <c r="N54" s="2">
        <f>IF(popproj!N54-old!N54=0,"",(popproj!N54-old!N54)/old!N54)</f>
        <v>3.7057598130880603E-3</v>
      </c>
      <c r="O54" s="2">
        <f>IF(popproj!O54-old!O54=0,"",(popproj!O54-old!O54)/old!O54)</f>
        <v>4.4918658603367526E-3</v>
      </c>
      <c r="P54" s="2">
        <f>IF(popproj!P54-old!P54=0,"",(popproj!P54-old!P54)/old!P54)</f>
        <v>5.2656231261783574E-3</v>
      </c>
      <c r="Q54" s="2">
        <f>IF(popproj!Q54-old!Q54=0,"",(popproj!Q54-old!Q54)/old!Q54)</f>
        <v>5.8157624148013412E-3</v>
      </c>
      <c r="R54" s="2">
        <f>IF(popproj!R54-old!R54=0,"",(popproj!R54-old!R54)/old!R54)</f>
        <v>6.5185337560283397E-3</v>
      </c>
      <c r="S54" s="2">
        <f>IF(popproj!S54-old!S54=0,"",(popproj!S54-old!S54)/old!S54)</f>
        <v>7.1861863231302931E-3</v>
      </c>
      <c r="T54" s="2">
        <f>IF(popproj!T54-old!T54=0,"",(popproj!T54-old!T54)/old!T54)</f>
        <v>7.7531687151716185E-3</v>
      </c>
      <c r="U54" s="2">
        <f>IF(popproj!U54-old!U54=0,"",(popproj!U54-old!U54)/old!U54)</f>
        <v>6.4774518132506434E-3</v>
      </c>
      <c r="V54" s="2">
        <f>IF(popproj!V54-old!V54=0,"",(popproj!V54-old!V54)/old!V54)</f>
        <v>5.4933372409834928E-3</v>
      </c>
      <c r="W54" s="2">
        <f>IF(popproj!W54-old!W54=0,"",(popproj!W54-old!W54)/old!W54)</f>
        <v>4.5767196904249212E-3</v>
      </c>
      <c r="X54" s="2">
        <f>IF(popproj!X54-old!X54=0,"",(popproj!X54-old!X54)/old!X54)</f>
        <v>3.7318289164824073E-3</v>
      </c>
      <c r="Y54" s="2">
        <f>IF(popproj!Y54-old!Y54=0,"",(popproj!Y54-old!Y54)/old!Y54)</f>
        <v>2.9542185204821385E-3</v>
      </c>
      <c r="Z54" s="2">
        <f>IF(popproj!Z54-old!Z54=0,"",(popproj!Z54-old!Z54)/old!Z54)</f>
        <v>2.2344303564254468E-3</v>
      </c>
      <c r="AA54" s="2">
        <f>IF(popproj!AA54-old!AA54=0,"",(popproj!AA54-old!AA54)/old!AA54)</f>
        <v>1.5413144124461551E-3</v>
      </c>
      <c r="AB54" s="2">
        <f>IF(popproj!AB54-old!AB54=0,"",(popproj!AB54-old!AB54)/old!AB54)</f>
        <v>8.8440670285699365E-4</v>
      </c>
      <c r="AC54" s="2">
        <f>IF(popproj!AC54-old!AC54=0,"",(popproj!AC54-old!AC54)/old!AC54)</f>
        <v>2.6328627736434948E-4</v>
      </c>
      <c r="AD54" s="2">
        <f>IF(popproj!AD54-old!AD54=0,"",(popproj!AD54-old!AD54)/old!AD54)</f>
        <v>-2.9832373426880664E-4</v>
      </c>
      <c r="AE54" s="2">
        <f>IF(popproj!AE54-old!AE54=0,"",(popproj!AE54-old!AE54)/old!AE54)</f>
        <v>-8.1646631046402836E-4</v>
      </c>
      <c r="AF54" s="2">
        <f>IF(popproj!AF54-old!AF54=0,"",(popproj!AF54-old!AF54)/old!AF54)</f>
        <v>-1.2871229715936362E-3</v>
      </c>
      <c r="AG54" s="2">
        <f>IF(popproj!AG54-old!AG54=0,"",(popproj!AG54-old!AG54)/old!AG54)</f>
        <v>-1</v>
      </c>
      <c r="AH54" s="2">
        <f>IF(popproj!AH54-old!AH54=0,"",(popproj!AH54-old!AH54)/old!AH54)</f>
        <v>-1</v>
      </c>
      <c r="AI54" s="2">
        <f>IF(popproj!AI54-old!AI54=0,"",(popproj!AI54-old!AI54)/old!AI54)</f>
        <v>-1</v>
      </c>
      <c r="AJ54" s="2">
        <f>IF(popproj!AJ54-old!AJ54=0,"",(popproj!AJ54-old!AJ54)/old!AJ54)</f>
        <v>-1</v>
      </c>
      <c r="AK54" s="2">
        <f>IF(popproj!AK54-old!AK54=0,"",(popproj!AK54-old!AK54)/old!AK54)</f>
        <v>-1</v>
      </c>
      <c r="AL54" s="2">
        <f>IF(popproj!AL54-old!AL54=0,"",(popproj!AL54-old!AL54)/old!AL54)</f>
        <v>-1</v>
      </c>
      <c r="AM54" s="2">
        <f>IF(popproj!AM54-old!AM54=0,"",(popproj!AM54-old!AM54)/old!AM54)</f>
        <v>-1</v>
      </c>
      <c r="AN54" s="2">
        <f>IF(popproj!AN54-old!AN54=0,"",(popproj!AN54-old!AN54)/old!AN54)</f>
        <v>-1</v>
      </c>
      <c r="AO54" s="2">
        <f>IF(popproj!AO54-old!AO54=0,"",(popproj!AO54-old!AO54)/old!AO54)</f>
        <v>-1</v>
      </c>
      <c r="AP54" s="2">
        <f>IF(popproj!AP54-old!AP54=0,"",(popproj!AP54-old!AP54)/old!AP54)</f>
        <v>-1</v>
      </c>
      <c r="AQ54" s="2">
        <f>IF(popproj!AQ54-old!AQ54=0,"",(popproj!AQ54-old!AQ54)/old!AQ54)</f>
        <v>-1</v>
      </c>
      <c r="AR54" s="2">
        <f>IF(popproj!AR54-old!AR54=0,"",(popproj!AR54-old!AR54)/old!AR54)</f>
        <v>-1</v>
      </c>
      <c r="AS54" s="2">
        <f>IF(popproj!AS54-old!AS54=0,"",(popproj!AS54-old!AS54)/old!AS54)</f>
        <v>-1</v>
      </c>
      <c r="AT54" s="2">
        <f>IF(popproj!AT54-old!AT54=0,"",(popproj!AT54-old!AT54)/old!AT54)</f>
        <v>-1</v>
      </c>
      <c r="AU54" s="2">
        <f>IF(popproj!AU54-old!AU54=0,"",(popproj!AU54-old!AU54)/old!AU54)</f>
        <v>-1</v>
      </c>
      <c r="AV54" s="2">
        <f>IF(popproj!AV54-old!AV54=0,"",(popproj!AV54-old!AV54)/old!AV54)</f>
        <v>-1</v>
      </c>
      <c r="AW54" s="2">
        <f>IF(popproj!AW54-old!AW54=0,"",(popproj!AW54-old!AW54)/old!AW54)</f>
        <v>-1</v>
      </c>
      <c r="AX54" s="2">
        <f>IF(popproj!AX54-old!AX54=0,"",(popproj!AX54-old!AX54)/old!AX54)</f>
        <v>-1</v>
      </c>
      <c r="AY54" s="2">
        <f>IF(popproj!AY54-old!AY54=0,"",(popproj!AY54-old!AY54)/old!AY54)</f>
        <v>-1</v>
      </c>
      <c r="AZ54" s="2">
        <f>IF(popproj!AZ54-old!AZ54=0,"",(popproj!AZ54-old!AZ54)/old!AZ54)</f>
        <v>-1</v>
      </c>
      <c r="BA54" s="2">
        <f>IF(popproj!BA54-old!BA54=0,"",(popproj!BA54-old!BA54)/old!BA54)</f>
        <v>-1</v>
      </c>
      <c r="BB54" s="2">
        <f>IF(popproj!BB54-old!BB54=0,"",(popproj!BB54-old!BB54)/old!BB54)</f>
        <v>-1</v>
      </c>
      <c r="BC54" s="2">
        <f>IF(popproj!BC54-old!BC54=0,"",(popproj!BC54-old!BC54)/old!BC54)</f>
        <v>-1</v>
      </c>
      <c r="BD54" s="2">
        <f>IF(popproj!BD54-old!BD54=0,"",(popproj!BD54-old!BD54)/old!BD54)</f>
        <v>-1</v>
      </c>
      <c r="BE54" s="2">
        <f>IF(popproj!BE54-old!BE54=0,"",(popproj!BE54-old!BE54)/old!BE54)</f>
        <v>-1</v>
      </c>
      <c r="BF54" s="2">
        <f>IF(popproj!BF54-old!BF54=0,"",(popproj!BF54-old!BF54)/old!BF54)</f>
        <v>-1</v>
      </c>
      <c r="BG54" s="2">
        <f>IF(popproj!BG54-old!BG54=0,"",(popproj!BG54-old!BG54)/old!BG54)</f>
        <v>-1</v>
      </c>
      <c r="BH54" s="2">
        <f>IF(popproj!BH54-old!BH54=0,"",(popproj!BH54-old!BH54)/old!BH54)</f>
        <v>-1</v>
      </c>
      <c r="BI54" s="2">
        <f>IF(popproj!BI54-old!BI54=0,"",(popproj!BI54-old!BI54)/old!BI54)</f>
        <v>-1</v>
      </c>
      <c r="BJ54" s="2">
        <f>IF(popproj!BJ54-old!BJ54=0,"",(popproj!BJ54-old!BJ54)/old!BJ54)</f>
        <v>-1</v>
      </c>
      <c r="BK54" s="2">
        <f>IF(popproj!BK54-old!BK54=0,"",(popproj!BK54-old!BK54)/old!BK54)</f>
        <v>-1</v>
      </c>
      <c r="BL54" s="2">
        <f>IF(popproj!BL54-old!BL54=0,"",(popproj!BL54-old!BL54)/old!BL54)</f>
        <v>-1</v>
      </c>
      <c r="BM54" s="2">
        <f>IF(popproj!BM54-old!BM54=0,"",(popproj!BM54-old!BM54)/old!BM54)</f>
        <v>-1</v>
      </c>
      <c r="BN54" s="2">
        <f>IF(popproj!BN54-old!BN54=0,"",(popproj!BN54-old!BN54)/old!BN54)</f>
        <v>-1</v>
      </c>
      <c r="BO54" s="2">
        <f>IF(popproj!BO54-old!BO54=0,"",(popproj!BO54-old!BO54)/old!BO54)</f>
        <v>-1</v>
      </c>
    </row>
    <row r="55" spans="1:67" x14ac:dyDescent="0.2">
      <c r="A55" t="str">
        <f>popproj!A55</f>
        <v>SI_POPAF</v>
      </c>
      <c r="B55" s="2"/>
      <c r="C55" s="2"/>
      <c r="D55" s="2">
        <f>IF(popproj!D55-old!D55=0,"",(popproj!D55-old!D55)/old!D55)</f>
        <v>-1</v>
      </c>
      <c r="E55" s="2">
        <f>IF(popproj!E55-old!E55=0,"",(popproj!E55-old!E55)/old!E55)</f>
        <v>4.3801056973865579E-4</v>
      </c>
      <c r="F55" s="2">
        <f>IF(popproj!F55-old!F55=0,"",(popproj!F55-old!F55)/old!F55)</f>
        <v>2.4938683042818894E-3</v>
      </c>
      <c r="G55" s="2">
        <f>IF(popproj!G55-old!G55=0,"",(popproj!G55-old!G55)/old!G55)</f>
        <v>4.3658362233924665E-3</v>
      </c>
      <c r="H55" s="2">
        <f>IF(popproj!H55-old!H55=0,"",(popproj!H55-old!H55)/old!H55)</f>
        <v>5.1759937895575056E-3</v>
      </c>
      <c r="I55" s="2">
        <f>IF(popproj!I55-old!I55=0,"",(popproj!I55-old!I55)/old!I55)</f>
        <v>5.8384156358641057E-3</v>
      </c>
      <c r="J55" s="2">
        <f>IF(popproj!J55-old!J55=0,"",(popproj!J55-old!J55)/old!J55)</f>
        <v>6.4768220058962281E-3</v>
      </c>
      <c r="K55" s="2">
        <f>IF(popproj!K55-old!K55=0,"",(popproj!K55-old!K55)/old!K55)</f>
        <v>7.2293943402014678E-3</v>
      </c>
      <c r="L55" s="2">
        <f>IF(popproj!L55-old!L55=0,"",(popproj!L55-old!L55)/old!L55)</f>
        <v>8.0094020675726338E-3</v>
      </c>
      <c r="M55" s="2">
        <f>IF(popproj!M55-old!M55=0,"",(popproj!M55-old!M55)/old!M55)</f>
        <v>8.8170904044068393E-3</v>
      </c>
      <c r="N55" s="2">
        <f>IF(popproj!N55-old!N55=0,"",(popproj!N55-old!N55)/old!N55)</f>
        <v>9.6102397646730658E-3</v>
      </c>
      <c r="O55" s="2">
        <f>IF(popproj!O55-old!O55=0,"",(popproj!O55-old!O55)/old!O55)</f>
        <v>1.0449457630049279E-2</v>
      </c>
      <c r="P55" s="2">
        <f>IF(popproj!P55-old!P55=0,"",(popproj!P55-old!P55)/old!P55)</f>
        <v>1.1370656235277467E-2</v>
      </c>
      <c r="Q55" s="2">
        <f>IF(popproj!Q55-old!Q55=0,"",(popproj!Q55-old!Q55)/old!Q55)</f>
        <v>1.2102224410329857E-2</v>
      </c>
      <c r="R55" s="2">
        <f>IF(popproj!R55-old!R55=0,"",(popproj!R55-old!R55)/old!R55)</f>
        <v>1.2968822084212647E-2</v>
      </c>
      <c r="S55" s="2">
        <f>IF(popproj!S55-old!S55=0,"",(popproj!S55-old!S55)/old!S55)</f>
        <v>1.3886321879570306E-2</v>
      </c>
      <c r="T55" s="2">
        <f>IF(popproj!T55-old!T55=0,"",(popproj!T55-old!T55)/old!T55)</f>
        <v>1.4744740374197512E-2</v>
      </c>
      <c r="U55" s="2">
        <f>IF(popproj!U55-old!U55=0,"",(popproj!U55-old!U55)/old!U55)</f>
        <v>1.5107608500067883E-2</v>
      </c>
      <c r="V55" s="2">
        <f>IF(popproj!V55-old!V55=0,"",(popproj!V55-old!V55)/old!V55)</f>
        <v>1.5538114807047582E-2</v>
      </c>
      <c r="W55" s="2">
        <f>IF(popproj!W55-old!W55=0,"",(popproj!W55-old!W55)/old!W55)</f>
        <v>1.598046533226119E-2</v>
      </c>
      <c r="X55" s="2">
        <f>IF(popproj!X55-old!X55=0,"",(popproj!X55-old!X55)/old!X55)</f>
        <v>1.6451107553623844E-2</v>
      </c>
      <c r="Y55" s="2">
        <f>IF(popproj!Y55-old!Y55=0,"",(popproj!Y55-old!Y55)/old!Y55)</f>
        <v>1.6929793760475948E-2</v>
      </c>
      <c r="Z55" s="2">
        <f>IF(popproj!Z55-old!Z55=0,"",(popproj!Z55-old!Z55)/old!Z55)</f>
        <v>1.7453438755270598E-2</v>
      </c>
      <c r="AA55" s="2">
        <f>IF(popproj!AA55-old!AA55=0,"",(popproj!AA55-old!AA55)/old!AA55)</f>
        <v>1.7960175640296797E-2</v>
      </c>
      <c r="AB55" s="2">
        <f>IF(popproj!AB55-old!AB55=0,"",(popproj!AB55-old!AB55)/old!AB55)</f>
        <v>1.8443972135247302E-2</v>
      </c>
      <c r="AC55" s="2">
        <f>IF(popproj!AC55-old!AC55=0,"",(popproj!AC55-old!AC55)/old!AC55)</f>
        <v>1.8881759236192001E-2</v>
      </c>
      <c r="AD55" s="2">
        <f>IF(popproj!AD55-old!AD55=0,"",(popproj!AD55-old!AD55)/old!AD55)</f>
        <v>1.9327243356450353E-2</v>
      </c>
      <c r="AE55" s="2">
        <f>IF(popproj!AE55-old!AE55=0,"",(popproj!AE55-old!AE55)/old!AE55)</f>
        <v>1.9856601783097283E-2</v>
      </c>
      <c r="AF55" s="2">
        <f>IF(popproj!AF55-old!AF55=0,"",(popproj!AF55-old!AF55)/old!AF55)</f>
        <v>2.044597732550198E-2</v>
      </c>
      <c r="AG55" s="2">
        <f>IF(popproj!AG55-old!AG55=0,"",(popproj!AG55-old!AG55)/old!AG55)</f>
        <v>-1</v>
      </c>
      <c r="AH55" s="2">
        <f>IF(popproj!AH55-old!AH55=0,"",(popproj!AH55-old!AH55)/old!AH55)</f>
        <v>-1</v>
      </c>
      <c r="AI55" s="2">
        <f>IF(popproj!AI55-old!AI55=0,"",(popproj!AI55-old!AI55)/old!AI55)</f>
        <v>-1</v>
      </c>
      <c r="AJ55" s="2">
        <f>IF(popproj!AJ55-old!AJ55=0,"",(popproj!AJ55-old!AJ55)/old!AJ55)</f>
        <v>-1</v>
      </c>
      <c r="AK55" s="2">
        <f>IF(popproj!AK55-old!AK55=0,"",(popproj!AK55-old!AK55)/old!AK55)</f>
        <v>-1</v>
      </c>
      <c r="AL55" s="2">
        <f>IF(popproj!AL55-old!AL55=0,"",(popproj!AL55-old!AL55)/old!AL55)</f>
        <v>-1</v>
      </c>
      <c r="AM55" s="2">
        <f>IF(popproj!AM55-old!AM55=0,"",(popproj!AM55-old!AM55)/old!AM55)</f>
        <v>-1</v>
      </c>
      <c r="AN55" s="2">
        <f>IF(popproj!AN55-old!AN55=0,"",(popproj!AN55-old!AN55)/old!AN55)</f>
        <v>-1</v>
      </c>
      <c r="AO55" s="2">
        <f>IF(popproj!AO55-old!AO55=0,"",(popproj!AO55-old!AO55)/old!AO55)</f>
        <v>-1</v>
      </c>
      <c r="AP55" s="2">
        <f>IF(popproj!AP55-old!AP55=0,"",(popproj!AP55-old!AP55)/old!AP55)</f>
        <v>-1</v>
      </c>
      <c r="AQ55" s="2">
        <f>IF(popproj!AQ55-old!AQ55=0,"",(popproj!AQ55-old!AQ55)/old!AQ55)</f>
        <v>-1</v>
      </c>
      <c r="AR55" s="2">
        <f>IF(popproj!AR55-old!AR55=0,"",(popproj!AR55-old!AR55)/old!AR55)</f>
        <v>-1</v>
      </c>
      <c r="AS55" s="2">
        <f>IF(popproj!AS55-old!AS55=0,"",(popproj!AS55-old!AS55)/old!AS55)</f>
        <v>-1</v>
      </c>
      <c r="AT55" s="2">
        <f>IF(popproj!AT55-old!AT55=0,"",(popproj!AT55-old!AT55)/old!AT55)</f>
        <v>-1</v>
      </c>
      <c r="AU55" s="2">
        <f>IF(popproj!AU55-old!AU55=0,"",(popproj!AU55-old!AU55)/old!AU55)</f>
        <v>-1</v>
      </c>
      <c r="AV55" s="2">
        <f>IF(popproj!AV55-old!AV55=0,"",(popproj!AV55-old!AV55)/old!AV55)</f>
        <v>-1</v>
      </c>
      <c r="AW55" s="2">
        <f>IF(popproj!AW55-old!AW55=0,"",(popproj!AW55-old!AW55)/old!AW55)</f>
        <v>-1</v>
      </c>
      <c r="AX55" s="2">
        <f>IF(popproj!AX55-old!AX55=0,"",(popproj!AX55-old!AX55)/old!AX55)</f>
        <v>-1</v>
      </c>
      <c r="AY55" s="2">
        <f>IF(popproj!AY55-old!AY55=0,"",(popproj!AY55-old!AY55)/old!AY55)</f>
        <v>-1</v>
      </c>
      <c r="AZ55" s="2">
        <f>IF(popproj!AZ55-old!AZ55=0,"",(popproj!AZ55-old!AZ55)/old!AZ55)</f>
        <v>-1</v>
      </c>
      <c r="BA55" s="2">
        <f>IF(popproj!BA55-old!BA55=0,"",(popproj!BA55-old!BA55)/old!BA55)</f>
        <v>-1</v>
      </c>
      <c r="BB55" s="2">
        <f>IF(popproj!BB55-old!BB55=0,"",(popproj!BB55-old!BB55)/old!BB55)</f>
        <v>-1</v>
      </c>
      <c r="BC55" s="2">
        <f>IF(popproj!BC55-old!BC55=0,"",(popproj!BC55-old!BC55)/old!BC55)</f>
        <v>-1</v>
      </c>
      <c r="BD55" s="2">
        <f>IF(popproj!BD55-old!BD55=0,"",(popproj!BD55-old!BD55)/old!BD55)</f>
        <v>-1</v>
      </c>
      <c r="BE55" s="2">
        <f>IF(popproj!BE55-old!BE55=0,"",(popproj!BE55-old!BE55)/old!BE55)</f>
        <v>-1</v>
      </c>
      <c r="BF55" s="2">
        <f>IF(popproj!BF55-old!BF55=0,"",(popproj!BF55-old!BF55)/old!BF55)</f>
        <v>-1</v>
      </c>
      <c r="BG55" s="2">
        <f>IF(popproj!BG55-old!BG55=0,"",(popproj!BG55-old!BG55)/old!BG55)</f>
        <v>-1</v>
      </c>
      <c r="BH55" s="2">
        <f>IF(popproj!BH55-old!BH55=0,"",(popproj!BH55-old!BH55)/old!BH55)</f>
        <v>-1</v>
      </c>
      <c r="BI55" s="2">
        <f>IF(popproj!BI55-old!BI55=0,"",(popproj!BI55-old!BI55)/old!BI55)</f>
        <v>-1</v>
      </c>
      <c r="BJ55" s="2">
        <f>IF(popproj!BJ55-old!BJ55=0,"",(popproj!BJ55-old!BJ55)/old!BJ55)</f>
        <v>-1</v>
      </c>
      <c r="BK55" s="2">
        <f>IF(popproj!BK55-old!BK55=0,"",(popproj!BK55-old!BK55)/old!BK55)</f>
        <v>-1</v>
      </c>
      <c r="BL55" s="2">
        <f>IF(popproj!BL55-old!BL55=0,"",(popproj!BL55-old!BL55)/old!BL55)</f>
        <v>-1</v>
      </c>
      <c r="BM55" s="2">
        <f>IF(popproj!BM55-old!BM55=0,"",(popproj!BM55-old!BM55)/old!BM55)</f>
        <v>-1</v>
      </c>
      <c r="BN55" s="2">
        <f>IF(popproj!BN55-old!BN55=0,"",(popproj!BN55-old!BN55)/old!BN55)</f>
        <v>-1</v>
      </c>
      <c r="BO55" s="2">
        <f>IF(popproj!BO55-old!BO55=0,"",(popproj!BO55-old!BO55)/old!BO55)</f>
        <v>-1</v>
      </c>
    </row>
    <row r="56" spans="1:67" x14ac:dyDescent="0.2">
      <c r="A56" t="str">
        <f>popproj!A56</f>
        <v>SK_POPAF</v>
      </c>
      <c r="B56" s="2"/>
      <c r="C56" s="2"/>
      <c r="D56" s="2">
        <f>IF(popproj!D56-old!D56=0,"",(popproj!D56-old!D56)/old!D56)</f>
        <v>-1</v>
      </c>
      <c r="E56" s="2">
        <f>IF(popproj!E56-old!E56=0,"",(popproj!E56-old!E56)/old!E56)</f>
        <v>-2.894381116179717E-3</v>
      </c>
      <c r="F56" s="2">
        <f>IF(popproj!F56-old!F56=0,"",(popproj!F56-old!F56)/old!F56)</f>
        <v>-5.7074704237520927E-4</v>
      </c>
      <c r="G56" s="2">
        <f>IF(popproj!G56-old!G56=0,"",(popproj!G56-old!G56)/old!G56)</f>
        <v>5.4083941447434225E-3</v>
      </c>
      <c r="H56" s="2">
        <f>IF(popproj!H56-old!H56=0,"",(popproj!H56-old!H56)/old!H56)</f>
        <v>5.6529929123505006E-3</v>
      </c>
      <c r="I56" s="2">
        <f>IF(popproj!I56-old!I56=0,"",(popproj!I56-old!I56)/old!I56)</f>
        <v>5.8814122836119065E-3</v>
      </c>
      <c r="J56" s="2">
        <f>IF(popproj!J56-old!J56=0,"",(popproj!J56-old!J56)/old!J56)</f>
        <v>6.0953999971186954E-3</v>
      </c>
      <c r="K56" s="2">
        <f>IF(popproj!K56-old!K56=0,"",(popproj!K56-old!K56)/old!K56)</f>
        <v>6.3684313625559132E-3</v>
      </c>
      <c r="L56" s="2">
        <f>IF(popproj!L56-old!L56=0,"",(popproj!L56-old!L56)/old!L56)</f>
        <v>6.6849285512270646E-3</v>
      </c>
      <c r="M56" s="2">
        <f>IF(popproj!M56-old!M56=0,"",(popproj!M56-old!M56)/old!M56)</f>
        <v>7.0420831132504136E-3</v>
      </c>
      <c r="N56" s="2">
        <f>IF(popproj!N56-old!N56=0,"",(popproj!N56-old!N56)/old!N56)</f>
        <v>7.4257766417616987E-3</v>
      </c>
      <c r="O56" s="2">
        <f>IF(popproj!O56-old!O56=0,"",(popproj!O56-old!O56)/old!O56)</f>
        <v>7.8514930088464541E-3</v>
      </c>
      <c r="P56" s="2">
        <f>IF(popproj!P56-old!P56=0,"",(popproj!P56-old!P56)/old!P56)</f>
        <v>8.4087716898977836E-3</v>
      </c>
      <c r="Q56" s="2">
        <f>IF(popproj!Q56-old!Q56=0,"",(popproj!Q56-old!Q56)/old!Q56)</f>
        <v>8.125345394421439E-3</v>
      </c>
      <c r="R56" s="2">
        <f>IF(popproj!R56-old!R56=0,"",(popproj!R56-old!R56)/old!R56)</f>
        <v>8.7363842429087814E-3</v>
      </c>
      <c r="S56" s="2">
        <f>IF(popproj!S56-old!S56=0,"",(popproj!S56-old!S56)/old!S56)</f>
        <v>9.3127864686188729E-3</v>
      </c>
      <c r="T56" s="2">
        <f>IF(popproj!T56-old!T56=0,"",(popproj!T56-old!T56)/old!T56)</f>
        <v>9.6794510056834211E-3</v>
      </c>
      <c r="U56" s="2">
        <f>IF(popproj!U56-old!U56=0,"",(popproj!U56-old!U56)/old!U56)</f>
        <v>8.905374982002251E-3</v>
      </c>
      <c r="V56" s="2">
        <f>IF(popproj!V56-old!V56=0,"",(popproj!V56-old!V56)/old!V56)</f>
        <v>8.8221199984238503E-3</v>
      </c>
      <c r="W56" s="2">
        <f>IF(popproj!W56-old!W56=0,"",(popproj!W56-old!W56)/old!W56)</f>
        <v>8.7035699804204145E-3</v>
      </c>
      <c r="X56" s="2">
        <f>IF(popproj!X56-old!X56=0,"",(popproj!X56-old!X56)/old!X56)</f>
        <v>8.6213882437899542E-3</v>
      </c>
      <c r="Y56" s="2">
        <f>IF(popproj!Y56-old!Y56=0,"",(popproj!Y56-old!Y56)/old!Y56)</f>
        <v>8.5716161607058954E-3</v>
      </c>
      <c r="Z56" s="2">
        <f>IF(popproj!Z56-old!Z56=0,"",(popproj!Z56-old!Z56)/old!Z56)</f>
        <v>8.5801135069436454E-3</v>
      </c>
      <c r="AA56" s="2">
        <f>IF(popproj!AA56-old!AA56=0,"",(popproj!AA56-old!AA56)/old!AA56)</f>
        <v>8.6010883158178907E-3</v>
      </c>
      <c r="AB56" s="2">
        <f>IF(popproj!AB56-old!AB56=0,"",(popproj!AB56-old!AB56)/old!AB56)</f>
        <v>8.6525281083070799E-3</v>
      </c>
      <c r="AC56" s="2">
        <f>IF(popproj!AC56-old!AC56=0,"",(popproj!AC56-old!AC56)/old!AC56)</f>
        <v>8.7388723684615182E-3</v>
      </c>
      <c r="AD56" s="2">
        <f>IF(popproj!AD56-old!AD56=0,"",(popproj!AD56-old!AD56)/old!AD56)</f>
        <v>8.8744332032251027E-3</v>
      </c>
      <c r="AE56" s="2">
        <f>IF(popproj!AE56-old!AE56=0,"",(popproj!AE56-old!AE56)/old!AE56)</f>
        <v>9.0161265353838928E-3</v>
      </c>
      <c r="AF56" s="2">
        <f>IF(popproj!AF56-old!AF56=0,"",(popproj!AF56-old!AF56)/old!AF56)</f>
        <v>9.1659973896851092E-3</v>
      </c>
      <c r="AG56" s="2">
        <f>IF(popproj!AG56-old!AG56=0,"",(popproj!AG56-old!AG56)/old!AG56)</f>
        <v>-1</v>
      </c>
      <c r="AH56" s="2">
        <f>IF(popproj!AH56-old!AH56=0,"",(popproj!AH56-old!AH56)/old!AH56)</f>
        <v>-1</v>
      </c>
      <c r="AI56" s="2">
        <f>IF(popproj!AI56-old!AI56=0,"",(popproj!AI56-old!AI56)/old!AI56)</f>
        <v>-1</v>
      </c>
      <c r="AJ56" s="2">
        <f>IF(popproj!AJ56-old!AJ56=0,"",(popproj!AJ56-old!AJ56)/old!AJ56)</f>
        <v>-1</v>
      </c>
      <c r="AK56" s="2">
        <f>IF(popproj!AK56-old!AK56=0,"",(popproj!AK56-old!AK56)/old!AK56)</f>
        <v>-1</v>
      </c>
      <c r="AL56" s="2">
        <f>IF(popproj!AL56-old!AL56=0,"",(popproj!AL56-old!AL56)/old!AL56)</f>
        <v>-1</v>
      </c>
      <c r="AM56" s="2">
        <f>IF(popproj!AM56-old!AM56=0,"",(popproj!AM56-old!AM56)/old!AM56)</f>
        <v>-1</v>
      </c>
      <c r="AN56" s="2">
        <f>IF(popproj!AN56-old!AN56=0,"",(popproj!AN56-old!AN56)/old!AN56)</f>
        <v>-1</v>
      </c>
      <c r="AO56" s="2">
        <f>IF(popproj!AO56-old!AO56=0,"",(popproj!AO56-old!AO56)/old!AO56)</f>
        <v>-1</v>
      </c>
      <c r="AP56" s="2">
        <f>IF(popproj!AP56-old!AP56=0,"",(popproj!AP56-old!AP56)/old!AP56)</f>
        <v>-1</v>
      </c>
      <c r="AQ56" s="2">
        <f>IF(popproj!AQ56-old!AQ56=0,"",(popproj!AQ56-old!AQ56)/old!AQ56)</f>
        <v>-1</v>
      </c>
      <c r="AR56" s="2">
        <f>IF(popproj!AR56-old!AR56=0,"",(popproj!AR56-old!AR56)/old!AR56)</f>
        <v>-1</v>
      </c>
      <c r="AS56" s="2">
        <f>IF(popproj!AS56-old!AS56=0,"",(popproj!AS56-old!AS56)/old!AS56)</f>
        <v>-1</v>
      </c>
      <c r="AT56" s="2">
        <f>IF(popproj!AT56-old!AT56=0,"",(popproj!AT56-old!AT56)/old!AT56)</f>
        <v>-1</v>
      </c>
      <c r="AU56" s="2">
        <f>IF(popproj!AU56-old!AU56=0,"",(popproj!AU56-old!AU56)/old!AU56)</f>
        <v>-1</v>
      </c>
      <c r="AV56" s="2">
        <f>IF(popproj!AV56-old!AV56=0,"",(popproj!AV56-old!AV56)/old!AV56)</f>
        <v>-1</v>
      </c>
      <c r="AW56" s="2">
        <f>IF(popproj!AW56-old!AW56=0,"",(popproj!AW56-old!AW56)/old!AW56)</f>
        <v>-1</v>
      </c>
      <c r="AX56" s="2">
        <f>IF(popproj!AX56-old!AX56=0,"",(popproj!AX56-old!AX56)/old!AX56)</f>
        <v>-1</v>
      </c>
      <c r="AY56" s="2">
        <f>IF(popproj!AY56-old!AY56=0,"",(popproj!AY56-old!AY56)/old!AY56)</f>
        <v>-1</v>
      </c>
      <c r="AZ56" s="2">
        <f>IF(popproj!AZ56-old!AZ56=0,"",(popproj!AZ56-old!AZ56)/old!AZ56)</f>
        <v>-1</v>
      </c>
      <c r="BA56" s="2">
        <f>IF(popproj!BA56-old!BA56=0,"",(popproj!BA56-old!BA56)/old!BA56)</f>
        <v>-1</v>
      </c>
      <c r="BB56" s="2">
        <f>IF(popproj!BB56-old!BB56=0,"",(popproj!BB56-old!BB56)/old!BB56)</f>
        <v>-1</v>
      </c>
      <c r="BC56" s="2">
        <f>IF(popproj!BC56-old!BC56=0,"",(popproj!BC56-old!BC56)/old!BC56)</f>
        <v>-1</v>
      </c>
      <c r="BD56" s="2">
        <f>IF(popproj!BD56-old!BD56=0,"",(popproj!BD56-old!BD56)/old!BD56)</f>
        <v>-1</v>
      </c>
      <c r="BE56" s="2">
        <f>IF(popproj!BE56-old!BE56=0,"",(popproj!BE56-old!BE56)/old!BE56)</f>
        <v>-1</v>
      </c>
      <c r="BF56" s="2">
        <f>IF(popproj!BF56-old!BF56=0,"",(popproj!BF56-old!BF56)/old!BF56)</f>
        <v>-1</v>
      </c>
      <c r="BG56" s="2">
        <f>IF(popproj!BG56-old!BG56=0,"",(popproj!BG56-old!BG56)/old!BG56)</f>
        <v>-1</v>
      </c>
      <c r="BH56" s="2">
        <f>IF(popproj!BH56-old!BH56=0,"",(popproj!BH56-old!BH56)/old!BH56)</f>
        <v>-1</v>
      </c>
      <c r="BI56" s="2">
        <f>IF(popproj!BI56-old!BI56=0,"",(popproj!BI56-old!BI56)/old!BI56)</f>
        <v>-1</v>
      </c>
      <c r="BJ56" s="2">
        <f>IF(popproj!BJ56-old!BJ56=0,"",(popproj!BJ56-old!BJ56)/old!BJ56)</f>
        <v>-1</v>
      </c>
      <c r="BK56" s="2">
        <f>IF(popproj!BK56-old!BK56=0,"",(popproj!BK56-old!BK56)/old!BK56)</f>
        <v>-1</v>
      </c>
      <c r="BL56" s="2">
        <f>IF(popproj!BL56-old!BL56=0,"",(popproj!BL56-old!BL56)/old!BL56)</f>
        <v>-1</v>
      </c>
      <c r="BM56" s="2">
        <f>IF(popproj!BM56-old!BM56=0,"",(popproj!BM56-old!BM56)/old!BM56)</f>
        <v>-1</v>
      </c>
      <c r="BN56" s="2">
        <f>IF(popproj!BN56-old!BN56=0,"",(popproj!BN56-old!BN56)/old!BN56)</f>
        <v>-1</v>
      </c>
      <c r="BO56" s="2">
        <f>IF(popproj!BO56-old!BO56=0,"",(popproj!BO56-old!BO56)/old!BO56)</f>
        <v>-1</v>
      </c>
    </row>
    <row r="57" spans="1:67" x14ac:dyDescent="0.2">
      <c r="A57" t="str">
        <f>popproj!A57</f>
        <v>UK_POPAF</v>
      </c>
      <c r="B57" s="2"/>
      <c r="C57" s="2"/>
      <c r="D57" s="2" t="str">
        <f>IF(popproj!D57-old!D57=0,"",(popproj!D57-old!D57)/old!D57)</f>
        <v/>
      </c>
      <c r="E57" s="2">
        <f>IF(popproj!E57-old!E57=0,"",(popproj!E57-old!E57)/old!E57)</f>
        <v>8.0727405739960912E-4</v>
      </c>
      <c r="F57" s="2">
        <f>IF(popproj!F57-old!F57=0,"",(popproj!F57-old!F57)/old!F57)</f>
        <v>2.7459112270266347E-3</v>
      </c>
      <c r="G57" s="2">
        <f>IF(popproj!G57-old!G57=0,"",(popproj!G57-old!G57)/old!G57)</f>
        <v>4.3033044991711471E-3</v>
      </c>
      <c r="H57" s="2">
        <f>IF(popproj!H57-old!H57=0,"",(popproj!H57-old!H57)/old!H57)</f>
        <v>5.383879230438913E-3</v>
      </c>
      <c r="I57" s="2">
        <f>IF(popproj!I57-old!I57=0,"",(popproj!I57-old!I57)/old!I57)</f>
        <v>6.1054864241475056E-3</v>
      </c>
      <c r="J57" s="2">
        <f>IF(popproj!J57-old!J57=0,"",(popproj!J57-old!J57)/old!J57)</f>
        <v>6.4481459542636349E-3</v>
      </c>
      <c r="K57" s="2">
        <f>IF(popproj!K57-old!K57=0,"",(popproj!K57-old!K57)/old!K57)</f>
        <v>6.818916953819777E-3</v>
      </c>
      <c r="L57" s="2">
        <f>IF(popproj!L57-old!L57=0,"",(popproj!L57-old!L57)/old!L57)</f>
        <v>7.197802551224622E-3</v>
      </c>
      <c r="M57" s="2">
        <f>IF(popproj!M57-old!M57=0,"",(popproj!M57-old!M57)/old!M57)</f>
        <v>7.6043943906049108E-3</v>
      </c>
      <c r="N57" s="2">
        <f>IF(popproj!N57-old!N57=0,"",(popproj!N57-old!N57)/old!N57)</f>
        <v>8.0278793696298596E-3</v>
      </c>
      <c r="O57" s="2">
        <f>IF(popproj!O57-old!O57=0,"",(popproj!O57-old!O57)/old!O57)</f>
        <v>8.4412303690508846E-3</v>
      </c>
      <c r="P57" s="2">
        <f>IF(popproj!P57-old!P57=0,"",(popproj!P57-old!P57)/old!P57)</f>
        <v>8.9150119870406424E-3</v>
      </c>
      <c r="Q57" s="2">
        <f>IF(popproj!Q57-old!Q57=0,"",(popproj!Q57-old!Q57)/old!Q57)</f>
        <v>9.3596358875848926E-3</v>
      </c>
      <c r="R57" s="2">
        <f>IF(popproj!R57-old!R57=0,"",(popproj!R57-old!R57)/old!R57)</f>
        <v>9.9108894779334142E-3</v>
      </c>
      <c r="S57" s="2">
        <f>IF(popproj!S57-old!S57=0,"",(popproj!S57-old!S57)/old!S57)</f>
        <v>1.0338441408071396E-2</v>
      </c>
      <c r="T57" s="2">
        <f>IF(popproj!T57-old!T57=0,"",(popproj!T57-old!T57)/old!T57)</f>
        <v>1.0712135329447103E-2</v>
      </c>
      <c r="U57" s="2">
        <f>IF(popproj!U57-old!U57=0,"",(popproj!U57-old!U57)/old!U57)</f>
        <v>1.0239641124233268E-2</v>
      </c>
      <c r="V57" s="2">
        <f>IF(popproj!V57-old!V57=0,"",(popproj!V57-old!V57)/old!V57)</f>
        <v>9.7301233784553905E-3</v>
      </c>
      <c r="W57" s="2">
        <f>IF(popproj!W57-old!W57=0,"",(popproj!W57-old!W57)/old!W57)</f>
        <v>9.2302495198731647E-3</v>
      </c>
      <c r="X57" s="2">
        <f>IF(popproj!X57-old!X57=0,"",(popproj!X57-old!X57)/old!X57)</f>
        <v>8.7461024413610349E-3</v>
      </c>
      <c r="Y57" s="2">
        <f>IF(popproj!Y57-old!Y57=0,"",(popproj!Y57-old!Y57)/old!Y57)</f>
        <v>8.2747356555756008E-3</v>
      </c>
      <c r="Z57" s="2">
        <f>IF(popproj!Z57-old!Z57=0,"",(popproj!Z57-old!Z57)/old!Z57)</f>
        <v>7.8191627916849721E-3</v>
      </c>
      <c r="AA57" s="2">
        <f>IF(popproj!AA57-old!AA57=0,"",(popproj!AA57-old!AA57)/old!AA57)</f>
        <v>7.3706916385540651E-3</v>
      </c>
      <c r="AB57" s="2">
        <f>IF(popproj!AB57-old!AB57=0,"",(popproj!AB57-old!AB57)/old!AB57)</f>
        <v>6.9503391743063418E-3</v>
      </c>
      <c r="AC57" s="2">
        <f>IF(popproj!AC57-old!AC57=0,"",(popproj!AC57-old!AC57)/old!AC57)</f>
        <v>6.5380396446339285E-3</v>
      </c>
      <c r="AD57" s="2">
        <f>IF(popproj!AD57-old!AD57=0,"",(popproj!AD57-old!AD57)/old!AD57)</f>
        <v>6.1138204491704368E-3</v>
      </c>
      <c r="AE57" s="2">
        <f>IF(popproj!AE57-old!AE57=0,"",(popproj!AE57-old!AE57)/old!AE57)</f>
        <v>5.6851368814072418E-3</v>
      </c>
      <c r="AF57" s="2">
        <f>IF(popproj!AF57-old!AF57=0,"",(popproj!AF57-old!AF57)/old!AF57)</f>
        <v>5.2687095945397272E-3</v>
      </c>
      <c r="AG57" s="2">
        <f>IF(popproj!AG57-old!AG57=0,"",(popproj!AG57-old!AG57)/old!AG57)</f>
        <v>-1</v>
      </c>
      <c r="AH57" s="2">
        <f>IF(popproj!AH57-old!AH57=0,"",(popproj!AH57-old!AH57)/old!AH57)</f>
        <v>-1</v>
      </c>
      <c r="AI57" s="2">
        <f>IF(popproj!AI57-old!AI57=0,"",(popproj!AI57-old!AI57)/old!AI57)</f>
        <v>-1</v>
      </c>
      <c r="AJ57" s="2">
        <f>IF(popproj!AJ57-old!AJ57=0,"",(popproj!AJ57-old!AJ57)/old!AJ57)</f>
        <v>-1</v>
      </c>
      <c r="AK57" s="2">
        <f>IF(popproj!AK57-old!AK57=0,"",(popproj!AK57-old!AK57)/old!AK57)</f>
        <v>-1</v>
      </c>
      <c r="AL57" s="2">
        <f>IF(popproj!AL57-old!AL57=0,"",(popproj!AL57-old!AL57)/old!AL57)</f>
        <v>-1</v>
      </c>
      <c r="AM57" s="2">
        <f>IF(popproj!AM57-old!AM57=0,"",(popproj!AM57-old!AM57)/old!AM57)</f>
        <v>-1</v>
      </c>
      <c r="AN57" s="2">
        <f>IF(popproj!AN57-old!AN57=0,"",(popproj!AN57-old!AN57)/old!AN57)</f>
        <v>-1</v>
      </c>
      <c r="AO57" s="2">
        <f>IF(popproj!AO57-old!AO57=0,"",(popproj!AO57-old!AO57)/old!AO57)</f>
        <v>-1</v>
      </c>
      <c r="AP57" s="2">
        <f>IF(popproj!AP57-old!AP57=0,"",(popproj!AP57-old!AP57)/old!AP57)</f>
        <v>-1</v>
      </c>
      <c r="AQ57" s="2">
        <f>IF(popproj!AQ57-old!AQ57=0,"",(popproj!AQ57-old!AQ57)/old!AQ57)</f>
        <v>-1</v>
      </c>
      <c r="AR57" s="2">
        <f>IF(popproj!AR57-old!AR57=0,"",(popproj!AR57-old!AR57)/old!AR57)</f>
        <v>-1</v>
      </c>
      <c r="AS57" s="2">
        <f>IF(popproj!AS57-old!AS57=0,"",(popproj!AS57-old!AS57)/old!AS57)</f>
        <v>-1</v>
      </c>
      <c r="AT57" s="2">
        <f>IF(popproj!AT57-old!AT57=0,"",(popproj!AT57-old!AT57)/old!AT57)</f>
        <v>-1</v>
      </c>
      <c r="AU57" s="2">
        <f>IF(popproj!AU57-old!AU57=0,"",(popproj!AU57-old!AU57)/old!AU57)</f>
        <v>-1</v>
      </c>
      <c r="AV57" s="2">
        <f>IF(popproj!AV57-old!AV57=0,"",(popproj!AV57-old!AV57)/old!AV57)</f>
        <v>-1</v>
      </c>
      <c r="AW57" s="2">
        <f>IF(popproj!AW57-old!AW57=0,"",(popproj!AW57-old!AW57)/old!AW57)</f>
        <v>-1</v>
      </c>
      <c r="AX57" s="2">
        <f>IF(popproj!AX57-old!AX57=0,"",(popproj!AX57-old!AX57)/old!AX57)</f>
        <v>-1</v>
      </c>
      <c r="AY57" s="2">
        <f>IF(popproj!AY57-old!AY57=0,"",(popproj!AY57-old!AY57)/old!AY57)</f>
        <v>-1</v>
      </c>
      <c r="AZ57" s="2">
        <f>IF(popproj!AZ57-old!AZ57=0,"",(popproj!AZ57-old!AZ57)/old!AZ57)</f>
        <v>-1</v>
      </c>
      <c r="BA57" s="2">
        <f>IF(popproj!BA57-old!BA57=0,"",(popproj!BA57-old!BA57)/old!BA57)</f>
        <v>-1</v>
      </c>
      <c r="BB57" s="2">
        <f>IF(popproj!BB57-old!BB57=0,"",(popproj!BB57-old!BB57)/old!BB57)</f>
        <v>-1</v>
      </c>
      <c r="BC57" s="2">
        <f>IF(popproj!BC57-old!BC57=0,"",(popproj!BC57-old!BC57)/old!BC57)</f>
        <v>-1</v>
      </c>
      <c r="BD57" s="2">
        <f>IF(popproj!BD57-old!BD57=0,"",(popproj!BD57-old!BD57)/old!BD57)</f>
        <v>-1</v>
      </c>
      <c r="BE57" s="2">
        <f>IF(popproj!BE57-old!BE57=0,"",(popproj!BE57-old!BE57)/old!BE57)</f>
        <v>-1</v>
      </c>
      <c r="BF57" s="2">
        <f>IF(popproj!BF57-old!BF57=0,"",(popproj!BF57-old!BF57)/old!BF57)</f>
        <v>-1</v>
      </c>
      <c r="BG57" s="2">
        <f>IF(popproj!BG57-old!BG57=0,"",(popproj!BG57-old!BG57)/old!BG57)</f>
        <v>-1</v>
      </c>
      <c r="BH57" s="2">
        <f>IF(popproj!BH57-old!BH57=0,"",(popproj!BH57-old!BH57)/old!BH57)</f>
        <v>-1</v>
      </c>
      <c r="BI57" s="2">
        <f>IF(popproj!BI57-old!BI57=0,"",(popproj!BI57-old!BI57)/old!BI57)</f>
        <v>-1</v>
      </c>
      <c r="BJ57" s="2">
        <f>IF(popproj!BJ57-old!BJ57=0,"",(popproj!BJ57-old!BJ57)/old!BJ57)</f>
        <v>-1</v>
      </c>
      <c r="BK57" s="2">
        <f>IF(popproj!BK57-old!BK57=0,"",(popproj!BK57-old!BK57)/old!BK57)</f>
        <v>-1</v>
      </c>
      <c r="BL57" s="2">
        <f>IF(popproj!BL57-old!BL57=0,"",(popproj!BL57-old!BL57)/old!BL57)</f>
        <v>-1</v>
      </c>
      <c r="BM57" s="2">
        <f>IF(popproj!BM57-old!BM57=0,"",(popproj!BM57-old!BM57)/old!BM57)</f>
        <v>-1</v>
      </c>
      <c r="BN57" s="2">
        <f>IF(popproj!BN57-old!BN57=0,"",(popproj!BN57-old!BN57)/old!BN57)</f>
        <v>-1</v>
      </c>
      <c r="BO57" s="2">
        <f>IF(popproj!BO57-old!BO57=0,"",(popproj!BO57-old!BO57)/old!BO57)</f>
        <v>-1</v>
      </c>
    </row>
    <row r="58" spans="1:67" x14ac:dyDescent="0.2">
      <c r="A58" t="str">
        <f>popproj!A58</f>
        <v>US_POPTF</v>
      </c>
      <c r="B58" s="2"/>
      <c r="C58" s="2"/>
      <c r="D58" s="2">
        <f>IF(popproj!D58-old!D58=0,"",(popproj!D58-old!D58)/old!D58)</f>
        <v>-1</v>
      </c>
      <c r="E58" s="2" t="str">
        <f>IF(popproj!E58-old!E58=0,"",(popproj!E58-old!E58)/old!E58)</f>
        <v/>
      </c>
      <c r="F58" s="2" t="str">
        <f>IF(popproj!F58-old!F58=0,"",(popproj!F58-old!F58)/old!F58)</f>
        <v/>
      </c>
      <c r="G58" s="2" t="str">
        <f>IF(popproj!G58-old!G58=0,"",(popproj!G58-old!G58)/old!G58)</f>
        <v/>
      </c>
      <c r="H58" s="2" t="str">
        <f>IF(popproj!H58-old!H58=0,"",(popproj!H58-old!H58)/old!H58)</f>
        <v/>
      </c>
      <c r="I58" s="2" t="str">
        <f>IF(popproj!I58-old!I58=0,"",(popproj!I58-old!I58)/old!I58)</f>
        <v/>
      </c>
      <c r="J58" s="2" t="str">
        <f>IF(popproj!J58-old!J58=0,"",(popproj!J58-old!J58)/old!J58)</f>
        <v/>
      </c>
      <c r="K58" s="2" t="str">
        <f>IF(popproj!K58-old!K58=0,"",(popproj!K58-old!K58)/old!K58)</f>
        <v/>
      </c>
      <c r="L58" s="2" t="str">
        <f>IF(popproj!L58-old!L58=0,"",(popproj!L58-old!L58)/old!L58)</f>
        <v/>
      </c>
      <c r="M58" s="2" t="str">
        <f>IF(popproj!M58-old!M58=0,"",(popproj!M58-old!M58)/old!M58)</f>
        <v/>
      </c>
      <c r="N58" s="2" t="str">
        <f>IF(popproj!N58-old!N58=0,"",(popproj!N58-old!N58)/old!N58)</f>
        <v/>
      </c>
      <c r="O58" s="2" t="str">
        <f>IF(popproj!O58-old!O58=0,"",(popproj!O58-old!O58)/old!O58)</f>
        <v/>
      </c>
      <c r="P58" s="2" t="str">
        <f>IF(popproj!P58-old!P58=0,"",(popproj!P58-old!P58)/old!P58)</f>
        <v/>
      </c>
      <c r="Q58" s="2" t="str">
        <f>IF(popproj!Q58-old!Q58=0,"",(popproj!Q58-old!Q58)/old!Q58)</f>
        <v/>
      </c>
      <c r="R58" s="2" t="str">
        <f>IF(popproj!R58-old!R58=0,"",(popproj!R58-old!R58)/old!R58)</f>
        <v/>
      </c>
      <c r="S58" s="2" t="str">
        <f>IF(popproj!S58-old!S58=0,"",(popproj!S58-old!S58)/old!S58)</f>
        <v/>
      </c>
      <c r="T58" s="2" t="str">
        <f>IF(popproj!T58-old!T58=0,"",(popproj!T58-old!T58)/old!T58)</f>
        <v/>
      </c>
      <c r="U58" s="2" t="str">
        <f>IF(popproj!U58-old!U58=0,"",(popproj!U58-old!U58)/old!U58)</f>
        <v/>
      </c>
      <c r="V58" s="2" t="str">
        <f>IF(popproj!V58-old!V58=0,"",(popproj!V58-old!V58)/old!V58)</f>
        <v/>
      </c>
      <c r="W58" s="2" t="str">
        <f>IF(popproj!W58-old!W58=0,"",(popproj!W58-old!W58)/old!W58)</f>
        <v/>
      </c>
      <c r="X58" s="2" t="str">
        <f>IF(popproj!X58-old!X58=0,"",(popproj!X58-old!X58)/old!X58)</f>
        <v/>
      </c>
      <c r="Y58" s="2" t="str">
        <f>IF(popproj!Y58-old!Y58=0,"",(popproj!Y58-old!Y58)/old!Y58)</f>
        <v/>
      </c>
      <c r="Z58" s="2" t="str">
        <f>IF(popproj!Z58-old!Z58=0,"",(popproj!Z58-old!Z58)/old!Z58)</f>
        <v/>
      </c>
      <c r="AA58" s="2" t="str">
        <f>IF(popproj!AA58-old!AA58=0,"",(popproj!AA58-old!AA58)/old!AA58)</f>
        <v/>
      </c>
      <c r="AB58" s="2" t="str">
        <f>IF(popproj!AB58-old!AB58=0,"",(popproj!AB58-old!AB58)/old!AB58)</f>
        <v/>
      </c>
      <c r="AC58" s="2" t="str">
        <f>IF(popproj!AC58-old!AC58=0,"",(popproj!AC58-old!AC58)/old!AC58)</f>
        <v/>
      </c>
      <c r="AD58" s="2" t="str">
        <f>IF(popproj!AD58-old!AD58=0,"",(popproj!AD58-old!AD58)/old!AD58)</f>
        <v/>
      </c>
      <c r="AE58" s="2" t="str">
        <f>IF(popproj!AE58-old!AE58=0,"",(popproj!AE58-old!AE58)/old!AE58)</f>
        <v/>
      </c>
      <c r="AF58" s="2" t="str">
        <f>IF(popproj!AF58-old!AF58=0,"",(popproj!AF58-old!AF58)/old!AF58)</f>
        <v/>
      </c>
      <c r="AG58" s="2">
        <f>IF(popproj!AG58-old!AG58=0,"",(popproj!AG58-old!AG58)/old!AG58)</f>
        <v>-1</v>
      </c>
      <c r="AH58" s="2">
        <f>IF(popproj!AH58-old!AH58=0,"",(popproj!AH58-old!AH58)/old!AH58)</f>
        <v>-1</v>
      </c>
      <c r="AI58" s="2">
        <f>IF(popproj!AI58-old!AI58=0,"",(popproj!AI58-old!AI58)/old!AI58)</f>
        <v>-1</v>
      </c>
      <c r="AJ58" s="2">
        <f>IF(popproj!AJ58-old!AJ58=0,"",(popproj!AJ58-old!AJ58)/old!AJ58)</f>
        <v>-1</v>
      </c>
      <c r="AK58" s="2">
        <f>IF(popproj!AK58-old!AK58=0,"",(popproj!AK58-old!AK58)/old!AK58)</f>
        <v>-1</v>
      </c>
      <c r="AL58" s="2">
        <f>IF(popproj!AL58-old!AL58=0,"",(popproj!AL58-old!AL58)/old!AL58)</f>
        <v>-1</v>
      </c>
      <c r="AM58" s="2">
        <f>IF(popproj!AM58-old!AM58=0,"",(popproj!AM58-old!AM58)/old!AM58)</f>
        <v>-1</v>
      </c>
      <c r="AN58" s="2">
        <f>IF(popproj!AN58-old!AN58=0,"",(popproj!AN58-old!AN58)/old!AN58)</f>
        <v>-1</v>
      </c>
      <c r="AO58" s="2">
        <f>IF(popproj!AO58-old!AO58=0,"",(popproj!AO58-old!AO58)/old!AO58)</f>
        <v>-1</v>
      </c>
      <c r="AP58" s="2">
        <f>IF(popproj!AP58-old!AP58=0,"",(popproj!AP58-old!AP58)/old!AP58)</f>
        <v>-1</v>
      </c>
      <c r="AQ58" s="2">
        <f>IF(popproj!AQ58-old!AQ58=0,"",(popproj!AQ58-old!AQ58)/old!AQ58)</f>
        <v>-1</v>
      </c>
      <c r="AR58" s="2">
        <f>IF(popproj!AR58-old!AR58=0,"",(popproj!AR58-old!AR58)/old!AR58)</f>
        <v>-1</v>
      </c>
      <c r="AS58" s="2">
        <f>IF(popproj!AS58-old!AS58=0,"",(popproj!AS58-old!AS58)/old!AS58)</f>
        <v>-1</v>
      </c>
      <c r="AT58" s="2">
        <f>IF(popproj!AT58-old!AT58=0,"",(popproj!AT58-old!AT58)/old!AT58)</f>
        <v>-1</v>
      </c>
      <c r="AU58" s="2">
        <f>IF(popproj!AU58-old!AU58=0,"",(popproj!AU58-old!AU58)/old!AU58)</f>
        <v>-1</v>
      </c>
      <c r="AV58" s="2">
        <f>IF(popproj!AV58-old!AV58=0,"",(popproj!AV58-old!AV58)/old!AV58)</f>
        <v>-1</v>
      </c>
      <c r="AW58" s="2">
        <f>IF(popproj!AW58-old!AW58=0,"",(popproj!AW58-old!AW58)/old!AW58)</f>
        <v>-1</v>
      </c>
      <c r="AX58" s="2">
        <f>IF(popproj!AX58-old!AX58=0,"",(popproj!AX58-old!AX58)/old!AX58)</f>
        <v>-1</v>
      </c>
      <c r="AY58" s="2">
        <f>IF(popproj!AY58-old!AY58=0,"",(popproj!AY58-old!AY58)/old!AY58)</f>
        <v>-1</v>
      </c>
      <c r="AZ58" s="2">
        <f>IF(popproj!AZ58-old!AZ58=0,"",(popproj!AZ58-old!AZ58)/old!AZ58)</f>
        <v>-1</v>
      </c>
      <c r="BA58" s="2">
        <f>IF(popproj!BA58-old!BA58=0,"",(popproj!BA58-old!BA58)/old!BA58)</f>
        <v>-1</v>
      </c>
      <c r="BB58" s="2">
        <f>IF(popproj!BB58-old!BB58=0,"",(popproj!BB58-old!BB58)/old!BB58)</f>
        <v>-1</v>
      </c>
      <c r="BC58" s="2">
        <f>IF(popproj!BC58-old!BC58=0,"",(popproj!BC58-old!BC58)/old!BC58)</f>
        <v>-1</v>
      </c>
      <c r="BD58" s="2">
        <f>IF(popproj!BD58-old!BD58=0,"",(popproj!BD58-old!BD58)/old!BD58)</f>
        <v>-1</v>
      </c>
      <c r="BE58" s="2">
        <f>IF(popproj!BE58-old!BE58=0,"",(popproj!BE58-old!BE58)/old!BE58)</f>
        <v>-1</v>
      </c>
      <c r="BF58" s="2">
        <f>IF(popproj!BF58-old!BF58=0,"",(popproj!BF58-old!BF58)/old!BF58)</f>
        <v>-1</v>
      </c>
      <c r="BG58" s="2">
        <f>IF(popproj!BG58-old!BG58=0,"",(popproj!BG58-old!BG58)/old!BG58)</f>
        <v>-1</v>
      </c>
      <c r="BH58" s="2">
        <f>IF(popproj!BH58-old!BH58=0,"",(popproj!BH58-old!BH58)/old!BH58)</f>
        <v>-1</v>
      </c>
      <c r="BI58" s="2">
        <f>IF(popproj!BI58-old!BI58=0,"",(popproj!BI58-old!BI58)/old!BI58)</f>
        <v>-1</v>
      </c>
      <c r="BJ58" s="2">
        <f>IF(popproj!BJ58-old!BJ58=0,"",(popproj!BJ58-old!BJ58)/old!BJ58)</f>
        <v>-1</v>
      </c>
      <c r="BK58" s="2">
        <f>IF(popproj!BK58-old!BK58=0,"",(popproj!BK58-old!BK58)/old!BK58)</f>
        <v>-1</v>
      </c>
      <c r="BL58" s="2">
        <f>IF(popproj!BL58-old!BL58=0,"",(popproj!BL58-old!BL58)/old!BL58)</f>
        <v>-1</v>
      </c>
      <c r="BM58" s="2">
        <f>IF(popproj!BM58-old!BM58=0,"",(popproj!BM58-old!BM58)/old!BM58)</f>
        <v>-1</v>
      </c>
      <c r="BN58" s="2">
        <f>IF(popproj!BN58-old!BN58=0,"",(popproj!BN58-old!BN58)/old!BN58)</f>
        <v>-1</v>
      </c>
      <c r="BO58" s="2">
        <f>IF(popproj!BO58-old!BO58=0,"",(popproj!BO58-old!BO58)/old!BO58)</f>
        <v>-1</v>
      </c>
    </row>
    <row r="59" spans="1:67" x14ac:dyDescent="0.2">
      <c r="A59" t="str">
        <f>popproj!A59</f>
        <v>US_POPAF</v>
      </c>
      <c r="B59" s="2"/>
      <c r="C59" s="2"/>
      <c r="D59" s="2">
        <f>IF(popproj!D59-old!D59=0,"",(popproj!D59-old!D59)/old!D59)</f>
        <v>-1</v>
      </c>
      <c r="E59" s="2" t="str">
        <f>IF(popproj!E59-old!E59=0,"",(popproj!E59-old!E59)/old!E59)</f>
        <v/>
      </c>
      <c r="F59" s="2" t="str">
        <f>IF(popproj!F59-old!F59=0,"",(popproj!F59-old!F59)/old!F59)</f>
        <v/>
      </c>
      <c r="G59" s="2" t="str">
        <f>IF(popproj!G59-old!G59=0,"",(popproj!G59-old!G59)/old!G59)</f>
        <v/>
      </c>
      <c r="H59" s="2" t="str">
        <f>IF(popproj!H59-old!H59=0,"",(popproj!H59-old!H59)/old!H59)</f>
        <v/>
      </c>
      <c r="I59" s="2" t="str">
        <f>IF(popproj!I59-old!I59=0,"",(popproj!I59-old!I59)/old!I59)</f>
        <v/>
      </c>
      <c r="J59" s="2" t="str">
        <f>IF(popproj!J59-old!J59=0,"",(popproj!J59-old!J59)/old!J59)</f>
        <v/>
      </c>
      <c r="K59" s="2" t="str">
        <f>IF(popproj!K59-old!K59=0,"",(popproj!K59-old!K59)/old!K59)</f>
        <v/>
      </c>
      <c r="L59" s="2" t="str">
        <f>IF(popproj!L59-old!L59=0,"",(popproj!L59-old!L59)/old!L59)</f>
        <v/>
      </c>
      <c r="M59" s="2" t="str">
        <f>IF(popproj!M59-old!M59=0,"",(popproj!M59-old!M59)/old!M59)</f>
        <v/>
      </c>
      <c r="N59" s="2" t="str">
        <f>IF(popproj!N59-old!N59=0,"",(popproj!N59-old!N59)/old!N59)</f>
        <v/>
      </c>
      <c r="O59" s="2" t="str">
        <f>IF(popproj!O59-old!O59=0,"",(popproj!O59-old!O59)/old!O59)</f>
        <v/>
      </c>
      <c r="P59" s="2" t="str">
        <f>IF(popproj!P59-old!P59=0,"",(popproj!P59-old!P59)/old!P59)</f>
        <v/>
      </c>
      <c r="Q59" s="2" t="str">
        <f>IF(popproj!Q59-old!Q59=0,"",(popproj!Q59-old!Q59)/old!Q59)</f>
        <v/>
      </c>
      <c r="R59" s="2" t="str">
        <f>IF(popproj!R59-old!R59=0,"",(popproj!R59-old!R59)/old!R59)</f>
        <v/>
      </c>
      <c r="S59" s="2" t="str">
        <f>IF(popproj!S59-old!S59=0,"",(popproj!S59-old!S59)/old!S59)</f>
        <v/>
      </c>
      <c r="T59" s="2" t="str">
        <f>IF(popproj!T59-old!T59=0,"",(popproj!T59-old!T59)/old!T59)</f>
        <v/>
      </c>
      <c r="U59" s="2" t="str">
        <f>IF(popproj!U59-old!U59=0,"",(popproj!U59-old!U59)/old!U59)</f>
        <v/>
      </c>
      <c r="V59" s="2" t="str">
        <f>IF(popproj!V59-old!V59=0,"",(popproj!V59-old!V59)/old!V59)</f>
        <v/>
      </c>
      <c r="W59" s="2" t="str">
        <f>IF(popproj!W59-old!W59=0,"",(popproj!W59-old!W59)/old!W59)</f>
        <v/>
      </c>
      <c r="X59" s="2" t="str">
        <f>IF(popproj!X59-old!X59=0,"",(popproj!X59-old!X59)/old!X59)</f>
        <v/>
      </c>
      <c r="Y59" s="2" t="str">
        <f>IF(popproj!Y59-old!Y59=0,"",(popproj!Y59-old!Y59)/old!Y59)</f>
        <v/>
      </c>
      <c r="Z59" s="2" t="str">
        <f>IF(popproj!Z59-old!Z59=0,"",(popproj!Z59-old!Z59)/old!Z59)</f>
        <v/>
      </c>
      <c r="AA59" s="2" t="str">
        <f>IF(popproj!AA59-old!AA59=0,"",(popproj!AA59-old!AA59)/old!AA59)</f>
        <v/>
      </c>
      <c r="AB59" s="2" t="str">
        <f>IF(popproj!AB59-old!AB59=0,"",(popproj!AB59-old!AB59)/old!AB59)</f>
        <v/>
      </c>
      <c r="AC59" s="2" t="str">
        <f>IF(popproj!AC59-old!AC59=0,"",(popproj!AC59-old!AC59)/old!AC59)</f>
        <v/>
      </c>
      <c r="AD59" s="2" t="str">
        <f>IF(popproj!AD59-old!AD59=0,"",(popproj!AD59-old!AD59)/old!AD59)</f>
        <v/>
      </c>
      <c r="AE59" s="2" t="str">
        <f>IF(popproj!AE59-old!AE59=0,"",(popproj!AE59-old!AE59)/old!AE59)</f>
        <v/>
      </c>
      <c r="AF59" s="2" t="str">
        <f>IF(popproj!AF59-old!AF59=0,"",(popproj!AF59-old!AF59)/old!AF59)</f>
        <v/>
      </c>
      <c r="AG59" s="2">
        <f>IF(popproj!AG59-old!AG59=0,"",(popproj!AG59-old!AG59)/old!AG59)</f>
        <v>-1</v>
      </c>
      <c r="AH59" s="2">
        <f>IF(popproj!AH59-old!AH59=0,"",(popproj!AH59-old!AH59)/old!AH59)</f>
        <v>-1</v>
      </c>
      <c r="AI59" s="2">
        <f>IF(popproj!AI59-old!AI59=0,"",(popproj!AI59-old!AI59)/old!AI59)</f>
        <v>-1</v>
      </c>
      <c r="AJ59" s="2">
        <f>IF(popproj!AJ59-old!AJ59=0,"",(popproj!AJ59-old!AJ59)/old!AJ59)</f>
        <v>-1</v>
      </c>
      <c r="AK59" s="2">
        <f>IF(popproj!AK59-old!AK59=0,"",(popproj!AK59-old!AK59)/old!AK59)</f>
        <v>-1</v>
      </c>
      <c r="AL59" s="2">
        <f>IF(popproj!AL59-old!AL59=0,"",(popproj!AL59-old!AL59)/old!AL59)</f>
        <v>-1</v>
      </c>
      <c r="AM59" s="2">
        <f>IF(popproj!AM59-old!AM59=0,"",(popproj!AM59-old!AM59)/old!AM59)</f>
        <v>-1</v>
      </c>
      <c r="AN59" s="2">
        <f>IF(popproj!AN59-old!AN59=0,"",(popproj!AN59-old!AN59)/old!AN59)</f>
        <v>-1</v>
      </c>
      <c r="AO59" s="2">
        <f>IF(popproj!AO59-old!AO59=0,"",(popproj!AO59-old!AO59)/old!AO59)</f>
        <v>-1</v>
      </c>
      <c r="AP59" s="2">
        <f>IF(popproj!AP59-old!AP59=0,"",(popproj!AP59-old!AP59)/old!AP59)</f>
        <v>-1</v>
      </c>
      <c r="AQ59" s="2">
        <f>IF(popproj!AQ59-old!AQ59=0,"",(popproj!AQ59-old!AQ59)/old!AQ59)</f>
        <v>-1</v>
      </c>
      <c r="AR59" s="2">
        <f>IF(popproj!AR59-old!AR59=0,"",(popproj!AR59-old!AR59)/old!AR59)</f>
        <v>-1</v>
      </c>
      <c r="AS59" s="2">
        <f>IF(popproj!AS59-old!AS59=0,"",(popproj!AS59-old!AS59)/old!AS59)</f>
        <v>-1</v>
      </c>
      <c r="AT59" s="2">
        <f>IF(popproj!AT59-old!AT59=0,"",(popproj!AT59-old!AT59)/old!AT59)</f>
        <v>-1</v>
      </c>
      <c r="AU59" s="2">
        <f>IF(popproj!AU59-old!AU59=0,"",(popproj!AU59-old!AU59)/old!AU59)</f>
        <v>-1</v>
      </c>
      <c r="AV59" s="2">
        <f>IF(popproj!AV59-old!AV59=0,"",(popproj!AV59-old!AV59)/old!AV59)</f>
        <v>-1</v>
      </c>
      <c r="AW59" s="2">
        <f>IF(popproj!AW59-old!AW59=0,"",(popproj!AW59-old!AW59)/old!AW59)</f>
        <v>-1</v>
      </c>
      <c r="AX59" s="2">
        <f>IF(popproj!AX59-old!AX59=0,"",(popproj!AX59-old!AX59)/old!AX59)</f>
        <v>-1</v>
      </c>
      <c r="AY59" s="2">
        <f>IF(popproj!AY59-old!AY59=0,"",(popproj!AY59-old!AY59)/old!AY59)</f>
        <v>-1</v>
      </c>
      <c r="AZ59" s="2">
        <f>IF(popproj!AZ59-old!AZ59=0,"",(popproj!AZ59-old!AZ59)/old!AZ59)</f>
        <v>-1</v>
      </c>
      <c r="BA59" s="2">
        <f>IF(popproj!BA59-old!BA59=0,"",(popproj!BA59-old!BA59)/old!BA59)</f>
        <v>-1</v>
      </c>
      <c r="BB59" s="2">
        <f>IF(popproj!BB59-old!BB59=0,"",(popproj!BB59-old!BB59)/old!BB59)</f>
        <v>-1</v>
      </c>
      <c r="BC59" s="2">
        <f>IF(popproj!BC59-old!BC59=0,"",(popproj!BC59-old!BC59)/old!BC59)</f>
        <v>-1</v>
      </c>
      <c r="BD59" s="2">
        <f>IF(popproj!BD59-old!BD59=0,"",(popproj!BD59-old!BD59)/old!BD59)</f>
        <v>-1</v>
      </c>
      <c r="BE59" s="2">
        <f>IF(popproj!BE59-old!BE59=0,"",(popproj!BE59-old!BE59)/old!BE59)</f>
        <v>-1</v>
      </c>
      <c r="BF59" s="2">
        <f>IF(popproj!BF59-old!BF59=0,"",(popproj!BF59-old!BF59)/old!BF59)</f>
        <v>-1</v>
      </c>
      <c r="BG59" s="2">
        <f>IF(popproj!BG59-old!BG59=0,"",(popproj!BG59-old!BG59)/old!BG59)</f>
        <v>-1</v>
      </c>
      <c r="BH59" s="2">
        <f>IF(popproj!BH59-old!BH59=0,"",(popproj!BH59-old!BH59)/old!BH59)</f>
        <v>-1</v>
      </c>
      <c r="BI59" s="2">
        <f>IF(popproj!BI59-old!BI59=0,"",(popproj!BI59-old!BI59)/old!BI59)</f>
        <v>-1</v>
      </c>
      <c r="BJ59" s="2">
        <f>IF(popproj!BJ59-old!BJ59=0,"",(popproj!BJ59-old!BJ59)/old!BJ59)</f>
        <v>-1</v>
      </c>
      <c r="BK59" s="2">
        <f>IF(popproj!BK59-old!BK59=0,"",(popproj!BK59-old!BK59)/old!BK59)</f>
        <v>-1</v>
      </c>
      <c r="BL59" s="2">
        <f>IF(popproj!BL59-old!BL59=0,"",(popproj!BL59-old!BL59)/old!BL59)</f>
        <v>-1</v>
      </c>
      <c r="BM59" s="2">
        <f>IF(popproj!BM59-old!BM59=0,"",(popproj!BM59-old!BM59)/old!BM59)</f>
        <v>-1</v>
      </c>
      <c r="BN59" s="2">
        <f>IF(popproj!BN59-old!BN59=0,"",(popproj!BN59-old!BN59)/old!BN59)</f>
        <v>-1</v>
      </c>
      <c r="BO59" s="2">
        <f>IF(popproj!BO59-old!BO59=0,"",(popproj!BO59-old!BO59)/old!BO59)</f>
        <v>-1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0825-4199-4B43-A60F-F0703C347E68}">
  <sheetPr codeName="Sheet5"/>
  <dimension ref="A6:O16"/>
  <sheetViews>
    <sheetView showGridLines="0" workbookViewId="0"/>
  </sheetViews>
  <sheetFormatPr defaultRowHeight="15" x14ac:dyDescent="0.25"/>
  <cols>
    <col min="1" max="1" width="17.375" style="8" customWidth="1"/>
    <col min="2" max="2" width="7.75" style="8" customWidth="1"/>
    <col min="3" max="3" width="12.625" style="8" customWidth="1"/>
    <col min="4" max="4" width="14.75" style="8" customWidth="1"/>
    <col min="5" max="5" width="17.375" style="8" customWidth="1"/>
    <col min="6" max="16384" width="9" style="8"/>
  </cols>
  <sheetData>
    <row r="6" spans="1:15" x14ac:dyDescent="0.25">
      <c r="A6" s="11" t="s">
        <v>142</v>
      </c>
    </row>
    <row r="7" spans="1:15" x14ac:dyDescent="0.25">
      <c r="A7" s="14" t="s">
        <v>141</v>
      </c>
      <c r="B7" s="14" t="s">
        <v>140</v>
      </c>
    </row>
    <row r="8" spans="1:15" ht="42.75" customHeight="1" x14ac:dyDescent="0.25">
      <c r="A8" s="13" t="s">
        <v>139</v>
      </c>
      <c r="B8" s="28" t="s">
        <v>138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10" spans="1:15" x14ac:dyDescent="0.25">
      <c r="A10" s="9" t="s">
        <v>137</v>
      </c>
      <c r="D10" s="9" t="s">
        <v>135</v>
      </c>
    </row>
    <row r="11" spans="1:15" x14ac:dyDescent="0.25">
      <c r="A11" s="9" t="s">
        <v>136</v>
      </c>
      <c r="D11" s="9" t="s">
        <v>135</v>
      </c>
    </row>
    <row r="13" spans="1:15" x14ac:dyDescent="0.25">
      <c r="B13" s="12" t="s">
        <v>134</v>
      </c>
    </row>
    <row r="14" spans="1:15" x14ac:dyDescent="0.25">
      <c r="C14" s="9" t="s">
        <v>133</v>
      </c>
    </row>
    <row r="15" spans="1:15" x14ac:dyDescent="0.25">
      <c r="B15" s="11" t="s">
        <v>132</v>
      </c>
      <c r="C15" s="11" t="s">
        <v>131</v>
      </c>
      <c r="D15" s="11" t="s">
        <v>130</v>
      </c>
    </row>
    <row r="16" spans="1:15" x14ac:dyDescent="0.25">
      <c r="B16" s="10" t="s">
        <v>129</v>
      </c>
      <c r="C16" s="9" t="s">
        <v>128</v>
      </c>
      <c r="D16" s="9" t="s">
        <v>127</v>
      </c>
    </row>
  </sheetData>
  <mergeCells count="1">
    <mergeCell ref="B8:O8"/>
  </mergeCells>
  <hyperlinks>
    <hyperlink ref="A7" r:id="rId1" xr:uid="{EB2A76F1-644C-4D9B-94B0-8F1497F636C9}"/>
    <hyperlink ref="B7" r:id="rId2" xr:uid="{D931F9D5-3765-42B3-9BF2-69BCF4C2E442}"/>
    <hyperlink ref="B16" location="'Sheet 1'!A1" display="Sheet 1" xr:uid="{EA98834A-4388-40B1-9646-92DD51EA8708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B36A-BA33-4EB8-8067-47C7D6D8519A}">
  <sheetPr codeName="Sheet6"/>
  <dimension ref="A1:C62"/>
  <sheetViews>
    <sheetView showGridLines="0" workbookViewId="0"/>
  </sheetViews>
  <sheetFormatPr defaultRowHeight="15" x14ac:dyDescent="0.25"/>
  <cols>
    <col min="1" max="1" width="9" style="8"/>
    <col min="2" max="5" width="69.75" style="8" customWidth="1"/>
    <col min="6" max="16384" width="9" style="8"/>
  </cols>
  <sheetData>
    <row r="1" spans="1:3" x14ac:dyDescent="0.25">
      <c r="A1" s="12" t="s">
        <v>178</v>
      </c>
    </row>
    <row r="2" spans="1:3" x14ac:dyDescent="0.25">
      <c r="B2" s="17" t="s">
        <v>177</v>
      </c>
      <c r="C2" s="17" t="s">
        <v>176</v>
      </c>
    </row>
    <row r="3" spans="1:3" x14ac:dyDescent="0.25">
      <c r="B3" s="16" t="s">
        <v>175</v>
      </c>
      <c r="C3" s="16" t="s">
        <v>175</v>
      </c>
    </row>
    <row r="4" spans="1:3" x14ac:dyDescent="0.25">
      <c r="B4" s="9" t="s">
        <v>131</v>
      </c>
      <c r="C4" s="9" t="s">
        <v>128</v>
      </c>
    </row>
    <row r="5" spans="1:3" x14ac:dyDescent="0.25">
      <c r="B5" s="15" t="s">
        <v>173</v>
      </c>
      <c r="C5" s="15" t="s">
        <v>174</v>
      </c>
    </row>
    <row r="6" spans="1:3" x14ac:dyDescent="0.25">
      <c r="B6" s="9" t="s">
        <v>173</v>
      </c>
      <c r="C6" s="9" t="s">
        <v>172</v>
      </c>
    </row>
    <row r="7" spans="1:3" x14ac:dyDescent="0.25">
      <c r="B7" s="15" t="s">
        <v>130</v>
      </c>
      <c r="C7" s="15" t="s">
        <v>127</v>
      </c>
    </row>
    <row r="8" spans="1:3" x14ac:dyDescent="0.25">
      <c r="B8" s="9" t="s">
        <v>145</v>
      </c>
      <c r="C8" s="9" t="s">
        <v>171</v>
      </c>
    </row>
    <row r="9" spans="1:3" x14ac:dyDescent="0.25">
      <c r="B9" s="15" t="s">
        <v>145</v>
      </c>
      <c r="C9" s="15" t="s">
        <v>170</v>
      </c>
    </row>
    <row r="10" spans="1:3" x14ac:dyDescent="0.25">
      <c r="B10" s="9" t="s">
        <v>145</v>
      </c>
      <c r="C10" s="9" t="s">
        <v>169</v>
      </c>
    </row>
    <row r="11" spans="1:3" x14ac:dyDescent="0.25">
      <c r="B11" s="15" t="s">
        <v>145</v>
      </c>
      <c r="C11" s="15" t="s">
        <v>168</v>
      </c>
    </row>
    <row r="12" spans="1:3" x14ac:dyDescent="0.25">
      <c r="B12" s="9" t="s">
        <v>145</v>
      </c>
      <c r="C12" s="9" t="s">
        <v>167</v>
      </c>
    </row>
    <row r="13" spans="1:3" x14ac:dyDescent="0.25">
      <c r="B13" s="15" t="s">
        <v>145</v>
      </c>
      <c r="C13" s="15" t="s">
        <v>166</v>
      </c>
    </row>
    <row r="14" spans="1:3" x14ac:dyDescent="0.25">
      <c r="B14" s="9" t="s">
        <v>145</v>
      </c>
      <c r="C14" s="9" t="s">
        <v>165</v>
      </c>
    </row>
    <row r="15" spans="1:3" x14ac:dyDescent="0.25">
      <c r="B15" s="15" t="s">
        <v>145</v>
      </c>
      <c r="C15" s="15" t="s">
        <v>164</v>
      </c>
    </row>
    <row r="16" spans="1:3" x14ac:dyDescent="0.25">
      <c r="B16" s="9" t="s">
        <v>145</v>
      </c>
      <c r="C16" s="9" t="s">
        <v>163</v>
      </c>
    </row>
    <row r="17" spans="2:3" x14ac:dyDescent="0.25">
      <c r="B17" s="15" t="s">
        <v>145</v>
      </c>
      <c r="C17" s="15" t="s">
        <v>162</v>
      </c>
    </row>
    <row r="18" spans="2:3" x14ac:dyDescent="0.25">
      <c r="B18" s="9" t="s">
        <v>145</v>
      </c>
      <c r="C18" s="9" t="s">
        <v>161</v>
      </c>
    </row>
    <row r="19" spans="2:3" x14ac:dyDescent="0.25">
      <c r="B19" s="15" t="s">
        <v>145</v>
      </c>
      <c r="C19" s="15" t="s">
        <v>160</v>
      </c>
    </row>
    <row r="20" spans="2:3" x14ac:dyDescent="0.25">
      <c r="B20" s="9" t="s">
        <v>145</v>
      </c>
      <c r="C20" s="9" t="s">
        <v>159</v>
      </c>
    </row>
    <row r="21" spans="2:3" x14ac:dyDescent="0.25">
      <c r="B21" s="15" t="s">
        <v>145</v>
      </c>
      <c r="C21" s="15" t="s">
        <v>158</v>
      </c>
    </row>
    <row r="22" spans="2:3" x14ac:dyDescent="0.25">
      <c r="B22" s="9" t="s">
        <v>145</v>
      </c>
      <c r="C22" s="9" t="s">
        <v>157</v>
      </c>
    </row>
    <row r="23" spans="2:3" x14ac:dyDescent="0.25">
      <c r="B23" s="15" t="s">
        <v>145</v>
      </c>
      <c r="C23" s="15" t="s">
        <v>156</v>
      </c>
    </row>
    <row r="24" spans="2:3" x14ac:dyDescent="0.25">
      <c r="B24" s="9" t="s">
        <v>145</v>
      </c>
      <c r="C24" s="9" t="s">
        <v>155</v>
      </c>
    </row>
    <row r="25" spans="2:3" x14ac:dyDescent="0.25">
      <c r="B25" s="15" t="s">
        <v>145</v>
      </c>
      <c r="C25" s="15" t="s">
        <v>154</v>
      </c>
    </row>
    <row r="26" spans="2:3" x14ac:dyDescent="0.25">
      <c r="B26" s="9" t="s">
        <v>145</v>
      </c>
      <c r="C26" s="9" t="s">
        <v>153</v>
      </c>
    </row>
    <row r="27" spans="2:3" x14ac:dyDescent="0.25">
      <c r="B27" s="15" t="s">
        <v>145</v>
      </c>
      <c r="C27" s="15" t="s">
        <v>152</v>
      </c>
    </row>
    <row r="28" spans="2:3" x14ac:dyDescent="0.25">
      <c r="B28" s="9" t="s">
        <v>145</v>
      </c>
      <c r="C28" s="9" t="s">
        <v>151</v>
      </c>
    </row>
    <row r="29" spans="2:3" x14ac:dyDescent="0.25">
      <c r="B29" s="15" t="s">
        <v>145</v>
      </c>
      <c r="C29" s="15" t="s">
        <v>150</v>
      </c>
    </row>
    <row r="30" spans="2:3" x14ac:dyDescent="0.25">
      <c r="B30" s="9" t="s">
        <v>145</v>
      </c>
      <c r="C30" s="9" t="s">
        <v>149</v>
      </c>
    </row>
    <row r="31" spans="2:3" x14ac:dyDescent="0.25">
      <c r="B31" s="15" t="s">
        <v>145</v>
      </c>
      <c r="C31" s="15" t="s">
        <v>148</v>
      </c>
    </row>
    <row r="32" spans="2:3" x14ac:dyDescent="0.25">
      <c r="B32" s="9" t="s">
        <v>145</v>
      </c>
      <c r="C32" s="9" t="s">
        <v>147</v>
      </c>
    </row>
    <row r="33" spans="2:3" x14ac:dyDescent="0.25">
      <c r="B33" s="15" t="s">
        <v>145</v>
      </c>
      <c r="C33" s="15" t="s">
        <v>146</v>
      </c>
    </row>
    <row r="34" spans="2:3" x14ac:dyDescent="0.25">
      <c r="B34" s="9" t="s">
        <v>145</v>
      </c>
      <c r="C34" s="9" t="s">
        <v>144</v>
      </c>
    </row>
    <row r="35" spans="2:3" x14ac:dyDescent="0.25">
      <c r="B35" s="15" t="s">
        <v>143</v>
      </c>
      <c r="C35" s="15" t="s">
        <v>60</v>
      </c>
    </row>
    <row r="36" spans="2:3" x14ac:dyDescent="0.25">
      <c r="B36" s="9" t="s">
        <v>143</v>
      </c>
      <c r="C36" s="9" t="s">
        <v>61</v>
      </c>
    </row>
    <row r="37" spans="2:3" x14ac:dyDescent="0.25">
      <c r="B37" s="15" t="s">
        <v>143</v>
      </c>
      <c r="C37" s="15" t="s">
        <v>62</v>
      </c>
    </row>
    <row r="38" spans="2:3" x14ac:dyDescent="0.25">
      <c r="B38" s="9" t="s">
        <v>143</v>
      </c>
      <c r="C38" s="9" t="s">
        <v>63</v>
      </c>
    </row>
    <row r="39" spans="2:3" x14ac:dyDescent="0.25">
      <c r="B39" s="15" t="s">
        <v>143</v>
      </c>
      <c r="C39" s="15" t="s">
        <v>64</v>
      </c>
    </row>
    <row r="40" spans="2:3" x14ac:dyDescent="0.25">
      <c r="B40" s="9" t="s">
        <v>143</v>
      </c>
      <c r="C40" s="9" t="s">
        <v>65</v>
      </c>
    </row>
    <row r="41" spans="2:3" x14ac:dyDescent="0.25">
      <c r="B41" s="15" t="s">
        <v>143</v>
      </c>
      <c r="C41" s="15" t="s">
        <v>66</v>
      </c>
    </row>
    <row r="42" spans="2:3" x14ac:dyDescent="0.25">
      <c r="B42" s="9" t="s">
        <v>143</v>
      </c>
      <c r="C42" s="9" t="s">
        <v>67</v>
      </c>
    </row>
    <row r="43" spans="2:3" x14ac:dyDescent="0.25">
      <c r="B43" s="15" t="s">
        <v>143</v>
      </c>
      <c r="C43" s="15" t="s">
        <v>68</v>
      </c>
    </row>
    <row r="44" spans="2:3" x14ac:dyDescent="0.25">
      <c r="B44" s="9" t="s">
        <v>143</v>
      </c>
      <c r="C44" s="9" t="s">
        <v>69</v>
      </c>
    </row>
    <row r="45" spans="2:3" x14ac:dyDescent="0.25">
      <c r="B45" s="15" t="s">
        <v>143</v>
      </c>
      <c r="C45" s="15" t="s">
        <v>70</v>
      </c>
    </row>
    <row r="46" spans="2:3" x14ac:dyDescent="0.25">
      <c r="B46" s="9" t="s">
        <v>143</v>
      </c>
      <c r="C46" s="9" t="s">
        <v>71</v>
      </c>
    </row>
    <row r="47" spans="2:3" x14ac:dyDescent="0.25">
      <c r="B47" s="15" t="s">
        <v>143</v>
      </c>
      <c r="C47" s="15" t="s">
        <v>72</v>
      </c>
    </row>
    <row r="48" spans="2:3" x14ac:dyDescent="0.25">
      <c r="B48" s="9" t="s">
        <v>143</v>
      </c>
      <c r="C48" s="9" t="s">
        <v>73</v>
      </c>
    </row>
    <row r="49" spans="2:3" x14ac:dyDescent="0.25">
      <c r="B49" s="15" t="s">
        <v>143</v>
      </c>
      <c r="C49" s="15" t="s">
        <v>74</v>
      </c>
    </row>
    <row r="50" spans="2:3" x14ac:dyDescent="0.25">
      <c r="B50" s="9" t="s">
        <v>143</v>
      </c>
      <c r="C50" s="9" t="s">
        <v>75</v>
      </c>
    </row>
    <row r="51" spans="2:3" x14ac:dyDescent="0.25">
      <c r="B51" s="15" t="s">
        <v>143</v>
      </c>
      <c r="C51" s="15" t="s">
        <v>76</v>
      </c>
    </row>
    <row r="52" spans="2:3" x14ac:dyDescent="0.25">
      <c r="B52" s="9" t="s">
        <v>143</v>
      </c>
      <c r="C52" s="9" t="s">
        <v>77</v>
      </c>
    </row>
    <row r="53" spans="2:3" x14ac:dyDescent="0.25">
      <c r="B53" s="15" t="s">
        <v>143</v>
      </c>
      <c r="C53" s="15" t="s">
        <v>78</v>
      </c>
    </row>
    <row r="54" spans="2:3" x14ac:dyDescent="0.25">
      <c r="B54" s="9" t="s">
        <v>143</v>
      </c>
      <c r="C54" s="9" t="s">
        <v>79</v>
      </c>
    </row>
    <row r="55" spans="2:3" x14ac:dyDescent="0.25">
      <c r="B55" s="15" t="s">
        <v>143</v>
      </c>
      <c r="C55" s="15" t="s">
        <v>80</v>
      </c>
    </row>
    <row r="56" spans="2:3" x14ac:dyDescent="0.25">
      <c r="B56" s="9" t="s">
        <v>143</v>
      </c>
      <c r="C56" s="9" t="s">
        <v>81</v>
      </c>
    </row>
    <row r="57" spans="2:3" x14ac:dyDescent="0.25">
      <c r="B57" s="15" t="s">
        <v>143</v>
      </c>
      <c r="C57" s="15" t="s">
        <v>82</v>
      </c>
    </row>
    <row r="58" spans="2:3" x14ac:dyDescent="0.25">
      <c r="B58" s="9" t="s">
        <v>143</v>
      </c>
      <c r="C58" s="9" t="s">
        <v>83</v>
      </c>
    </row>
    <row r="59" spans="2:3" x14ac:dyDescent="0.25">
      <c r="B59" s="15" t="s">
        <v>143</v>
      </c>
      <c r="C59" s="15" t="s">
        <v>84</v>
      </c>
    </row>
    <row r="60" spans="2:3" x14ac:dyDescent="0.25">
      <c r="B60" s="9" t="s">
        <v>143</v>
      </c>
      <c r="C60" s="9" t="s">
        <v>85</v>
      </c>
    </row>
    <row r="61" spans="2:3" x14ac:dyDescent="0.25">
      <c r="B61" s="15" t="s">
        <v>143</v>
      </c>
      <c r="C61" s="15" t="s">
        <v>86</v>
      </c>
    </row>
    <row r="62" spans="2:3" x14ac:dyDescent="0.25">
      <c r="B62" s="9" t="s">
        <v>143</v>
      </c>
      <c r="C62" s="9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D348-752E-4465-B1E7-D285FAEC60EA}">
  <sheetPr codeName="Sheet7"/>
  <dimension ref="A1:AF66"/>
  <sheetViews>
    <sheetView workbookViewId="0">
      <pane xSplit="2" ySplit="9" topLeftCell="C10" activePane="bottomRight" state="frozen"/>
      <selection pane="topRight"/>
      <selection pane="bottomLeft"/>
      <selection pane="bottomRight" activeCell="E10" sqref="E10"/>
    </sheetView>
  </sheetViews>
  <sheetFormatPr defaultRowHeight="11.45" customHeight="1" x14ac:dyDescent="0.25"/>
  <cols>
    <col min="1" max="1" width="26.125" style="8" customWidth="1"/>
    <col min="2" max="4" width="10.5" style="8" customWidth="1"/>
    <col min="5" max="32" width="8.75" style="8" customWidth="1"/>
    <col min="33" max="16384" width="9" style="8"/>
  </cols>
  <sheetData>
    <row r="1" spans="1:32" x14ac:dyDescent="0.25">
      <c r="A1" s="9" t="s">
        <v>188</v>
      </c>
    </row>
    <row r="2" spans="1:32" x14ac:dyDescent="0.25">
      <c r="A2" s="9" t="s">
        <v>187</v>
      </c>
      <c r="B2" s="12" t="s">
        <v>142</v>
      </c>
      <c r="C2" s="12"/>
      <c r="D2" s="12"/>
    </row>
    <row r="3" spans="1:32" x14ac:dyDescent="0.25">
      <c r="A3" s="9" t="s">
        <v>186</v>
      </c>
      <c r="B3" s="9" t="s">
        <v>135</v>
      </c>
      <c r="C3" s="9"/>
      <c r="D3" s="9"/>
    </row>
    <row r="4" spans="1:32" x14ac:dyDescent="0.25"/>
    <row r="5" spans="1:32" x14ac:dyDescent="0.25">
      <c r="A5" s="12" t="s">
        <v>131</v>
      </c>
      <c r="E5" s="9" t="s">
        <v>128</v>
      </c>
    </row>
    <row r="6" spans="1:32" x14ac:dyDescent="0.25">
      <c r="A6" s="12" t="s">
        <v>130</v>
      </c>
      <c r="E6" s="9" t="s">
        <v>127</v>
      </c>
    </row>
    <row r="7" spans="1:32" x14ac:dyDescent="0.25"/>
    <row r="8" spans="1:32" x14ac:dyDescent="0.25">
      <c r="A8" s="30" t="s">
        <v>185</v>
      </c>
      <c r="B8" s="30" t="s">
        <v>185</v>
      </c>
      <c r="C8" s="24"/>
      <c r="D8" s="24"/>
      <c r="E8" s="23" t="s">
        <v>60</v>
      </c>
      <c r="F8" s="23" t="s">
        <v>61</v>
      </c>
      <c r="G8" s="23" t="s">
        <v>62</v>
      </c>
      <c r="H8" s="23" t="s">
        <v>63</v>
      </c>
      <c r="I8" s="23" t="s">
        <v>64</v>
      </c>
      <c r="J8" s="23" t="s">
        <v>65</v>
      </c>
      <c r="K8" s="23" t="s">
        <v>66</v>
      </c>
      <c r="L8" s="23" t="s">
        <v>67</v>
      </c>
      <c r="M8" s="23" t="s">
        <v>68</v>
      </c>
      <c r="N8" s="23" t="s">
        <v>69</v>
      </c>
      <c r="O8" s="23" t="s">
        <v>70</v>
      </c>
      <c r="P8" s="23" t="s">
        <v>71</v>
      </c>
      <c r="Q8" s="23" t="s">
        <v>72</v>
      </c>
      <c r="R8" s="23" t="s">
        <v>73</v>
      </c>
      <c r="S8" s="23" t="s">
        <v>74</v>
      </c>
      <c r="T8" s="23" t="s">
        <v>75</v>
      </c>
      <c r="U8" s="23" t="s">
        <v>76</v>
      </c>
      <c r="V8" s="23" t="s">
        <v>77</v>
      </c>
      <c r="W8" s="23" t="s">
        <v>78</v>
      </c>
      <c r="X8" s="23" t="s">
        <v>79</v>
      </c>
      <c r="Y8" s="23" t="s">
        <v>80</v>
      </c>
      <c r="Z8" s="23" t="s">
        <v>81</v>
      </c>
      <c r="AA8" s="23" t="s">
        <v>82</v>
      </c>
      <c r="AB8" s="23" t="s">
        <v>83</v>
      </c>
      <c r="AC8" s="23" t="s">
        <v>84</v>
      </c>
      <c r="AD8" s="23" t="s">
        <v>85</v>
      </c>
      <c r="AE8" s="23" t="s">
        <v>86</v>
      </c>
      <c r="AF8" s="23" t="s">
        <v>87</v>
      </c>
    </row>
    <row r="9" spans="1:32" x14ac:dyDescent="0.25">
      <c r="A9" s="22" t="s">
        <v>184</v>
      </c>
      <c r="B9" s="22" t="s">
        <v>183</v>
      </c>
      <c r="C9" s="25"/>
      <c r="D9" s="25"/>
      <c r="E9" s="21" t="s">
        <v>182</v>
      </c>
      <c r="F9" s="21" t="s">
        <v>182</v>
      </c>
      <c r="G9" s="21" t="s">
        <v>182</v>
      </c>
      <c r="H9" s="21" t="s">
        <v>182</v>
      </c>
      <c r="I9" s="21" t="s">
        <v>182</v>
      </c>
      <c r="J9" s="21" t="s">
        <v>182</v>
      </c>
      <c r="K9" s="21" t="s">
        <v>182</v>
      </c>
      <c r="L9" s="21" t="s">
        <v>182</v>
      </c>
      <c r="M9" s="21" t="s">
        <v>182</v>
      </c>
      <c r="N9" s="21" t="s">
        <v>182</v>
      </c>
      <c r="O9" s="21" t="s">
        <v>182</v>
      </c>
      <c r="P9" s="21" t="s">
        <v>182</v>
      </c>
      <c r="Q9" s="21" t="s">
        <v>182</v>
      </c>
      <c r="R9" s="21" t="s">
        <v>182</v>
      </c>
      <c r="S9" s="21" t="s">
        <v>182</v>
      </c>
      <c r="T9" s="21" t="s">
        <v>182</v>
      </c>
      <c r="U9" s="21" t="s">
        <v>182</v>
      </c>
      <c r="V9" s="21" t="s">
        <v>182</v>
      </c>
      <c r="W9" s="21" t="s">
        <v>182</v>
      </c>
      <c r="X9" s="21" t="s">
        <v>182</v>
      </c>
      <c r="Y9" s="21" t="s">
        <v>182</v>
      </c>
      <c r="Z9" s="21" t="s">
        <v>182</v>
      </c>
      <c r="AA9" s="21" t="s">
        <v>182</v>
      </c>
      <c r="AB9" s="21" t="s">
        <v>182</v>
      </c>
      <c r="AC9" s="21" t="s">
        <v>182</v>
      </c>
      <c r="AD9" s="21" t="s">
        <v>182</v>
      </c>
      <c r="AE9" s="21" t="s">
        <v>182</v>
      </c>
      <c r="AF9" s="21" t="s">
        <v>182</v>
      </c>
    </row>
    <row r="10" spans="1:32" x14ac:dyDescent="0.25">
      <c r="A10" s="19" t="s">
        <v>174</v>
      </c>
      <c r="B10" s="19" t="s">
        <v>171</v>
      </c>
      <c r="C10" s="26" t="s">
        <v>189</v>
      </c>
      <c r="D10" s="26" t="str">
        <f>C10&amp;"_POPTF"</f>
        <v>BE_POPTF</v>
      </c>
      <c r="E10" s="20">
        <v>11742796</v>
      </c>
      <c r="F10" s="20">
        <v>11832049</v>
      </c>
      <c r="G10" s="20">
        <v>11911715</v>
      </c>
      <c r="H10" s="20">
        <v>11964462</v>
      </c>
      <c r="I10" s="20">
        <v>12010844</v>
      </c>
      <c r="J10" s="20">
        <v>12050723</v>
      </c>
      <c r="K10" s="20">
        <v>12088569</v>
      </c>
      <c r="L10" s="20">
        <v>12125941</v>
      </c>
      <c r="M10" s="20">
        <v>12162415</v>
      </c>
      <c r="N10" s="20">
        <v>12197829</v>
      </c>
      <c r="O10" s="20">
        <v>12232397</v>
      </c>
      <c r="P10" s="20">
        <v>12266160</v>
      </c>
      <c r="Q10" s="20">
        <v>12299244</v>
      </c>
      <c r="R10" s="20">
        <v>12334646</v>
      </c>
      <c r="S10" s="20">
        <v>12368452</v>
      </c>
      <c r="T10" s="20">
        <v>12401366</v>
      </c>
      <c r="U10" s="20">
        <v>12432983</v>
      </c>
      <c r="V10" s="20">
        <v>12462960</v>
      </c>
      <c r="W10" s="20">
        <v>12491479</v>
      </c>
      <c r="X10" s="20">
        <v>12518419</v>
      </c>
      <c r="Y10" s="20">
        <v>12543772</v>
      </c>
      <c r="Z10" s="20">
        <v>12567579</v>
      </c>
      <c r="AA10" s="20">
        <v>12589807</v>
      </c>
      <c r="AB10" s="20">
        <v>12610483</v>
      </c>
      <c r="AC10" s="20">
        <v>12629135</v>
      </c>
      <c r="AD10" s="20">
        <v>12645839</v>
      </c>
      <c r="AE10" s="20">
        <v>12660483</v>
      </c>
      <c r="AF10" s="20">
        <v>12673403</v>
      </c>
    </row>
    <row r="11" spans="1:32" x14ac:dyDescent="0.25">
      <c r="A11" s="19" t="s">
        <v>174</v>
      </c>
      <c r="B11" s="19" t="s">
        <v>170</v>
      </c>
      <c r="C11" s="26" t="s">
        <v>200</v>
      </c>
      <c r="D11" s="26" t="str">
        <f t="shared" ref="D11:D36" si="0">C11&amp;"_POPTF"</f>
        <v>BG_POPTF</v>
      </c>
      <c r="E11" s="18">
        <v>6544931</v>
      </c>
      <c r="F11" s="18">
        <v>6499494</v>
      </c>
      <c r="G11" s="18">
        <v>6487952</v>
      </c>
      <c r="H11" s="18">
        <v>6453443</v>
      </c>
      <c r="I11" s="18">
        <v>6415179</v>
      </c>
      <c r="J11" s="18">
        <v>6372543</v>
      </c>
      <c r="K11" s="18">
        <v>6330684</v>
      </c>
      <c r="L11" s="18">
        <v>6288700</v>
      </c>
      <c r="M11" s="18">
        <v>6246867</v>
      </c>
      <c r="N11" s="18">
        <v>6205150</v>
      </c>
      <c r="O11" s="18">
        <v>6164096</v>
      </c>
      <c r="P11" s="18">
        <v>6124767</v>
      </c>
      <c r="Q11" s="18">
        <v>6086233</v>
      </c>
      <c r="R11" s="18">
        <v>6049367</v>
      </c>
      <c r="S11" s="18">
        <v>6012866</v>
      </c>
      <c r="T11" s="18">
        <v>5976735</v>
      </c>
      <c r="U11" s="18">
        <v>5941818</v>
      </c>
      <c r="V11" s="18">
        <v>5908694</v>
      </c>
      <c r="W11" s="18">
        <v>5876000</v>
      </c>
      <c r="X11" s="18">
        <v>5843904</v>
      </c>
      <c r="Y11" s="18">
        <v>5812286</v>
      </c>
      <c r="Z11" s="18">
        <v>5780953</v>
      </c>
      <c r="AA11" s="18">
        <v>5750206</v>
      </c>
      <c r="AB11" s="18">
        <v>5719620</v>
      </c>
      <c r="AC11" s="18">
        <v>5689433</v>
      </c>
      <c r="AD11" s="18">
        <v>5659650</v>
      </c>
      <c r="AE11" s="18">
        <v>5630361</v>
      </c>
      <c r="AF11" s="18">
        <v>5601495</v>
      </c>
    </row>
    <row r="12" spans="1:32" x14ac:dyDescent="0.25">
      <c r="A12" s="19" t="s">
        <v>174</v>
      </c>
      <c r="B12" s="19" t="s">
        <v>169</v>
      </c>
      <c r="C12" s="26" t="s">
        <v>190</v>
      </c>
      <c r="D12" s="26" t="str">
        <f t="shared" si="0"/>
        <v>CZ_POPTF</v>
      </c>
      <c r="E12" s="20">
        <v>10827529</v>
      </c>
      <c r="F12" s="20">
        <v>10900555</v>
      </c>
      <c r="G12" s="20">
        <v>10890826</v>
      </c>
      <c r="H12" s="20">
        <v>10864885</v>
      </c>
      <c r="I12" s="20">
        <v>10839981</v>
      </c>
      <c r="J12" s="20">
        <v>10815675</v>
      </c>
      <c r="K12" s="20">
        <v>10791798</v>
      </c>
      <c r="L12" s="20">
        <v>10766896</v>
      </c>
      <c r="M12" s="20">
        <v>10740478</v>
      </c>
      <c r="N12" s="20">
        <v>10712776</v>
      </c>
      <c r="O12" s="20">
        <v>10684596</v>
      </c>
      <c r="P12" s="20">
        <v>10656459</v>
      </c>
      <c r="Q12" s="20">
        <v>10629488</v>
      </c>
      <c r="R12" s="20">
        <v>10615050</v>
      </c>
      <c r="S12" s="20">
        <v>10600978</v>
      </c>
      <c r="T12" s="20">
        <v>10589359</v>
      </c>
      <c r="U12" s="20">
        <v>10580631</v>
      </c>
      <c r="V12" s="20">
        <v>10573325</v>
      </c>
      <c r="W12" s="20">
        <v>10566613</v>
      </c>
      <c r="X12" s="20">
        <v>10560279</v>
      </c>
      <c r="Y12" s="20">
        <v>10554157</v>
      </c>
      <c r="Z12" s="20">
        <v>10548399</v>
      </c>
      <c r="AA12" s="20">
        <v>10542647</v>
      </c>
      <c r="AB12" s="20">
        <v>10535836</v>
      </c>
      <c r="AC12" s="20">
        <v>10528441</v>
      </c>
      <c r="AD12" s="20">
        <v>10521043</v>
      </c>
      <c r="AE12" s="20">
        <v>10513209</v>
      </c>
      <c r="AF12" s="20">
        <v>10504795</v>
      </c>
    </row>
    <row r="13" spans="1:32" x14ac:dyDescent="0.25">
      <c r="A13" s="19" t="s">
        <v>174</v>
      </c>
      <c r="B13" s="19" t="s">
        <v>168</v>
      </c>
      <c r="C13" s="26" t="s">
        <v>201</v>
      </c>
      <c r="D13" s="26" t="str">
        <f t="shared" si="0"/>
        <v>DK_POPTF</v>
      </c>
      <c r="E13" s="18">
        <v>5932654</v>
      </c>
      <c r="F13" s="18">
        <v>5961249</v>
      </c>
      <c r="G13" s="18">
        <v>5988583</v>
      </c>
      <c r="H13" s="18">
        <v>6012733</v>
      </c>
      <c r="I13" s="18">
        <v>6033979</v>
      </c>
      <c r="J13" s="18">
        <v>6052294</v>
      </c>
      <c r="K13" s="18">
        <v>6070553</v>
      </c>
      <c r="L13" s="18">
        <v>6088094</v>
      </c>
      <c r="M13" s="18">
        <v>6104802</v>
      </c>
      <c r="N13" s="18">
        <v>6120475</v>
      </c>
      <c r="O13" s="18">
        <v>6134684</v>
      </c>
      <c r="P13" s="18">
        <v>6147481</v>
      </c>
      <c r="Q13" s="18">
        <v>6159303</v>
      </c>
      <c r="R13" s="18">
        <v>6171528</v>
      </c>
      <c r="S13" s="18">
        <v>6182981</v>
      </c>
      <c r="T13" s="18">
        <v>6194297</v>
      </c>
      <c r="U13" s="18">
        <v>6204715</v>
      </c>
      <c r="V13" s="18">
        <v>6214256</v>
      </c>
      <c r="W13" s="18">
        <v>6223216</v>
      </c>
      <c r="X13" s="18">
        <v>6231227</v>
      </c>
      <c r="Y13" s="18">
        <v>6238699</v>
      </c>
      <c r="Z13" s="18">
        <v>6245711</v>
      </c>
      <c r="AA13" s="18">
        <v>6252325</v>
      </c>
      <c r="AB13" s="18">
        <v>6258570</v>
      </c>
      <c r="AC13" s="18">
        <v>6264440</v>
      </c>
      <c r="AD13" s="18">
        <v>6269897</v>
      </c>
      <c r="AE13" s="18">
        <v>6274896</v>
      </c>
      <c r="AF13" s="18">
        <v>6279381</v>
      </c>
    </row>
    <row r="14" spans="1:32" x14ac:dyDescent="0.25">
      <c r="A14" s="19" t="s">
        <v>174</v>
      </c>
      <c r="B14" s="19" t="s">
        <v>167</v>
      </c>
      <c r="C14" s="26" t="s">
        <v>191</v>
      </c>
      <c r="D14" s="26" t="str">
        <f t="shared" si="0"/>
        <v>DE_POPTF</v>
      </c>
      <c r="E14" s="20">
        <v>83118501</v>
      </c>
      <c r="F14" s="20">
        <v>83445000</v>
      </c>
      <c r="G14" s="20">
        <v>83813997</v>
      </c>
      <c r="H14" s="20">
        <v>83939569</v>
      </c>
      <c r="I14" s="20">
        <v>83995717</v>
      </c>
      <c r="J14" s="20">
        <v>83975579</v>
      </c>
      <c r="K14" s="20">
        <v>83955036</v>
      </c>
      <c r="L14" s="20">
        <v>83933644</v>
      </c>
      <c r="M14" s="20">
        <v>83911009</v>
      </c>
      <c r="N14" s="20">
        <v>83888060</v>
      </c>
      <c r="O14" s="20">
        <v>83865229</v>
      </c>
      <c r="P14" s="20">
        <v>83843352</v>
      </c>
      <c r="Q14" s="20">
        <v>83820608</v>
      </c>
      <c r="R14" s="20">
        <v>83828094</v>
      </c>
      <c r="S14" s="20">
        <v>83829294</v>
      </c>
      <c r="T14" s="20">
        <v>83826516</v>
      </c>
      <c r="U14" s="20">
        <v>83819910</v>
      </c>
      <c r="V14" s="20">
        <v>83809560</v>
      </c>
      <c r="W14" s="20">
        <v>83794545</v>
      </c>
      <c r="X14" s="20">
        <v>83774275</v>
      </c>
      <c r="Y14" s="20">
        <v>83749124</v>
      </c>
      <c r="Z14" s="20">
        <v>83718286</v>
      </c>
      <c r="AA14" s="20">
        <v>83682560</v>
      </c>
      <c r="AB14" s="20">
        <v>83645110</v>
      </c>
      <c r="AC14" s="20">
        <v>83600475</v>
      </c>
      <c r="AD14" s="20">
        <v>83549624</v>
      </c>
      <c r="AE14" s="20">
        <v>83490310</v>
      </c>
      <c r="AF14" s="20">
        <v>83424094</v>
      </c>
    </row>
    <row r="15" spans="1:32" x14ac:dyDescent="0.25">
      <c r="A15" s="19" t="s">
        <v>174</v>
      </c>
      <c r="B15" s="19" t="s">
        <v>166</v>
      </c>
      <c r="C15" s="26" t="s">
        <v>202</v>
      </c>
      <c r="D15" s="26" t="str">
        <f t="shared" si="0"/>
        <v>EE_POPTF</v>
      </c>
      <c r="E15" s="18">
        <v>1365884</v>
      </c>
      <c r="F15" s="18">
        <v>1374687</v>
      </c>
      <c r="G15" s="18">
        <v>1371536</v>
      </c>
      <c r="H15" s="18">
        <v>1369302</v>
      </c>
      <c r="I15" s="18">
        <v>1366422</v>
      </c>
      <c r="J15" s="18">
        <v>1362876</v>
      </c>
      <c r="K15" s="18">
        <v>1359329</v>
      </c>
      <c r="L15" s="18">
        <v>1355793</v>
      </c>
      <c r="M15" s="18">
        <v>1352186</v>
      </c>
      <c r="N15" s="18">
        <v>1348610</v>
      </c>
      <c r="O15" s="18">
        <v>1345128</v>
      </c>
      <c r="P15" s="18">
        <v>1341758</v>
      </c>
      <c r="Q15" s="18">
        <v>1338583</v>
      </c>
      <c r="R15" s="18">
        <v>1336655</v>
      </c>
      <c r="S15" s="18">
        <v>1334821</v>
      </c>
      <c r="T15" s="18">
        <v>1333204</v>
      </c>
      <c r="U15" s="18">
        <v>1331654</v>
      </c>
      <c r="V15" s="18">
        <v>1330111</v>
      </c>
      <c r="W15" s="18">
        <v>1328585</v>
      </c>
      <c r="X15" s="18">
        <v>1327079</v>
      </c>
      <c r="Y15" s="18">
        <v>1325562</v>
      </c>
      <c r="Z15" s="18">
        <v>1323973</v>
      </c>
      <c r="AA15" s="18">
        <v>1322347</v>
      </c>
      <c r="AB15" s="18">
        <v>1320693</v>
      </c>
      <c r="AC15" s="18">
        <v>1318988</v>
      </c>
      <c r="AD15" s="18">
        <v>1317232</v>
      </c>
      <c r="AE15" s="18">
        <v>1315480</v>
      </c>
      <c r="AF15" s="18">
        <v>1313669</v>
      </c>
    </row>
    <row r="16" spans="1:32" x14ac:dyDescent="0.25">
      <c r="A16" s="19" t="s">
        <v>174</v>
      </c>
      <c r="B16" s="19" t="s">
        <v>165</v>
      </c>
      <c r="C16" s="26" t="s">
        <v>203</v>
      </c>
      <c r="D16" s="26" t="str">
        <f t="shared" si="0"/>
        <v>IE_POPTF</v>
      </c>
      <c r="E16" s="20">
        <v>5271395</v>
      </c>
      <c r="F16" s="20">
        <v>5343805</v>
      </c>
      <c r="G16" s="20">
        <v>5407528</v>
      </c>
      <c r="H16" s="20">
        <v>5447903</v>
      </c>
      <c r="I16" s="20">
        <v>5485591</v>
      </c>
      <c r="J16" s="20">
        <v>5520536</v>
      </c>
      <c r="K16" s="20">
        <v>5553828</v>
      </c>
      <c r="L16" s="20">
        <v>5586364</v>
      </c>
      <c r="M16" s="20">
        <v>5618078</v>
      </c>
      <c r="N16" s="20">
        <v>5648931</v>
      </c>
      <c r="O16" s="20">
        <v>5678933</v>
      </c>
      <c r="P16" s="20">
        <v>5708143</v>
      </c>
      <c r="Q16" s="20">
        <v>5736656</v>
      </c>
      <c r="R16" s="20">
        <v>5768256</v>
      </c>
      <c r="S16" s="20">
        <v>5799022</v>
      </c>
      <c r="T16" s="20">
        <v>5829464</v>
      </c>
      <c r="U16" s="20">
        <v>5859532</v>
      </c>
      <c r="V16" s="20">
        <v>5889170</v>
      </c>
      <c r="W16" s="20">
        <v>5918430</v>
      </c>
      <c r="X16" s="20">
        <v>5947287</v>
      </c>
      <c r="Y16" s="20">
        <v>5975773</v>
      </c>
      <c r="Z16" s="20">
        <v>6003846</v>
      </c>
      <c r="AA16" s="20">
        <v>6031625</v>
      </c>
      <c r="AB16" s="20">
        <v>6058611</v>
      </c>
      <c r="AC16" s="20">
        <v>6084395</v>
      </c>
      <c r="AD16" s="20">
        <v>6109175</v>
      </c>
      <c r="AE16" s="20">
        <v>6132332</v>
      </c>
      <c r="AF16" s="20">
        <v>6153874</v>
      </c>
    </row>
    <row r="17" spans="1:32" x14ac:dyDescent="0.25">
      <c r="A17" s="19" t="s">
        <v>174</v>
      </c>
      <c r="B17" s="19" t="s">
        <v>164</v>
      </c>
      <c r="C17" s="26" t="s">
        <v>204</v>
      </c>
      <c r="D17" s="26" t="str">
        <f t="shared" si="0"/>
        <v>EL_POPTF</v>
      </c>
      <c r="E17" s="18">
        <v>10413982</v>
      </c>
      <c r="F17" s="18">
        <v>10397193</v>
      </c>
      <c r="G17" s="18">
        <v>10344746</v>
      </c>
      <c r="H17" s="18">
        <v>10281050</v>
      </c>
      <c r="I17" s="18">
        <v>10215575</v>
      </c>
      <c r="J17" s="18">
        <v>10148648</v>
      </c>
      <c r="K17" s="18">
        <v>10086609</v>
      </c>
      <c r="L17" s="18">
        <v>10025864</v>
      </c>
      <c r="M17" s="18">
        <v>9966308</v>
      </c>
      <c r="N17" s="18">
        <v>9908181</v>
      </c>
      <c r="O17" s="18">
        <v>9851751</v>
      </c>
      <c r="P17" s="18">
        <v>9796693</v>
      </c>
      <c r="Q17" s="18">
        <v>9742220</v>
      </c>
      <c r="R17" s="18">
        <v>9689452</v>
      </c>
      <c r="S17" s="18">
        <v>9637419</v>
      </c>
      <c r="T17" s="18">
        <v>9586405</v>
      </c>
      <c r="U17" s="18">
        <v>9536472</v>
      </c>
      <c r="V17" s="18">
        <v>9487573</v>
      </c>
      <c r="W17" s="18">
        <v>9438898</v>
      </c>
      <c r="X17" s="18">
        <v>9390380</v>
      </c>
      <c r="Y17" s="18">
        <v>9341648</v>
      </c>
      <c r="Z17" s="18">
        <v>9292854</v>
      </c>
      <c r="AA17" s="18">
        <v>9243922</v>
      </c>
      <c r="AB17" s="18">
        <v>9194690</v>
      </c>
      <c r="AC17" s="18">
        <v>9144416</v>
      </c>
      <c r="AD17" s="18">
        <v>9093492</v>
      </c>
      <c r="AE17" s="18">
        <v>9041807</v>
      </c>
      <c r="AF17" s="18">
        <v>8988949</v>
      </c>
    </row>
    <row r="18" spans="1:32" x14ac:dyDescent="0.25">
      <c r="A18" s="19" t="s">
        <v>174</v>
      </c>
      <c r="B18" s="19" t="s">
        <v>163</v>
      </c>
      <c r="C18" s="26" t="s">
        <v>192</v>
      </c>
      <c r="D18" s="26" t="str">
        <f t="shared" si="0"/>
        <v>ES_POPTF</v>
      </c>
      <c r="E18" s="20">
        <v>48085361</v>
      </c>
      <c r="F18" s="20">
        <v>48610458</v>
      </c>
      <c r="G18" s="20">
        <v>49055897</v>
      </c>
      <c r="H18" s="20">
        <v>49388542</v>
      </c>
      <c r="I18" s="20">
        <v>49653994</v>
      </c>
      <c r="J18" s="20">
        <v>49852117</v>
      </c>
      <c r="K18" s="20">
        <v>50040564</v>
      </c>
      <c r="L18" s="20">
        <v>50228237</v>
      </c>
      <c r="M18" s="20">
        <v>50412019</v>
      </c>
      <c r="N18" s="20">
        <v>50593636</v>
      </c>
      <c r="O18" s="20">
        <v>50774999</v>
      </c>
      <c r="P18" s="20">
        <v>50953943</v>
      </c>
      <c r="Q18" s="20">
        <v>51130469</v>
      </c>
      <c r="R18" s="20">
        <v>51309940</v>
      </c>
      <c r="S18" s="20">
        <v>51483885</v>
      </c>
      <c r="T18" s="20">
        <v>51653490</v>
      </c>
      <c r="U18" s="20">
        <v>51816464</v>
      </c>
      <c r="V18" s="20">
        <v>51972612</v>
      </c>
      <c r="W18" s="20">
        <v>52120635</v>
      </c>
      <c r="X18" s="20">
        <v>52260028</v>
      </c>
      <c r="Y18" s="20">
        <v>52388247</v>
      </c>
      <c r="Z18" s="20">
        <v>52505058</v>
      </c>
      <c r="AA18" s="20">
        <v>52608040</v>
      </c>
      <c r="AB18" s="20">
        <v>52697959</v>
      </c>
      <c r="AC18" s="20">
        <v>52773385</v>
      </c>
      <c r="AD18" s="20">
        <v>52834367</v>
      </c>
      <c r="AE18" s="20">
        <v>52880039</v>
      </c>
      <c r="AF18" s="20">
        <v>52911773</v>
      </c>
    </row>
    <row r="19" spans="1:32" x14ac:dyDescent="0.25">
      <c r="A19" s="19" t="s">
        <v>174</v>
      </c>
      <c r="B19" s="19" t="s">
        <v>162</v>
      </c>
      <c r="C19" s="26" t="s">
        <v>193</v>
      </c>
      <c r="D19" s="26" t="str">
        <f t="shared" si="0"/>
        <v>FR_POPTF</v>
      </c>
      <c r="E19" s="18">
        <v>68172977</v>
      </c>
      <c r="F19" s="18">
        <v>68401997</v>
      </c>
      <c r="G19" s="18">
        <v>68608043</v>
      </c>
      <c r="H19" s="18">
        <v>68816000</v>
      </c>
      <c r="I19" s="18">
        <v>69018296</v>
      </c>
      <c r="J19" s="18">
        <v>69215616</v>
      </c>
      <c r="K19" s="18">
        <v>69404727</v>
      </c>
      <c r="L19" s="18">
        <v>69589304</v>
      </c>
      <c r="M19" s="18">
        <v>69769565</v>
      </c>
      <c r="N19" s="18">
        <v>69946723</v>
      </c>
      <c r="O19" s="18">
        <v>70118941</v>
      </c>
      <c r="P19" s="18">
        <v>70287762</v>
      </c>
      <c r="Q19" s="18">
        <v>70453460</v>
      </c>
      <c r="R19" s="18">
        <v>70619418</v>
      </c>
      <c r="S19" s="18">
        <v>70780962</v>
      </c>
      <c r="T19" s="18">
        <v>70938606</v>
      </c>
      <c r="U19" s="18">
        <v>71087510</v>
      </c>
      <c r="V19" s="18">
        <v>71220943</v>
      </c>
      <c r="W19" s="18">
        <v>71342365</v>
      </c>
      <c r="X19" s="18">
        <v>71453859</v>
      </c>
      <c r="Y19" s="18">
        <v>71557080</v>
      </c>
      <c r="Z19" s="18">
        <v>71651006</v>
      </c>
      <c r="AA19" s="18">
        <v>71736495</v>
      </c>
      <c r="AB19" s="18">
        <v>71817188</v>
      </c>
      <c r="AC19" s="18">
        <v>71887291</v>
      </c>
      <c r="AD19" s="18">
        <v>71948049</v>
      </c>
      <c r="AE19" s="18">
        <v>71997112</v>
      </c>
      <c r="AF19" s="18">
        <v>72039010</v>
      </c>
    </row>
    <row r="20" spans="1:32" x14ac:dyDescent="0.25">
      <c r="A20" s="19" t="s">
        <v>174</v>
      </c>
      <c r="B20" s="19" t="s">
        <v>161</v>
      </c>
      <c r="C20" s="26" t="s">
        <v>205</v>
      </c>
      <c r="D20" s="26" t="str">
        <f t="shared" si="0"/>
        <v>HR_POPTF</v>
      </c>
      <c r="E20" s="20">
        <v>3850894</v>
      </c>
      <c r="F20" s="20">
        <v>3861967</v>
      </c>
      <c r="G20" s="20">
        <v>3846017</v>
      </c>
      <c r="H20" s="20">
        <v>3823802</v>
      </c>
      <c r="I20" s="20">
        <v>3800359</v>
      </c>
      <c r="J20" s="20">
        <v>3775435</v>
      </c>
      <c r="K20" s="20">
        <v>3750966</v>
      </c>
      <c r="L20" s="20">
        <v>3726678</v>
      </c>
      <c r="M20" s="20">
        <v>3702937</v>
      </c>
      <c r="N20" s="20">
        <v>3679294</v>
      </c>
      <c r="O20" s="20">
        <v>3655606</v>
      </c>
      <c r="P20" s="20">
        <v>3631769</v>
      </c>
      <c r="Q20" s="20">
        <v>3607966</v>
      </c>
      <c r="R20" s="20">
        <v>3584718</v>
      </c>
      <c r="S20" s="20">
        <v>3561541</v>
      </c>
      <c r="T20" s="20">
        <v>3538584</v>
      </c>
      <c r="U20" s="20">
        <v>3515782</v>
      </c>
      <c r="V20" s="20">
        <v>3492961</v>
      </c>
      <c r="W20" s="20">
        <v>3470213</v>
      </c>
      <c r="X20" s="20">
        <v>3447581</v>
      </c>
      <c r="Y20" s="20">
        <v>3425086</v>
      </c>
      <c r="Z20" s="20">
        <v>3402765</v>
      </c>
      <c r="AA20" s="20">
        <v>3380726</v>
      </c>
      <c r="AB20" s="20">
        <v>3358900</v>
      </c>
      <c r="AC20" s="20">
        <v>3337282</v>
      </c>
      <c r="AD20" s="20">
        <v>3316022</v>
      </c>
      <c r="AE20" s="20">
        <v>3295110</v>
      </c>
      <c r="AF20" s="20">
        <v>3274676</v>
      </c>
    </row>
    <row r="21" spans="1:32" x14ac:dyDescent="0.25">
      <c r="A21" s="19" t="s">
        <v>174</v>
      </c>
      <c r="B21" s="19" t="s">
        <v>160</v>
      </c>
      <c r="C21" s="26" t="s">
        <v>194</v>
      </c>
      <c r="D21" s="26" t="str">
        <f t="shared" si="0"/>
        <v>IT_POPTF</v>
      </c>
      <c r="E21" s="18">
        <v>58997201</v>
      </c>
      <c r="F21" s="18">
        <v>58989749</v>
      </c>
      <c r="G21" s="18">
        <v>58965448</v>
      </c>
      <c r="H21" s="18">
        <v>58909795</v>
      </c>
      <c r="I21" s="18">
        <v>58836452</v>
      </c>
      <c r="J21" s="18">
        <v>58744103</v>
      </c>
      <c r="K21" s="18">
        <v>58653817</v>
      </c>
      <c r="L21" s="18">
        <v>58565206</v>
      </c>
      <c r="M21" s="18">
        <v>58472197</v>
      </c>
      <c r="N21" s="18">
        <v>58376284</v>
      </c>
      <c r="O21" s="18">
        <v>58276855</v>
      </c>
      <c r="P21" s="18">
        <v>58175037</v>
      </c>
      <c r="Q21" s="18">
        <v>58071942</v>
      </c>
      <c r="R21" s="18">
        <v>57966718</v>
      </c>
      <c r="S21" s="18">
        <v>57858710</v>
      </c>
      <c r="T21" s="18">
        <v>57746255</v>
      </c>
      <c r="U21" s="18">
        <v>57629405</v>
      </c>
      <c r="V21" s="18">
        <v>57505672</v>
      </c>
      <c r="W21" s="18">
        <v>57372512</v>
      </c>
      <c r="X21" s="18">
        <v>57228868</v>
      </c>
      <c r="Y21" s="18">
        <v>57074498</v>
      </c>
      <c r="Z21" s="18">
        <v>56909646</v>
      </c>
      <c r="AA21" s="18">
        <v>56732390</v>
      </c>
      <c r="AB21" s="18">
        <v>56543799</v>
      </c>
      <c r="AC21" s="18">
        <v>56343804</v>
      </c>
      <c r="AD21" s="18">
        <v>56133546</v>
      </c>
      <c r="AE21" s="18">
        <v>55910851</v>
      </c>
      <c r="AF21" s="18">
        <v>55676723</v>
      </c>
    </row>
    <row r="22" spans="1:32" x14ac:dyDescent="0.25">
      <c r="A22" s="19" t="s">
        <v>174</v>
      </c>
      <c r="B22" s="19" t="s">
        <v>159</v>
      </c>
      <c r="C22" s="26" t="s">
        <v>195</v>
      </c>
      <c r="D22" s="26" t="str">
        <f t="shared" si="0"/>
        <v>CY_POPTF</v>
      </c>
      <c r="E22" s="20">
        <v>920701</v>
      </c>
      <c r="F22" s="20">
        <v>933505</v>
      </c>
      <c r="G22" s="20">
        <v>942249</v>
      </c>
      <c r="H22" s="20">
        <v>945592</v>
      </c>
      <c r="I22" s="20">
        <v>948628</v>
      </c>
      <c r="J22" s="20">
        <v>951223</v>
      </c>
      <c r="K22" s="20">
        <v>953625</v>
      </c>
      <c r="L22" s="20">
        <v>955921</v>
      </c>
      <c r="M22" s="20">
        <v>958110</v>
      </c>
      <c r="N22" s="20">
        <v>960190</v>
      </c>
      <c r="O22" s="20">
        <v>962194</v>
      </c>
      <c r="P22" s="20">
        <v>964099</v>
      </c>
      <c r="Q22" s="20">
        <v>965873</v>
      </c>
      <c r="R22" s="20">
        <v>968311</v>
      </c>
      <c r="S22" s="20">
        <v>970608</v>
      </c>
      <c r="T22" s="20">
        <v>972769</v>
      </c>
      <c r="U22" s="20">
        <v>974814</v>
      </c>
      <c r="V22" s="20">
        <v>976757</v>
      </c>
      <c r="W22" s="20">
        <v>978607</v>
      </c>
      <c r="X22" s="20">
        <v>980417</v>
      </c>
      <c r="Y22" s="20">
        <v>982102</v>
      </c>
      <c r="Z22" s="20">
        <v>983741</v>
      </c>
      <c r="AA22" s="20">
        <v>985319</v>
      </c>
      <c r="AB22" s="20">
        <v>986866</v>
      </c>
      <c r="AC22" s="20">
        <v>988340</v>
      </c>
      <c r="AD22" s="20">
        <v>989719</v>
      </c>
      <c r="AE22" s="20">
        <v>991083</v>
      </c>
      <c r="AF22" s="20">
        <v>992400</v>
      </c>
    </row>
    <row r="23" spans="1:32" x14ac:dyDescent="0.25">
      <c r="A23" s="19" t="s">
        <v>174</v>
      </c>
      <c r="B23" s="19" t="s">
        <v>158</v>
      </c>
      <c r="C23" s="26" t="s">
        <v>206</v>
      </c>
      <c r="D23" s="26" t="str">
        <f t="shared" si="0"/>
        <v>LV_POPTF</v>
      </c>
      <c r="E23" s="18">
        <v>1883008</v>
      </c>
      <c r="F23" s="18">
        <v>1871882</v>
      </c>
      <c r="G23" s="18">
        <v>1857281</v>
      </c>
      <c r="H23" s="18">
        <v>1834907</v>
      </c>
      <c r="I23" s="18">
        <v>1812413</v>
      </c>
      <c r="J23" s="18">
        <v>1789574</v>
      </c>
      <c r="K23" s="18">
        <v>1767861</v>
      </c>
      <c r="L23" s="18">
        <v>1746450</v>
      </c>
      <c r="M23" s="18">
        <v>1725399</v>
      </c>
      <c r="N23" s="18">
        <v>1704930</v>
      </c>
      <c r="O23" s="18">
        <v>1685116</v>
      </c>
      <c r="P23" s="18">
        <v>1666023</v>
      </c>
      <c r="Q23" s="18">
        <v>1647548</v>
      </c>
      <c r="R23" s="18">
        <v>1631250</v>
      </c>
      <c r="S23" s="18">
        <v>1615424</v>
      </c>
      <c r="T23" s="18">
        <v>1600105</v>
      </c>
      <c r="U23" s="18">
        <v>1585201</v>
      </c>
      <c r="V23" s="18">
        <v>1570647</v>
      </c>
      <c r="W23" s="18">
        <v>1556439</v>
      </c>
      <c r="X23" s="18">
        <v>1542512</v>
      </c>
      <c r="Y23" s="18">
        <v>1528810</v>
      </c>
      <c r="Z23" s="18">
        <v>1515330</v>
      </c>
      <c r="AA23" s="18">
        <v>1502118</v>
      </c>
      <c r="AB23" s="18">
        <v>1489158</v>
      </c>
      <c r="AC23" s="18">
        <v>1476432</v>
      </c>
      <c r="AD23" s="18">
        <v>1463942</v>
      </c>
      <c r="AE23" s="18">
        <v>1451773</v>
      </c>
      <c r="AF23" s="18">
        <v>1439714</v>
      </c>
    </row>
    <row r="24" spans="1:32" x14ac:dyDescent="0.25">
      <c r="A24" s="19" t="s">
        <v>174</v>
      </c>
      <c r="B24" s="19" t="s">
        <v>157</v>
      </c>
      <c r="C24" s="26" t="s">
        <v>207</v>
      </c>
      <c r="D24" s="26" t="str">
        <f t="shared" si="0"/>
        <v>LT_POPTF</v>
      </c>
      <c r="E24" s="20">
        <v>2857279</v>
      </c>
      <c r="F24" s="20">
        <v>2885891</v>
      </c>
      <c r="G24" s="20">
        <v>2895126</v>
      </c>
      <c r="H24" s="20">
        <v>2887194</v>
      </c>
      <c r="I24" s="20">
        <v>2875800</v>
      </c>
      <c r="J24" s="20">
        <v>2860430</v>
      </c>
      <c r="K24" s="20">
        <v>2845709</v>
      </c>
      <c r="L24" s="20">
        <v>2831352</v>
      </c>
      <c r="M24" s="20">
        <v>2817223</v>
      </c>
      <c r="N24" s="20">
        <v>2803409</v>
      </c>
      <c r="O24" s="20">
        <v>2790060</v>
      </c>
      <c r="P24" s="20">
        <v>2777210</v>
      </c>
      <c r="Q24" s="20">
        <v>2764843</v>
      </c>
      <c r="R24" s="20">
        <v>2755265</v>
      </c>
      <c r="S24" s="20">
        <v>2745843</v>
      </c>
      <c r="T24" s="20">
        <v>2736554</v>
      </c>
      <c r="U24" s="20">
        <v>2727305</v>
      </c>
      <c r="V24" s="20">
        <v>2718041</v>
      </c>
      <c r="W24" s="20">
        <v>2708899</v>
      </c>
      <c r="X24" s="20">
        <v>2699909</v>
      </c>
      <c r="Y24" s="20">
        <v>2690984</v>
      </c>
      <c r="Z24" s="20">
        <v>2682103</v>
      </c>
      <c r="AA24" s="20">
        <v>2673246</v>
      </c>
      <c r="AB24" s="20">
        <v>2664382</v>
      </c>
      <c r="AC24" s="20">
        <v>2655514</v>
      </c>
      <c r="AD24" s="20">
        <v>2646619</v>
      </c>
      <c r="AE24" s="20">
        <v>2637878</v>
      </c>
      <c r="AF24" s="20">
        <v>2629079</v>
      </c>
    </row>
    <row r="25" spans="1:32" x14ac:dyDescent="0.25">
      <c r="A25" s="19" t="s">
        <v>174</v>
      </c>
      <c r="B25" s="19" t="s">
        <v>156</v>
      </c>
      <c r="C25" s="26" t="s">
        <v>196</v>
      </c>
      <c r="D25" s="26" t="str">
        <f t="shared" si="0"/>
        <v>LU_POPTF</v>
      </c>
      <c r="E25" s="18">
        <v>660809</v>
      </c>
      <c r="F25" s="18">
        <v>672050</v>
      </c>
      <c r="G25" s="18">
        <v>683691</v>
      </c>
      <c r="H25" s="18">
        <v>695692</v>
      </c>
      <c r="I25" s="18">
        <v>707486</v>
      </c>
      <c r="J25" s="18">
        <v>719056</v>
      </c>
      <c r="K25" s="18">
        <v>729428</v>
      </c>
      <c r="L25" s="18">
        <v>739360</v>
      </c>
      <c r="M25" s="18">
        <v>748885</v>
      </c>
      <c r="N25" s="18">
        <v>758011</v>
      </c>
      <c r="O25" s="18">
        <v>766751</v>
      </c>
      <c r="P25" s="18">
        <v>775120</v>
      </c>
      <c r="Q25" s="18">
        <v>783135</v>
      </c>
      <c r="R25" s="18">
        <v>790921</v>
      </c>
      <c r="S25" s="18">
        <v>798382</v>
      </c>
      <c r="T25" s="18">
        <v>805537</v>
      </c>
      <c r="U25" s="18">
        <v>812396</v>
      </c>
      <c r="V25" s="18">
        <v>818964</v>
      </c>
      <c r="W25" s="18">
        <v>825243</v>
      </c>
      <c r="X25" s="18">
        <v>831235</v>
      </c>
      <c r="Y25" s="18">
        <v>836942</v>
      </c>
      <c r="Z25" s="18">
        <v>842364</v>
      </c>
      <c r="AA25" s="18">
        <v>847502</v>
      </c>
      <c r="AB25" s="18">
        <v>852353</v>
      </c>
      <c r="AC25" s="18">
        <v>856914</v>
      </c>
      <c r="AD25" s="18">
        <v>861181</v>
      </c>
      <c r="AE25" s="18">
        <v>865154</v>
      </c>
      <c r="AF25" s="18">
        <v>868833</v>
      </c>
    </row>
    <row r="26" spans="1:32" x14ac:dyDescent="0.25">
      <c r="A26" s="19" t="s">
        <v>174</v>
      </c>
      <c r="B26" s="19" t="s">
        <v>155</v>
      </c>
      <c r="C26" s="26" t="s">
        <v>197</v>
      </c>
      <c r="D26" s="26" t="str">
        <f t="shared" si="0"/>
        <v>HU_POPTF</v>
      </c>
      <c r="E26" s="20">
        <v>9599744</v>
      </c>
      <c r="F26" s="20">
        <v>9584627</v>
      </c>
      <c r="G26" s="20">
        <v>9567634</v>
      </c>
      <c r="H26" s="20">
        <v>9542449</v>
      </c>
      <c r="I26" s="20">
        <v>9516945</v>
      </c>
      <c r="J26" s="20">
        <v>9490239</v>
      </c>
      <c r="K26" s="20">
        <v>9465049</v>
      </c>
      <c r="L26" s="20">
        <v>9439310</v>
      </c>
      <c r="M26" s="20">
        <v>9413412</v>
      </c>
      <c r="N26" s="20">
        <v>9387553</v>
      </c>
      <c r="O26" s="20">
        <v>9362691</v>
      </c>
      <c r="P26" s="20">
        <v>9338441</v>
      </c>
      <c r="Q26" s="20">
        <v>9314265</v>
      </c>
      <c r="R26" s="20">
        <v>9290912</v>
      </c>
      <c r="S26" s="20">
        <v>9267385</v>
      </c>
      <c r="T26" s="20">
        <v>9244584</v>
      </c>
      <c r="U26" s="20">
        <v>9222266</v>
      </c>
      <c r="V26" s="20">
        <v>9202609</v>
      </c>
      <c r="W26" s="20">
        <v>9183962</v>
      </c>
      <c r="X26" s="20">
        <v>9164966</v>
      </c>
      <c r="Y26" s="20">
        <v>9145858</v>
      </c>
      <c r="Z26" s="20">
        <v>9126606</v>
      </c>
      <c r="AA26" s="20">
        <v>9107377</v>
      </c>
      <c r="AB26" s="20">
        <v>9087989</v>
      </c>
      <c r="AC26" s="20">
        <v>9068867</v>
      </c>
      <c r="AD26" s="20">
        <v>9049781</v>
      </c>
      <c r="AE26" s="20">
        <v>9030876</v>
      </c>
      <c r="AF26" s="20">
        <v>9012469</v>
      </c>
    </row>
    <row r="27" spans="1:32" x14ac:dyDescent="0.25">
      <c r="A27" s="19" t="s">
        <v>174</v>
      </c>
      <c r="B27" s="19" t="s">
        <v>154</v>
      </c>
      <c r="C27" s="26" t="s">
        <v>208</v>
      </c>
      <c r="D27" s="26" t="str">
        <f t="shared" si="0"/>
        <v>MT_POPTF</v>
      </c>
      <c r="E27" s="18">
        <v>542051</v>
      </c>
      <c r="F27" s="18">
        <v>563443</v>
      </c>
      <c r="G27" s="18">
        <v>581377</v>
      </c>
      <c r="H27" s="18">
        <v>597010</v>
      </c>
      <c r="I27" s="18">
        <v>610788</v>
      </c>
      <c r="J27" s="18">
        <v>622672</v>
      </c>
      <c r="K27" s="18">
        <v>632972</v>
      </c>
      <c r="L27" s="18">
        <v>642865</v>
      </c>
      <c r="M27" s="18">
        <v>652387</v>
      </c>
      <c r="N27" s="18">
        <v>661545</v>
      </c>
      <c r="O27" s="18">
        <v>670347</v>
      </c>
      <c r="P27" s="18">
        <v>678805</v>
      </c>
      <c r="Q27" s="18">
        <v>686931</v>
      </c>
      <c r="R27" s="18">
        <v>694816</v>
      </c>
      <c r="S27" s="18">
        <v>702395</v>
      </c>
      <c r="T27" s="18">
        <v>709686</v>
      </c>
      <c r="U27" s="18">
        <v>716704</v>
      </c>
      <c r="V27" s="18">
        <v>723465</v>
      </c>
      <c r="W27" s="18">
        <v>729981</v>
      </c>
      <c r="X27" s="18">
        <v>736265</v>
      </c>
      <c r="Y27" s="18">
        <v>742332</v>
      </c>
      <c r="Z27" s="18">
        <v>748191</v>
      </c>
      <c r="AA27" s="18">
        <v>753854</v>
      </c>
      <c r="AB27" s="18">
        <v>759330</v>
      </c>
      <c r="AC27" s="18">
        <v>764621</v>
      </c>
      <c r="AD27" s="18">
        <v>769735</v>
      </c>
      <c r="AE27" s="18">
        <v>774673</v>
      </c>
      <c r="AF27" s="18">
        <v>779445</v>
      </c>
    </row>
    <row r="28" spans="1:32" x14ac:dyDescent="0.25">
      <c r="A28" s="19" t="s">
        <v>174</v>
      </c>
      <c r="B28" s="19" t="s">
        <v>153</v>
      </c>
      <c r="C28" s="26" t="s">
        <v>209</v>
      </c>
      <c r="D28" s="26" t="str">
        <f t="shared" si="0"/>
        <v>NL_POPTF</v>
      </c>
      <c r="E28" s="20">
        <v>17811291</v>
      </c>
      <c r="F28" s="20">
        <v>17942942</v>
      </c>
      <c r="G28" s="20">
        <v>18072870</v>
      </c>
      <c r="H28" s="20">
        <v>18181028</v>
      </c>
      <c r="I28" s="20">
        <v>18281795</v>
      </c>
      <c r="J28" s="20">
        <v>18374778</v>
      </c>
      <c r="K28" s="20">
        <v>18465015</v>
      </c>
      <c r="L28" s="20">
        <v>18553868</v>
      </c>
      <c r="M28" s="20">
        <v>18641032</v>
      </c>
      <c r="N28" s="20">
        <v>18725687</v>
      </c>
      <c r="O28" s="20">
        <v>18808071</v>
      </c>
      <c r="P28" s="20">
        <v>18888075</v>
      </c>
      <c r="Q28" s="20">
        <v>18966035</v>
      </c>
      <c r="R28" s="20">
        <v>19043903</v>
      </c>
      <c r="S28" s="20">
        <v>19116990</v>
      </c>
      <c r="T28" s="20">
        <v>19186384</v>
      </c>
      <c r="U28" s="20">
        <v>19252184</v>
      </c>
      <c r="V28" s="20">
        <v>19314539</v>
      </c>
      <c r="W28" s="20">
        <v>19373616</v>
      </c>
      <c r="X28" s="20">
        <v>19429585</v>
      </c>
      <c r="Y28" s="20">
        <v>19482601</v>
      </c>
      <c r="Z28" s="20">
        <v>19532796</v>
      </c>
      <c r="AA28" s="20">
        <v>19580295</v>
      </c>
      <c r="AB28" s="20">
        <v>19625208</v>
      </c>
      <c r="AC28" s="20">
        <v>19667592</v>
      </c>
      <c r="AD28" s="20">
        <v>19707562</v>
      </c>
      <c r="AE28" s="20">
        <v>19745185</v>
      </c>
      <c r="AF28" s="20">
        <v>19780529</v>
      </c>
    </row>
    <row r="29" spans="1:32" x14ac:dyDescent="0.25">
      <c r="A29" s="19" t="s">
        <v>174</v>
      </c>
      <c r="B29" s="19" t="s">
        <v>152</v>
      </c>
      <c r="C29" s="26" t="s">
        <v>210</v>
      </c>
      <c r="D29" s="26" t="str">
        <f t="shared" si="0"/>
        <v>AT_POPTF</v>
      </c>
      <c r="E29" s="18">
        <v>9104772</v>
      </c>
      <c r="F29" s="18">
        <v>9158750</v>
      </c>
      <c r="G29" s="18">
        <v>9203936</v>
      </c>
      <c r="H29" s="18">
        <v>9248001</v>
      </c>
      <c r="I29" s="18">
        <v>9289171</v>
      </c>
      <c r="J29" s="18">
        <v>9327107</v>
      </c>
      <c r="K29" s="18">
        <v>9363375</v>
      </c>
      <c r="L29" s="18">
        <v>9397825</v>
      </c>
      <c r="M29" s="18">
        <v>9430468</v>
      </c>
      <c r="N29" s="18">
        <v>9461161</v>
      </c>
      <c r="O29" s="18">
        <v>9490383</v>
      </c>
      <c r="P29" s="18">
        <v>9518448</v>
      </c>
      <c r="Q29" s="18">
        <v>9545087</v>
      </c>
      <c r="R29" s="18">
        <v>9572477</v>
      </c>
      <c r="S29" s="18">
        <v>9598449</v>
      </c>
      <c r="T29" s="18">
        <v>9623446</v>
      </c>
      <c r="U29" s="18">
        <v>9647219</v>
      </c>
      <c r="V29" s="18">
        <v>9669645</v>
      </c>
      <c r="W29" s="18">
        <v>9690826</v>
      </c>
      <c r="X29" s="18">
        <v>9710759</v>
      </c>
      <c r="Y29" s="18">
        <v>9729373</v>
      </c>
      <c r="Z29" s="18">
        <v>9746569</v>
      </c>
      <c r="AA29" s="18">
        <v>9762373</v>
      </c>
      <c r="AB29" s="18">
        <v>9777131</v>
      </c>
      <c r="AC29" s="18">
        <v>9790603</v>
      </c>
      <c r="AD29" s="18">
        <v>9802422</v>
      </c>
      <c r="AE29" s="18">
        <v>9812199</v>
      </c>
      <c r="AF29" s="18">
        <v>9820256</v>
      </c>
    </row>
    <row r="30" spans="1:32" x14ac:dyDescent="0.25">
      <c r="A30" s="19" t="s">
        <v>174</v>
      </c>
      <c r="B30" s="19" t="s">
        <v>151</v>
      </c>
      <c r="C30" s="26" t="s">
        <v>211</v>
      </c>
      <c r="D30" s="26" t="str">
        <f t="shared" si="0"/>
        <v>PL_POPTF</v>
      </c>
      <c r="E30" s="20">
        <v>37522808</v>
      </c>
      <c r="F30" s="20">
        <v>37565715</v>
      </c>
      <c r="G30" s="20">
        <v>37536187</v>
      </c>
      <c r="H30" s="20">
        <v>37382225</v>
      </c>
      <c r="I30" s="20">
        <v>37218396</v>
      </c>
      <c r="J30" s="20">
        <v>37042898</v>
      </c>
      <c r="K30" s="20">
        <v>36872581</v>
      </c>
      <c r="L30" s="20">
        <v>36700756</v>
      </c>
      <c r="M30" s="20">
        <v>36528472</v>
      </c>
      <c r="N30" s="20">
        <v>36355308</v>
      </c>
      <c r="O30" s="20">
        <v>36180886</v>
      </c>
      <c r="P30" s="20">
        <v>36009568</v>
      </c>
      <c r="Q30" s="20">
        <v>35841723</v>
      </c>
      <c r="R30" s="20">
        <v>35708670</v>
      </c>
      <c r="S30" s="20">
        <v>35577548</v>
      </c>
      <c r="T30" s="20">
        <v>35450266</v>
      </c>
      <c r="U30" s="20">
        <v>35326632</v>
      </c>
      <c r="V30" s="20">
        <v>35202632</v>
      </c>
      <c r="W30" s="20">
        <v>35080384</v>
      </c>
      <c r="X30" s="20">
        <v>34959592</v>
      </c>
      <c r="Y30" s="20">
        <v>34838256</v>
      </c>
      <c r="Z30" s="20">
        <v>34716994</v>
      </c>
      <c r="AA30" s="20">
        <v>34597082</v>
      </c>
      <c r="AB30" s="20">
        <v>34477462</v>
      </c>
      <c r="AC30" s="20">
        <v>34356816</v>
      </c>
      <c r="AD30" s="20">
        <v>34238548</v>
      </c>
      <c r="AE30" s="20">
        <v>34122140</v>
      </c>
      <c r="AF30" s="20">
        <v>34003933</v>
      </c>
    </row>
    <row r="31" spans="1:32" x14ac:dyDescent="0.25">
      <c r="A31" s="19" t="s">
        <v>174</v>
      </c>
      <c r="B31" s="19" t="s">
        <v>150</v>
      </c>
      <c r="C31" s="26" t="s">
        <v>212</v>
      </c>
      <c r="D31" s="26" t="str">
        <f t="shared" si="0"/>
        <v>PT_POPTF</v>
      </c>
      <c r="E31" s="18">
        <v>10516621</v>
      </c>
      <c r="F31" s="18">
        <v>10639726</v>
      </c>
      <c r="G31" s="18">
        <v>10683546</v>
      </c>
      <c r="H31" s="18">
        <v>10706659</v>
      </c>
      <c r="I31" s="18">
        <v>10720635</v>
      </c>
      <c r="J31" s="18">
        <v>10725793</v>
      </c>
      <c r="K31" s="18">
        <v>10730705</v>
      </c>
      <c r="L31" s="18">
        <v>10734716</v>
      </c>
      <c r="M31" s="18">
        <v>10736956</v>
      </c>
      <c r="N31" s="18">
        <v>10737520</v>
      </c>
      <c r="O31" s="18">
        <v>10736529</v>
      </c>
      <c r="P31" s="18">
        <v>10733864</v>
      </c>
      <c r="Q31" s="18">
        <v>10729604</v>
      </c>
      <c r="R31" s="18">
        <v>10726065</v>
      </c>
      <c r="S31" s="18">
        <v>10721471</v>
      </c>
      <c r="T31" s="18">
        <v>10714573</v>
      </c>
      <c r="U31" s="18">
        <v>10705227</v>
      </c>
      <c r="V31" s="18">
        <v>10694178</v>
      </c>
      <c r="W31" s="18">
        <v>10681263</v>
      </c>
      <c r="X31" s="18">
        <v>10666223</v>
      </c>
      <c r="Y31" s="18">
        <v>10648774</v>
      </c>
      <c r="Z31" s="18">
        <v>10628156</v>
      </c>
      <c r="AA31" s="18">
        <v>10605226</v>
      </c>
      <c r="AB31" s="18">
        <v>10580552</v>
      </c>
      <c r="AC31" s="18">
        <v>10553663</v>
      </c>
      <c r="AD31" s="18">
        <v>10525124</v>
      </c>
      <c r="AE31" s="18">
        <v>10494622</v>
      </c>
      <c r="AF31" s="18">
        <v>10462625</v>
      </c>
    </row>
    <row r="32" spans="1:32" x14ac:dyDescent="0.25">
      <c r="A32" s="19" t="s">
        <v>174</v>
      </c>
      <c r="B32" s="19" t="s">
        <v>149</v>
      </c>
      <c r="C32" s="26" t="s">
        <v>198</v>
      </c>
      <c r="D32" s="26" t="str">
        <f t="shared" si="0"/>
        <v>RO_POPTF</v>
      </c>
      <c r="E32" s="20">
        <v>19054548</v>
      </c>
      <c r="F32" s="20">
        <v>19064409</v>
      </c>
      <c r="G32" s="20">
        <v>19049567</v>
      </c>
      <c r="H32" s="20">
        <v>18973917</v>
      </c>
      <c r="I32" s="20">
        <v>18885805</v>
      </c>
      <c r="J32" s="20">
        <v>18783896</v>
      </c>
      <c r="K32" s="20">
        <v>18683790</v>
      </c>
      <c r="L32" s="20">
        <v>18584198</v>
      </c>
      <c r="M32" s="20">
        <v>18485292</v>
      </c>
      <c r="N32" s="20">
        <v>18386799</v>
      </c>
      <c r="O32" s="20">
        <v>18303929</v>
      </c>
      <c r="P32" s="20">
        <v>18224814</v>
      </c>
      <c r="Q32" s="20">
        <v>18143414</v>
      </c>
      <c r="R32" s="20">
        <v>18065952</v>
      </c>
      <c r="S32" s="20">
        <v>17988706</v>
      </c>
      <c r="T32" s="20">
        <v>17911534</v>
      </c>
      <c r="U32" s="20">
        <v>17836094</v>
      </c>
      <c r="V32" s="20">
        <v>17762186</v>
      </c>
      <c r="W32" s="20">
        <v>17688181</v>
      </c>
      <c r="X32" s="20">
        <v>17614664</v>
      </c>
      <c r="Y32" s="20">
        <v>17542119</v>
      </c>
      <c r="Z32" s="20">
        <v>17469419</v>
      </c>
      <c r="AA32" s="20">
        <v>17396901</v>
      </c>
      <c r="AB32" s="20">
        <v>17324435</v>
      </c>
      <c r="AC32" s="20">
        <v>17251405</v>
      </c>
      <c r="AD32" s="20">
        <v>17176947</v>
      </c>
      <c r="AE32" s="20">
        <v>17101503</v>
      </c>
      <c r="AF32" s="20">
        <v>17028756</v>
      </c>
    </row>
    <row r="33" spans="1:32" x14ac:dyDescent="0.25">
      <c r="A33" s="19" t="s">
        <v>174</v>
      </c>
      <c r="B33" s="19" t="s">
        <v>148</v>
      </c>
      <c r="C33" s="26" t="s">
        <v>213</v>
      </c>
      <c r="D33" s="26" t="str">
        <f t="shared" si="0"/>
        <v>SI_POPTF</v>
      </c>
      <c r="E33" s="18">
        <v>2116972</v>
      </c>
      <c r="F33" s="18">
        <v>2123949</v>
      </c>
      <c r="G33" s="18">
        <v>2128649</v>
      </c>
      <c r="H33" s="18">
        <v>2130426</v>
      </c>
      <c r="I33" s="18">
        <v>2131471</v>
      </c>
      <c r="J33" s="18">
        <v>2131780</v>
      </c>
      <c r="K33" s="18">
        <v>2132114</v>
      </c>
      <c r="L33" s="18">
        <v>2132202</v>
      </c>
      <c r="M33" s="18">
        <v>2132234</v>
      </c>
      <c r="N33" s="18">
        <v>2132118</v>
      </c>
      <c r="O33" s="18">
        <v>2131774</v>
      </c>
      <c r="P33" s="18">
        <v>2131291</v>
      </c>
      <c r="Q33" s="18">
        <v>2130683</v>
      </c>
      <c r="R33" s="18">
        <v>2130291</v>
      </c>
      <c r="S33" s="18">
        <v>2129862</v>
      </c>
      <c r="T33" s="18">
        <v>2129524</v>
      </c>
      <c r="U33" s="18">
        <v>2129109</v>
      </c>
      <c r="V33" s="18">
        <v>2128523</v>
      </c>
      <c r="W33" s="18">
        <v>2127851</v>
      </c>
      <c r="X33" s="18">
        <v>2127082</v>
      </c>
      <c r="Y33" s="18">
        <v>2126025</v>
      </c>
      <c r="Z33" s="18">
        <v>2124763</v>
      </c>
      <c r="AA33" s="18">
        <v>2123289</v>
      </c>
      <c r="AB33" s="18">
        <v>2121553</v>
      </c>
      <c r="AC33" s="18">
        <v>2119491</v>
      </c>
      <c r="AD33" s="18">
        <v>2117103</v>
      </c>
      <c r="AE33" s="18">
        <v>2114388</v>
      </c>
      <c r="AF33" s="18">
        <v>2111417</v>
      </c>
    </row>
    <row r="34" spans="1:32" x14ac:dyDescent="0.25">
      <c r="A34" s="19" t="s">
        <v>174</v>
      </c>
      <c r="B34" s="19" t="s">
        <v>147</v>
      </c>
      <c r="C34" s="26" t="s">
        <v>214</v>
      </c>
      <c r="D34" s="26" t="str">
        <f t="shared" si="0"/>
        <v>SK_POPTF</v>
      </c>
      <c r="E34" s="20">
        <v>5505236</v>
      </c>
      <c r="F34" s="20">
        <v>5519801</v>
      </c>
      <c r="G34" s="20">
        <v>5535423</v>
      </c>
      <c r="H34" s="20">
        <v>5521829</v>
      </c>
      <c r="I34" s="20">
        <v>5507965</v>
      </c>
      <c r="J34" s="20">
        <v>5493390</v>
      </c>
      <c r="K34" s="20">
        <v>5478712</v>
      </c>
      <c r="L34" s="20">
        <v>5463558</v>
      </c>
      <c r="M34" s="20">
        <v>5447611</v>
      </c>
      <c r="N34" s="20">
        <v>5430926</v>
      </c>
      <c r="O34" s="20">
        <v>5413624</v>
      </c>
      <c r="P34" s="20">
        <v>5396082</v>
      </c>
      <c r="Q34" s="20">
        <v>5378738</v>
      </c>
      <c r="R34" s="20">
        <v>5365579</v>
      </c>
      <c r="S34" s="20">
        <v>5352246</v>
      </c>
      <c r="T34" s="20">
        <v>5339430</v>
      </c>
      <c r="U34" s="20">
        <v>5327297</v>
      </c>
      <c r="V34" s="20">
        <v>5315101</v>
      </c>
      <c r="W34" s="20">
        <v>5302898</v>
      </c>
      <c r="X34" s="20">
        <v>5290819</v>
      </c>
      <c r="Y34" s="20">
        <v>5278735</v>
      </c>
      <c r="Z34" s="20">
        <v>5266649</v>
      </c>
      <c r="AA34" s="20">
        <v>5254582</v>
      </c>
      <c r="AB34" s="20">
        <v>5242068</v>
      </c>
      <c r="AC34" s="20">
        <v>5229371</v>
      </c>
      <c r="AD34" s="20">
        <v>5216583</v>
      </c>
      <c r="AE34" s="20">
        <v>5203626</v>
      </c>
      <c r="AF34" s="20">
        <v>5190441</v>
      </c>
    </row>
    <row r="35" spans="1:32" x14ac:dyDescent="0.25">
      <c r="A35" s="19" t="s">
        <v>174</v>
      </c>
      <c r="B35" s="19" t="s">
        <v>146</v>
      </c>
      <c r="C35" s="26" t="s">
        <v>199</v>
      </c>
      <c r="D35" s="26" t="str">
        <f t="shared" si="0"/>
        <v>FI_POPTF</v>
      </c>
      <c r="E35" s="18">
        <v>5600142</v>
      </c>
      <c r="F35" s="18">
        <v>5637602</v>
      </c>
      <c r="G35" s="18">
        <v>5663073</v>
      </c>
      <c r="H35" s="18">
        <v>5668592</v>
      </c>
      <c r="I35" s="18">
        <v>5671937</v>
      </c>
      <c r="J35" s="18">
        <v>5672966</v>
      </c>
      <c r="K35" s="18">
        <v>5673692</v>
      </c>
      <c r="L35" s="18">
        <v>5674018</v>
      </c>
      <c r="M35" s="18">
        <v>5673992</v>
      </c>
      <c r="N35" s="18">
        <v>5673601</v>
      </c>
      <c r="O35" s="18">
        <v>5672965</v>
      </c>
      <c r="P35" s="18">
        <v>5672022</v>
      </c>
      <c r="Q35" s="18">
        <v>5670433</v>
      </c>
      <c r="R35" s="18">
        <v>5670611</v>
      </c>
      <c r="S35" s="18">
        <v>5670156</v>
      </c>
      <c r="T35" s="18">
        <v>5669218</v>
      </c>
      <c r="U35" s="18">
        <v>5667857</v>
      </c>
      <c r="V35" s="18">
        <v>5666511</v>
      </c>
      <c r="W35" s="18">
        <v>5665203</v>
      </c>
      <c r="X35" s="18">
        <v>5663768</v>
      </c>
      <c r="Y35" s="18">
        <v>5662068</v>
      </c>
      <c r="Z35" s="18">
        <v>5660105</v>
      </c>
      <c r="AA35" s="18">
        <v>5657930</v>
      </c>
      <c r="AB35" s="18">
        <v>5655613</v>
      </c>
      <c r="AC35" s="18">
        <v>5653169</v>
      </c>
      <c r="AD35" s="18">
        <v>5650823</v>
      </c>
      <c r="AE35" s="18">
        <v>5648344</v>
      </c>
      <c r="AF35" s="18">
        <v>5645557</v>
      </c>
    </row>
    <row r="36" spans="1:32" x14ac:dyDescent="0.25">
      <c r="A36" s="19" t="s">
        <v>174</v>
      </c>
      <c r="B36" s="19" t="s">
        <v>144</v>
      </c>
      <c r="C36" s="26" t="s">
        <v>215</v>
      </c>
      <c r="D36" s="26" t="str">
        <f t="shared" si="0"/>
        <v>SE_POPTF</v>
      </c>
      <c r="E36" s="20">
        <v>10558592</v>
      </c>
      <c r="F36" s="20">
        <v>10586158</v>
      </c>
      <c r="G36" s="20">
        <v>10647601</v>
      </c>
      <c r="H36" s="20">
        <v>10709880</v>
      </c>
      <c r="I36" s="20">
        <v>10773030</v>
      </c>
      <c r="J36" s="20">
        <v>10836957</v>
      </c>
      <c r="K36" s="20">
        <v>10898754</v>
      </c>
      <c r="L36" s="20">
        <v>10958590</v>
      </c>
      <c r="M36" s="20">
        <v>11016622</v>
      </c>
      <c r="N36" s="20">
        <v>11073073</v>
      </c>
      <c r="O36" s="20">
        <v>11128212</v>
      </c>
      <c r="P36" s="20">
        <v>11182322</v>
      </c>
      <c r="Q36" s="20">
        <v>11235683</v>
      </c>
      <c r="R36" s="20">
        <v>11289957</v>
      </c>
      <c r="S36" s="20">
        <v>11343926</v>
      </c>
      <c r="T36" s="20">
        <v>11397805</v>
      </c>
      <c r="U36" s="20">
        <v>11451738</v>
      </c>
      <c r="V36" s="20">
        <v>11505805</v>
      </c>
      <c r="W36" s="20">
        <v>11560025</v>
      </c>
      <c r="X36" s="20">
        <v>11614361</v>
      </c>
      <c r="Y36" s="20">
        <v>11668726</v>
      </c>
      <c r="Z36" s="20">
        <v>11722996</v>
      </c>
      <c r="AA36" s="20">
        <v>11777004</v>
      </c>
      <c r="AB36" s="20">
        <v>11830556</v>
      </c>
      <c r="AC36" s="20">
        <v>11883432</v>
      </c>
      <c r="AD36" s="20">
        <v>11935389</v>
      </c>
      <c r="AE36" s="20">
        <v>11986183</v>
      </c>
      <c r="AF36" s="20">
        <v>12035580</v>
      </c>
    </row>
    <row r="37" spans="1:32" x14ac:dyDescent="0.25">
      <c r="A37" s="19" t="s">
        <v>172</v>
      </c>
      <c r="B37" s="19" t="s">
        <v>171</v>
      </c>
      <c r="C37" s="26" t="s">
        <v>189</v>
      </c>
      <c r="D37" s="26" t="str">
        <f>C37&amp;"_POPAF"</f>
        <v>BE_POPAF</v>
      </c>
      <c r="E37" s="18">
        <v>8713622</v>
      </c>
      <c r="F37" s="18">
        <v>8781869</v>
      </c>
      <c r="G37" s="18">
        <v>8841283</v>
      </c>
      <c r="H37" s="18">
        <v>8882325</v>
      </c>
      <c r="I37" s="18">
        <v>8918000</v>
      </c>
      <c r="J37" s="18">
        <v>8943923</v>
      </c>
      <c r="K37" s="18">
        <v>8965183</v>
      </c>
      <c r="L37" s="18">
        <v>8984021</v>
      </c>
      <c r="M37" s="18">
        <v>8997401</v>
      </c>
      <c r="N37" s="18">
        <v>9008304</v>
      </c>
      <c r="O37" s="18">
        <v>9014420</v>
      </c>
      <c r="P37" s="18">
        <v>9016678</v>
      </c>
      <c r="Q37" s="18">
        <v>9014897</v>
      </c>
      <c r="R37" s="18">
        <v>9012609</v>
      </c>
      <c r="S37" s="18">
        <v>9011799</v>
      </c>
      <c r="T37" s="18">
        <v>9005419</v>
      </c>
      <c r="U37" s="18">
        <v>8992716</v>
      </c>
      <c r="V37" s="18">
        <v>8980117</v>
      </c>
      <c r="W37" s="18">
        <v>8970838</v>
      </c>
      <c r="X37" s="18">
        <v>8964357</v>
      </c>
      <c r="Y37" s="18">
        <v>8960845</v>
      </c>
      <c r="Z37" s="18">
        <v>8957312</v>
      </c>
      <c r="AA37" s="18">
        <v>8953041</v>
      </c>
      <c r="AB37" s="18">
        <v>8947140</v>
      </c>
      <c r="AC37" s="18">
        <v>8942267</v>
      </c>
      <c r="AD37" s="18">
        <v>8939934</v>
      </c>
      <c r="AE37" s="18">
        <v>8941198</v>
      </c>
      <c r="AF37" s="18">
        <v>8944746</v>
      </c>
    </row>
    <row r="38" spans="1:32" x14ac:dyDescent="0.25">
      <c r="A38" s="19" t="s">
        <v>172</v>
      </c>
      <c r="B38" s="19" t="s">
        <v>170</v>
      </c>
      <c r="C38" s="26" t="s">
        <v>200</v>
      </c>
      <c r="D38" s="26" t="str">
        <f t="shared" ref="D38:D63" si="1">C38&amp;"_POPAF"</f>
        <v>BG_POPAF</v>
      </c>
      <c r="E38" s="20">
        <v>4960389</v>
      </c>
      <c r="F38" s="20">
        <v>4907337</v>
      </c>
      <c r="G38" s="20">
        <v>4895085</v>
      </c>
      <c r="H38" s="20">
        <v>4852191</v>
      </c>
      <c r="I38" s="20">
        <v>4813316</v>
      </c>
      <c r="J38" s="20">
        <v>4769502</v>
      </c>
      <c r="K38" s="20">
        <v>4725757</v>
      </c>
      <c r="L38" s="20">
        <v>4686503</v>
      </c>
      <c r="M38" s="20">
        <v>4644697</v>
      </c>
      <c r="N38" s="20">
        <v>4604696</v>
      </c>
      <c r="O38" s="20">
        <v>4567385</v>
      </c>
      <c r="P38" s="20">
        <v>4530408</v>
      </c>
      <c r="Q38" s="20">
        <v>4494907</v>
      </c>
      <c r="R38" s="20">
        <v>4459211</v>
      </c>
      <c r="S38" s="20">
        <v>4423627</v>
      </c>
      <c r="T38" s="20">
        <v>4390966</v>
      </c>
      <c r="U38" s="20">
        <v>4359637</v>
      </c>
      <c r="V38" s="20">
        <v>4324362</v>
      </c>
      <c r="W38" s="20">
        <v>4291120</v>
      </c>
      <c r="X38" s="20">
        <v>4259509</v>
      </c>
      <c r="Y38" s="20">
        <v>4226734</v>
      </c>
      <c r="Z38" s="20">
        <v>4185403</v>
      </c>
      <c r="AA38" s="20">
        <v>4142983</v>
      </c>
      <c r="AB38" s="20">
        <v>4102125</v>
      </c>
      <c r="AC38" s="20">
        <v>4064171</v>
      </c>
      <c r="AD38" s="20">
        <v>4028615</v>
      </c>
      <c r="AE38" s="20">
        <v>3989058</v>
      </c>
      <c r="AF38" s="20">
        <v>3945835</v>
      </c>
    </row>
    <row r="39" spans="1:32" x14ac:dyDescent="0.25">
      <c r="A39" s="19" t="s">
        <v>172</v>
      </c>
      <c r="B39" s="19" t="s">
        <v>169</v>
      </c>
      <c r="C39" s="26" t="s">
        <v>190</v>
      </c>
      <c r="D39" s="26" t="str">
        <f t="shared" si="1"/>
        <v>CZ_POPAF</v>
      </c>
      <c r="E39" s="18">
        <v>8134790</v>
      </c>
      <c r="F39" s="18">
        <v>8128502</v>
      </c>
      <c r="G39" s="18">
        <v>8113346</v>
      </c>
      <c r="H39" s="18">
        <v>8084439</v>
      </c>
      <c r="I39" s="18">
        <v>8049524</v>
      </c>
      <c r="J39" s="18">
        <v>8018625</v>
      </c>
      <c r="K39" s="18">
        <v>7990724</v>
      </c>
      <c r="L39" s="18">
        <v>7967838</v>
      </c>
      <c r="M39" s="18">
        <v>7946593</v>
      </c>
      <c r="N39" s="18">
        <v>7928624</v>
      </c>
      <c r="O39" s="18">
        <v>7915291</v>
      </c>
      <c r="P39" s="18">
        <v>7909758</v>
      </c>
      <c r="Q39" s="18">
        <v>7910241</v>
      </c>
      <c r="R39" s="18">
        <v>7917851</v>
      </c>
      <c r="S39" s="18">
        <v>7926826</v>
      </c>
      <c r="T39" s="18">
        <v>7921782</v>
      </c>
      <c r="U39" s="18">
        <v>7898640</v>
      </c>
      <c r="V39" s="18">
        <v>7874282</v>
      </c>
      <c r="W39" s="18">
        <v>7852226</v>
      </c>
      <c r="X39" s="18">
        <v>7832345</v>
      </c>
      <c r="Y39" s="18">
        <v>7812174</v>
      </c>
      <c r="Z39" s="18">
        <v>7791118</v>
      </c>
      <c r="AA39" s="18">
        <v>7763387</v>
      </c>
      <c r="AB39" s="18">
        <v>7729564</v>
      </c>
      <c r="AC39" s="18">
        <v>7690417</v>
      </c>
      <c r="AD39" s="18">
        <v>7644792</v>
      </c>
      <c r="AE39" s="18">
        <v>7586537</v>
      </c>
      <c r="AF39" s="18">
        <v>7519955</v>
      </c>
    </row>
    <row r="40" spans="1:32" x14ac:dyDescent="0.25">
      <c r="A40" s="19" t="s">
        <v>172</v>
      </c>
      <c r="B40" s="19" t="s">
        <v>168</v>
      </c>
      <c r="C40" s="26" t="s">
        <v>201</v>
      </c>
      <c r="D40" s="26" t="str">
        <f t="shared" si="1"/>
        <v>DK_POPAF</v>
      </c>
      <c r="E40" s="20">
        <v>4396013</v>
      </c>
      <c r="F40" s="20">
        <v>4412392</v>
      </c>
      <c r="G40" s="20">
        <v>4429113</v>
      </c>
      <c r="H40" s="20">
        <v>4441187</v>
      </c>
      <c r="I40" s="20">
        <v>4448394</v>
      </c>
      <c r="J40" s="20">
        <v>4451598</v>
      </c>
      <c r="K40" s="20">
        <v>4452236</v>
      </c>
      <c r="L40" s="20">
        <v>4454833</v>
      </c>
      <c r="M40" s="20">
        <v>4457518</v>
      </c>
      <c r="N40" s="20">
        <v>4462566</v>
      </c>
      <c r="O40" s="20">
        <v>4467290</v>
      </c>
      <c r="P40" s="20">
        <v>4471280</v>
      </c>
      <c r="Q40" s="20">
        <v>4475513</v>
      </c>
      <c r="R40" s="20">
        <v>4478110</v>
      </c>
      <c r="S40" s="20">
        <v>4482758</v>
      </c>
      <c r="T40" s="20">
        <v>4480609</v>
      </c>
      <c r="U40" s="20">
        <v>4473282</v>
      </c>
      <c r="V40" s="20">
        <v>4466838</v>
      </c>
      <c r="W40" s="20">
        <v>4459471</v>
      </c>
      <c r="X40" s="20">
        <v>4449877</v>
      </c>
      <c r="Y40" s="20">
        <v>4445247</v>
      </c>
      <c r="Z40" s="20">
        <v>4444990</v>
      </c>
      <c r="AA40" s="20">
        <v>4446649</v>
      </c>
      <c r="AB40" s="20">
        <v>4447364</v>
      </c>
      <c r="AC40" s="20">
        <v>4444913</v>
      </c>
      <c r="AD40" s="20">
        <v>4440849</v>
      </c>
      <c r="AE40" s="20">
        <v>4439265</v>
      </c>
      <c r="AF40" s="20">
        <v>4436784</v>
      </c>
    </row>
    <row r="41" spans="1:32" x14ac:dyDescent="0.25">
      <c r="A41" s="19" t="s">
        <v>172</v>
      </c>
      <c r="B41" s="19" t="s">
        <v>167</v>
      </c>
      <c r="C41" s="26" t="s">
        <v>191</v>
      </c>
      <c r="D41" s="26" t="str">
        <f t="shared" si="1"/>
        <v>DE_POPAF</v>
      </c>
      <c r="E41" s="18">
        <v>62375443</v>
      </c>
      <c r="F41" s="18">
        <v>62623030</v>
      </c>
      <c r="G41" s="18">
        <v>62827058</v>
      </c>
      <c r="H41" s="18">
        <v>62822509</v>
      </c>
      <c r="I41" s="18">
        <v>62760002</v>
      </c>
      <c r="J41" s="18">
        <v>62649872</v>
      </c>
      <c r="K41" s="18">
        <v>62554857</v>
      </c>
      <c r="L41" s="18">
        <v>62470615</v>
      </c>
      <c r="M41" s="18">
        <v>62386326</v>
      </c>
      <c r="N41" s="18">
        <v>62308313</v>
      </c>
      <c r="O41" s="18">
        <v>62214426</v>
      </c>
      <c r="P41" s="18">
        <v>62106768</v>
      </c>
      <c r="Q41" s="18">
        <v>61937418</v>
      </c>
      <c r="R41" s="18">
        <v>61765048</v>
      </c>
      <c r="S41" s="18">
        <v>61573249</v>
      </c>
      <c r="T41" s="18">
        <v>61315880</v>
      </c>
      <c r="U41" s="18">
        <v>61008410</v>
      </c>
      <c r="V41" s="18">
        <v>60713476</v>
      </c>
      <c r="W41" s="18">
        <v>60429493</v>
      </c>
      <c r="X41" s="18">
        <v>60141227</v>
      </c>
      <c r="Y41" s="18">
        <v>59876293</v>
      </c>
      <c r="Z41" s="18">
        <v>59632310</v>
      </c>
      <c r="AA41" s="18">
        <v>59428603</v>
      </c>
      <c r="AB41" s="18">
        <v>59291337</v>
      </c>
      <c r="AC41" s="18">
        <v>59179699</v>
      </c>
      <c r="AD41" s="18">
        <v>59148500</v>
      </c>
      <c r="AE41" s="18">
        <v>59174496</v>
      </c>
      <c r="AF41" s="18">
        <v>59193299</v>
      </c>
    </row>
    <row r="42" spans="1:32" x14ac:dyDescent="0.25">
      <c r="A42" s="19" t="s">
        <v>172</v>
      </c>
      <c r="B42" s="19" t="s">
        <v>166</v>
      </c>
      <c r="C42" s="26" t="s">
        <v>202</v>
      </c>
      <c r="D42" s="26" t="str">
        <f t="shared" si="1"/>
        <v>EE_POPAF</v>
      </c>
      <c r="E42" s="20">
        <v>1015410</v>
      </c>
      <c r="F42" s="20">
        <v>1033559</v>
      </c>
      <c r="G42" s="20">
        <v>1033272</v>
      </c>
      <c r="H42" s="20">
        <v>1033870</v>
      </c>
      <c r="I42" s="20">
        <v>1032421</v>
      </c>
      <c r="J42" s="20">
        <v>1030143</v>
      </c>
      <c r="K42" s="20">
        <v>1027796</v>
      </c>
      <c r="L42" s="20">
        <v>1024866</v>
      </c>
      <c r="M42" s="20">
        <v>1021851</v>
      </c>
      <c r="N42" s="20">
        <v>1019304</v>
      </c>
      <c r="O42" s="20">
        <v>1016308</v>
      </c>
      <c r="P42" s="20">
        <v>1013990</v>
      </c>
      <c r="Q42" s="20">
        <v>1011274</v>
      </c>
      <c r="R42" s="20">
        <v>1008544</v>
      </c>
      <c r="S42" s="20">
        <v>1005850</v>
      </c>
      <c r="T42" s="20">
        <v>1001799</v>
      </c>
      <c r="U42" s="20">
        <v>997788</v>
      </c>
      <c r="V42" s="20">
        <v>994079</v>
      </c>
      <c r="W42" s="20">
        <v>990764</v>
      </c>
      <c r="X42" s="20">
        <v>987463</v>
      </c>
      <c r="Y42" s="20">
        <v>984168</v>
      </c>
      <c r="Z42" s="20">
        <v>980100</v>
      </c>
      <c r="AA42" s="20">
        <v>975462</v>
      </c>
      <c r="AB42" s="20">
        <v>970477</v>
      </c>
      <c r="AC42" s="20">
        <v>965345</v>
      </c>
      <c r="AD42" s="20">
        <v>960558</v>
      </c>
      <c r="AE42" s="20">
        <v>956328</v>
      </c>
      <c r="AF42" s="20">
        <v>952094</v>
      </c>
    </row>
    <row r="43" spans="1:32" x14ac:dyDescent="0.25">
      <c r="A43" s="19" t="s">
        <v>172</v>
      </c>
      <c r="B43" s="19" t="s">
        <v>165</v>
      </c>
      <c r="C43" s="26" t="s">
        <v>203</v>
      </c>
      <c r="D43" s="26" t="str">
        <f t="shared" si="1"/>
        <v>IE_POPAF</v>
      </c>
      <c r="E43" s="18">
        <v>3904253</v>
      </c>
      <c r="F43" s="18">
        <v>3972979</v>
      </c>
      <c r="G43" s="18">
        <v>4039690</v>
      </c>
      <c r="H43" s="18">
        <v>4089263</v>
      </c>
      <c r="I43" s="18">
        <v>4135342</v>
      </c>
      <c r="J43" s="18">
        <v>4176017</v>
      </c>
      <c r="K43" s="18">
        <v>4213882</v>
      </c>
      <c r="L43" s="18">
        <v>4248692</v>
      </c>
      <c r="M43" s="18">
        <v>4281760</v>
      </c>
      <c r="N43" s="18">
        <v>4310863</v>
      </c>
      <c r="O43" s="18">
        <v>4335014</v>
      </c>
      <c r="P43" s="18">
        <v>4358964</v>
      </c>
      <c r="Q43" s="18">
        <v>4378089</v>
      </c>
      <c r="R43" s="18">
        <v>4393629</v>
      </c>
      <c r="S43" s="18">
        <v>4411667</v>
      </c>
      <c r="T43" s="18">
        <v>4422018</v>
      </c>
      <c r="U43" s="18">
        <v>4430352</v>
      </c>
      <c r="V43" s="18">
        <v>4436383</v>
      </c>
      <c r="W43" s="18">
        <v>4441298</v>
      </c>
      <c r="X43" s="18">
        <v>4446810</v>
      </c>
      <c r="Y43" s="18">
        <v>4450796</v>
      </c>
      <c r="Z43" s="18">
        <v>4454650</v>
      </c>
      <c r="AA43" s="18">
        <v>4456589</v>
      </c>
      <c r="AB43" s="18">
        <v>4456139</v>
      </c>
      <c r="AC43" s="18">
        <v>4456727</v>
      </c>
      <c r="AD43" s="18">
        <v>4454455</v>
      </c>
      <c r="AE43" s="18">
        <v>4451585</v>
      </c>
      <c r="AF43" s="18">
        <v>4449091</v>
      </c>
    </row>
    <row r="44" spans="1:32" x14ac:dyDescent="0.25">
      <c r="A44" s="19" t="s">
        <v>172</v>
      </c>
      <c r="B44" s="19" t="s">
        <v>164</v>
      </c>
      <c r="C44" s="26" t="s">
        <v>204</v>
      </c>
      <c r="D44" s="26" t="str">
        <f t="shared" si="1"/>
        <v>EL_POPAF</v>
      </c>
      <c r="E44" s="20">
        <v>7813497</v>
      </c>
      <c r="F44" s="20">
        <v>7750993</v>
      </c>
      <c r="G44" s="20">
        <v>7738963</v>
      </c>
      <c r="H44" s="20">
        <v>7705742</v>
      </c>
      <c r="I44" s="20">
        <v>7661805</v>
      </c>
      <c r="J44" s="20">
        <v>7615175</v>
      </c>
      <c r="K44" s="20">
        <v>7567476</v>
      </c>
      <c r="L44" s="20">
        <v>7515730</v>
      </c>
      <c r="M44" s="20">
        <v>7461671</v>
      </c>
      <c r="N44" s="20">
        <v>7406316</v>
      </c>
      <c r="O44" s="20">
        <v>7350141</v>
      </c>
      <c r="P44" s="20">
        <v>7289193</v>
      </c>
      <c r="Q44" s="20">
        <v>7221596</v>
      </c>
      <c r="R44" s="20">
        <v>7155943</v>
      </c>
      <c r="S44" s="20">
        <v>7095201</v>
      </c>
      <c r="T44" s="20">
        <v>7030830</v>
      </c>
      <c r="U44" s="20">
        <v>6961743</v>
      </c>
      <c r="V44" s="20">
        <v>6888878</v>
      </c>
      <c r="W44" s="20">
        <v>6813640</v>
      </c>
      <c r="X44" s="20">
        <v>6734858</v>
      </c>
      <c r="Y44" s="20">
        <v>6652622</v>
      </c>
      <c r="Z44" s="20">
        <v>6570849</v>
      </c>
      <c r="AA44" s="20">
        <v>6495285</v>
      </c>
      <c r="AB44" s="20">
        <v>6423194</v>
      </c>
      <c r="AC44" s="20">
        <v>6352973</v>
      </c>
      <c r="AD44" s="20">
        <v>6284644</v>
      </c>
      <c r="AE44" s="20">
        <v>6217756</v>
      </c>
      <c r="AF44" s="20">
        <v>6148828</v>
      </c>
    </row>
    <row r="45" spans="1:32" x14ac:dyDescent="0.25">
      <c r="A45" s="19" t="s">
        <v>172</v>
      </c>
      <c r="B45" s="19" t="s">
        <v>163</v>
      </c>
      <c r="C45" s="26" t="s">
        <v>192</v>
      </c>
      <c r="D45" s="26" t="str">
        <f t="shared" si="1"/>
        <v>ES_POPAF</v>
      </c>
      <c r="E45" s="18">
        <v>36763280</v>
      </c>
      <c r="F45" s="18">
        <v>37243770</v>
      </c>
      <c r="G45" s="18">
        <v>37655415</v>
      </c>
      <c r="H45" s="18">
        <v>37992409</v>
      </c>
      <c r="I45" s="18">
        <v>38258690</v>
      </c>
      <c r="J45" s="18">
        <v>38436036</v>
      </c>
      <c r="K45" s="18">
        <v>38578198</v>
      </c>
      <c r="L45" s="18">
        <v>38727824</v>
      </c>
      <c r="M45" s="18">
        <v>38848269</v>
      </c>
      <c r="N45" s="18">
        <v>38944895</v>
      </c>
      <c r="O45" s="18">
        <v>38988099</v>
      </c>
      <c r="P45" s="18">
        <v>38995611</v>
      </c>
      <c r="Q45" s="18">
        <v>38975234</v>
      </c>
      <c r="R45" s="18">
        <v>38926330</v>
      </c>
      <c r="S45" s="18">
        <v>38881594</v>
      </c>
      <c r="T45" s="18">
        <v>38812115</v>
      </c>
      <c r="U45" s="18">
        <v>38717266</v>
      </c>
      <c r="V45" s="18">
        <v>38599374</v>
      </c>
      <c r="W45" s="18">
        <v>38489297</v>
      </c>
      <c r="X45" s="18">
        <v>38375828</v>
      </c>
      <c r="Y45" s="18">
        <v>38245734</v>
      </c>
      <c r="Z45" s="18">
        <v>38120566</v>
      </c>
      <c r="AA45" s="18">
        <v>37989169</v>
      </c>
      <c r="AB45" s="18">
        <v>37850417</v>
      </c>
      <c r="AC45" s="18">
        <v>37703375</v>
      </c>
      <c r="AD45" s="18">
        <v>37546888</v>
      </c>
      <c r="AE45" s="18">
        <v>37388883</v>
      </c>
      <c r="AF45" s="18">
        <v>37215753</v>
      </c>
    </row>
    <row r="46" spans="1:32" x14ac:dyDescent="0.25">
      <c r="A46" s="19" t="s">
        <v>172</v>
      </c>
      <c r="B46" s="19" t="s">
        <v>162</v>
      </c>
      <c r="C46" s="26" t="s">
        <v>193</v>
      </c>
      <c r="D46" s="26" t="str">
        <f t="shared" si="1"/>
        <v>FR_POPAF</v>
      </c>
      <c r="E46" s="20">
        <v>49563406</v>
      </c>
      <c r="F46" s="20">
        <v>49648358</v>
      </c>
      <c r="G46" s="20">
        <v>49690277</v>
      </c>
      <c r="H46" s="20">
        <v>49743822</v>
      </c>
      <c r="I46" s="20">
        <v>49808515</v>
      </c>
      <c r="J46" s="20">
        <v>49859159</v>
      </c>
      <c r="K46" s="20">
        <v>49912125</v>
      </c>
      <c r="L46" s="20">
        <v>49954347</v>
      </c>
      <c r="M46" s="20">
        <v>49976484</v>
      </c>
      <c r="N46" s="20">
        <v>49977191</v>
      </c>
      <c r="O46" s="20">
        <v>49956098</v>
      </c>
      <c r="P46" s="20">
        <v>49923031</v>
      </c>
      <c r="Q46" s="20">
        <v>49867471</v>
      </c>
      <c r="R46" s="20">
        <v>49794680</v>
      </c>
      <c r="S46" s="20">
        <v>49728012</v>
      </c>
      <c r="T46" s="20">
        <v>49647558</v>
      </c>
      <c r="U46" s="20">
        <v>49541446</v>
      </c>
      <c r="V46" s="20">
        <v>49464702</v>
      </c>
      <c r="W46" s="20">
        <v>49395908</v>
      </c>
      <c r="X46" s="20">
        <v>49329819</v>
      </c>
      <c r="Y46" s="20">
        <v>49285721</v>
      </c>
      <c r="Z46" s="20">
        <v>49243704</v>
      </c>
      <c r="AA46" s="20">
        <v>49196741</v>
      </c>
      <c r="AB46" s="20">
        <v>49146334</v>
      </c>
      <c r="AC46" s="20">
        <v>49081352</v>
      </c>
      <c r="AD46" s="20">
        <v>49015499</v>
      </c>
      <c r="AE46" s="20">
        <v>48969571</v>
      </c>
      <c r="AF46" s="20">
        <v>48962176</v>
      </c>
    </row>
    <row r="47" spans="1:32" x14ac:dyDescent="0.25">
      <c r="A47" s="19" t="s">
        <v>172</v>
      </c>
      <c r="B47" s="19" t="s">
        <v>161</v>
      </c>
      <c r="C47" s="26" t="s">
        <v>205</v>
      </c>
      <c r="D47" s="26" t="str">
        <f t="shared" si="1"/>
        <v>HR_POPAF</v>
      </c>
      <c r="E47" s="18">
        <v>2938522</v>
      </c>
      <c r="F47" s="18">
        <v>2968154</v>
      </c>
      <c r="G47" s="18">
        <v>2950960</v>
      </c>
      <c r="H47" s="18">
        <v>2927643</v>
      </c>
      <c r="I47" s="18">
        <v>2903585</v>
      </c>
      <c r="J47" s="18">
        <v>2875087</v>
      </c>
      <c r="K47" s="18">
        <v>2844935</v>
      </c>
      <c r="L47" s="18">
        <v>2813868</v>
      </c>
      <c r="M47" s="18">
        <v>2781982</v>
      </c>
      <c r="N47" s="18">
        <v>2751154</v>
      </c>
      <c r="O47" s="18">
        <v>2722515</v>
      </c>
      <c r="P47" s="18">
        <v>2695630</v>
      </c>
      <c r="Q47" s="18">
        <v>2668346</v>
      </c>
      <c r="R47" s="18">
        <v>2642443</v>
      </c>
      <c r="S47" s="18">
        <v>2619120</v>
      </c>
      <c r="T47" s="18">
        <v>2595576</v>
      </c>
      <c r="U47" s="18">
        <v>2572411</v>
      </c>
      <c r="V47" s="18">
        <v>2550364</v>
      </c>
      <c r="W47" s="18">
        <v>2526791</v>
      </c>
      <c r="X47" s="18">
        <v>2503716</v>
      </c>
      <c r="Y47" s="18">
        <v>2482985</v>
      </c>
      <c r="Z47" s="18">
        <v>2463876</v>
      </c>
      <c r="AA47" s="18">
        <v>2445758</v>
      </c>
      <c r="AB47" s="18">
        <v>2429415</v>
      </c>
      <c r="AC47" s="18">
        <v>2411415</v>
      </c>
      <c r="AD47" s="18">
        <v>2393134</v>
      </c>
      <c r="AE47" s="18">
        <v>2375123</v>
      </c>
      <c r="AF47" s="18">
        <v>2357303</v>
      </c>
    </row>
    <row r="48" spans="1:32" x14ac:dyDescent="0.25">
      <c r="A48" s="19" t="s">
        <v>172</v>
      </c>
      <c r="B48" s="19" t="s">
        <v>160</v>
      </c>
      <c r="C48" s="26" t="s">
        <v>194</v>
      </c>
      <c r="D48" s="26" t="str">
        <f t="shared" si="1"/>
        <v>IT_POPAF</v>
      </c>
      <c r="E48" s="20">
        <v>44385497</v>
      </c>
      <c r="F48" s="20">
        <v>44373646</v>
      </c>
      <c r="G48" s="20">
        <v>44349403</v>
      </c>
      <c r="H48" s="20">
        <v>44301368</v>
      </c>
      <c r="I48" s="20">
        <v>44255078</v>
      </c>
      <c r="J48" s="20">
        <v>44191291</v>
      </c>
      <c r="K48" s="20">
        <v>44104073</v>
      </c>
      <c r="L48" s="20">
        <v>43988831</v>
      </c>
      <c r="M48" s="20">
        <v>43852354</v>
      </c>
      <c r="N48" s="20">
        <v>43696021</v>
      </c>
      <c r="O48" s="20">
        <v>43515427</v>
      </c>
      <c r="P48" s="20">
        <v>43312764</v>
      </c>
      <c r="Q48" s="20">
        <v>43064435</v>
      </c>
      <c r="R48" s="20">
        <v>42784554</v>
      </c>
      <c r="S48" s="20">
        <v>42479062</v>
      </c>
      <c r="T48" s="20">
        <v>42151286</v>
      </c>
      <c r="U48" s="20">
        <v>41785489</v>
      </c>
      <c r="V48" s="20">
        <v>41387866</v>
      </c>
      <c r="W48" s="20">
        <v>41001669</v>
      </c>
      <c r="X48" s="20">
        <v>40612874</v>
      </c>
      <c r="Y48" s="20">
        <v>40231323</v>
      </c>
      <c r="Z48" s="20">
        <v>39854048</v>
      </c>
      <c r="AA48" s="20">
        <v>39469514</v>
      </c>
      <c r="AB48" s="20">
        <v>39107939</v>
      </c>
      <c r="AC48" s="20">
        <v>38740596</v>
      </c>
      <c r="AD48" s="20">
        <v>38383847</v>
      </c>
      <c r="AE48" s="20">
        <v>38035994</v>
      </c>
      <c r="AF48" s="20">
        <v>37685733</v>
      </c>
    </row>
    <row r="49" spans="1:32" x14ac:dyDescent="0.25">
      <c r="A49" s="19" t="s">
        <v>172</v>
      </c>
      <c r="B49" s="19" t="s">
        <v>159</v>
      </c>
      <c r="C49" s="26" t="s">
        <v>195</v>
      </c>
      <c r="D49" s="26" t="str">
        <f t="shared" si="1"/>
        <v>CY_POPAF</v>
      </c>
      <c r="E49" s="18">
        <v>706207</v>
      </c>
      <c r="F49" s="18">
        <v>713963</v>
      </c>
      <c r="G49" s="18">
        <v>719014</v>
      </c>
      <c r="H49" s="18">
        <v>719995</v>
      </c>
      <c r="I49" s="18">
        <v>720509</v>
      </c>
      <c r="J49" s="18">
        <v>721402</v>
      </c>
      <c r="K49" s="18">
        <v>721851</v>
      </c>
      <c r="L49" s="18">
        <v>722527</v>
      </c>
      <c r="M49" s="18">
        <v>723119</v>
      </c>
      <c r="N49" s="18">
        <v>723692</v>
      </c>
      <c r="O49" s="18">
        <v>723814</v>
      </c>
      <c r="P49" s="18">
        <v>723687</v>
      </c>
      <c r="Q49" s="18">
        <v>723524</v>
      </c>
      <c r="R49" s="18">
        <v>724117</v>
      </c>
      <c r="S49" s="18">
        <v>724888</v>
      </c>
      <c r="T49" s="18">
        <v>725336</v>
      </c>
      <c r="U49" s="18">
        <v>725978</v>
      </c>
      <c r="V49" s="18">
        <v>726743</v>
      </c>
      <c r="W49" s="18">
        <v>727444</v>
      </c>
      <c r="X49" s="18">
        <v>728065</v>
      </c>
      <c r="Y49" s="18">
        <v>728619</v>
      </c>
      <c r="Z49" s="18">
        <v>729120</v>
      </c>
      <c r="AA49" s="18">
        <v>729640</v>
      </c>
      <c r="AB49" s="18">
        <v>730065</v>
      </c>
      <c r="AC49" s="18">
        <v>730497</v>
      </c>
      <c r="AD49" s="18">
        <v>730317</v>
      </c>
      <c r="AE49" s="18">
        <v>730189</v>
      </c>
      <c r="AF49" s="18">
        <v>730542</v>
      </c>
    </row>
    <row r="50" spans="1:32" x14ac:dyDescent="0.25">
      <c r="A50" s="19" t="s">
        <v>172</v>
      </c>
      <c r="B50" s="19" t="s">
        <v>158</v>
      </c>
      <c r="C50" s="26" t="s">
        <v>206</v>
      </c>
      <c r="D50" s="26" t="str">
        <f t="shared" si="1"/>
        <v>LV_POPAF</v>
      </c>
      <c r="E50" s="20">
        <v>1400128</v>
      </c>
      <c r="F50" s="20">
        <v>1396167</v>
      </c>
      <c r="G50" s="20">
        <v>1385900</v>
      </c>
      <c r="H50" s="20">
        <v>1368588</v>
      </c>
      <c r="I50" s="20">
        <v>1350914</v>
      </c>
      <c r="J50" s="20">
        <v>1334770</v>
      </c>
      <c r="K50" s="20">
        <v>1321031</v>
      </c>
      <c r="L50" s="20">
        <v>1307581</v>
      </c>
      <c r="M50" s="20">
        <v>1294149</v>
      </c>
      <c r="N50" s="20">
        <v>1281166</v>
      </c>
      <c r="O50" s="20">
        <v>1266868</v>
      </c>
      <c r="P50" s="20">
        <v>1251210</v>
      </c>
      <c r="Q50" s="20">
        <v>1235402</v>
      </c>
      <c r="R50" s="20">
        <v>1219966</v>
      </c>
      <c r="S50" s="20">
        <v>1204833</v>
      </c>
      <c r="T50" s="20">
        <v>1189047</v>
      </c>
      <c r="U50" s="20">
        <v>1173328</v>
      </c>
      <c r="V50" s="20">
        <v>1158464</v>
      </c>
      <c r="W50" s="20">
        <v>1144410</v>
      </c>
      <c r="X50" s="20">
        <v>1129865</v>
      </c>
      <c r="Y50" s="20">
        <v>1115400</v>
      </c>
      <c r="Z50" s="20">
        <v>1101004</v>
      </c>
      <c r="AA50" s="20">
        <v>1086782</v>
      </c>
      <c r="AB50" s="20">
        <v>1072396</v>
      </c>
      <c r="AC50" s="20">
        <v>1057919</v>
      </c>
      <c r="AD50" s="20">
        <v>1044303</v>
      </c>
      <c r="AE50" s="20">
        <v>1031663</v>
      </c>
      <c r="AF50" s="20">
        <v>1019343</v>
      </c>
    </row>
    <row r="51" spans="1:32" x14ac:dyDescent="0.25">
      <c r="A51" s="19" t="s">
        <v>172</v>
      </c>
      <c r="B51" s="19" t="s">
        <v>157</v>
      </c>
      <c r="C51" s="26" t="s">
        <v>207</v>
      </c>
      <c r="D51" s="26" t="str">
        <f t="shared" si="1"/>
        <v>LT_POPAF</v>
      </c>
      <c r="E51" s="18">
        <v>2167788</v>
      </c>
      <c r="F51" s="18">
        <v>2199513</v>
      </c>
      <c r="G51" s="18">
        <v>2213450</v>
      </c>
      <c r="H51" s="18">
        <v>2212422</v>
      </c>
      <c r="I51" s="18">
        <v>2207503</v>
      </c>
      <c r="J51" s="18">
        <v>2199340</v>
      </c>
      <c r="K51" s="18">
        <v>2191884</v>
      </c>
      <c r="L51" s="18">
        <v>2184125</v>
      </c>
      <c r="M51" s="18">
        <v>2176176</v>
      </c>
      <c r="N51" s="18">
        <v>2168732</v>
      </c>
      <c r="O51" s="18">
        <v>2157692</v>
      </c>
      <c r="P51" s="18">
        <v>2143828</v>
      </c>
      <c r="Q51" s="18">
        <v>2128310</v>
      </c>
      <c r="R51" s="18">
        <v>2113392</v>
      </c>
      <c r="S51" s="18">
        <v>2097867</v>
      </c>
      <c r="T51" s="18">
        <v>2082248</v>
      </c>
      <c r="U51" s="18">
        <v>2066961</v>
      </c>
      <c r="V51" s="18">
        <v>2053273</v>
      </c>
      <c r="W51" s="18">
        <v>2040247</v>
      </c>
      <c r="X51" s="18">
        <v>2027078</v>
      </c>
      <c r="Y51" s="18">
        <v>2014020</v>
      </c>
      <c r="Z51" s="18">
        <v>2000703</v>
      </c>
      <c r="AA51" s="18">
        <v>1987633</v>
      </c>
      <c r="AB51" s="18">
        <v>1974041</v>
      </c>
      <c r="AC51" s="18">
        <v>1960508</v>
      </c>
      <c r="AD51" s="18">
        <v>1948380</v>
      </c>
      <c r="AE51" s="18">
        <v>1938051</v>
      </c>
      <c r="AF51" s="18">
        <v>1928065</v>
      </c>
    </row>
    <row r="52" spans="1:32" x14ac:dyDescent="0.25">
      <c r="A52" s="19" t="s">
        <v>172</v>
      </c>
      <c r="B52" s="19" t="s">
        <v>156</v>
      </c>
      <c r="C52" s="26" t="s">
        <v>196</v>
      </c>
      <c r="D52" s="26" t="str">
        <f t="shared" si="1"/>
        <v>LU_POPAF</v>
      </c>
      <c r="E52" s="20">
        <v>512144</v>
      </c>
      <c r="F52" s="20">
        <v>521523</v>
      </c>
      <c r="G52" s="20">
        <v>530852</v>
      </c>
      <c r="H52" s="20">
        <v>540486</v>
      </c>
      <c r="I52" s="20">
        <v>549941</v>
      </c>
      <c r="J52" s="20">
        <v>558985</v>
      </c>
      <c r="K52" s="20">
        <v>567029</v>
      </c>
      <c r="L52" s="20">
        <v>574736</v>
      </c>
      <c r="M52" s="20">
        <v>581923</v>
      </c>
      <c r="N52" s="20">
        <v>588631</v>
      </c>
      <c r="O52" s="20">
        <v>594943</v>
      </c>
      <c r="P52" s="20">
        <v>600823</v>
      </c>
      <c r="Q52" s="20">
        <v>606179</v>
      </c>
      <c r="R52" s="20">
        <v>611274</v>
      </c>
      <c r="S52" s="20">
        <v>616004</v>
      </c>
      <c r="T52" s="20">
        <v>619856</v>
      </c>
      <c r="U52" s="20">
        <v>623112</v>
      </c>
      <c r="V52" s="20">
        <v>626262</v>
      </c>
      <c r="W52" s="20">
        <v>629184</v>
      </c>
      <c r="X52" s="20">
        <v>632041</v>
      </c>
      <c r="Y52" s="20">
        <v>634583</v>
      </c>
      <c r="Z52" s="20">
        <v>636939</v>
      </c>
      <c r="AA52" s="20">
        <v>639114</v>
      </c>
      <c r="AB52" s="20">
        <v>641243</v>
      </c>
      <c r="AC52" s="20">
        <v>642984</v>
      </c>
      <c r="AD52" s="20">
        <v>644718</v>
      </c>
      <c r="AE52" s="20">
        <v>646555</v>
      </c>
      <c r="AF52" s="20">
        <v>647965</v>
      </c>
    </row>
    <row r="53" spans="1:32" x14ac:dyDescent="0.25">
      <c r="A53" s="19" t="s">
        <v>172</v>
      </c>
      <c r="B53" s="19" t="s">
        <v>155</v>
      </c>
      <c r="C53" s="26" t="s">
        <v>197</v>
      </c>
      <c r="D53" s="26" t="str">
        <f t="shared" si="1"/>
        <v>HU_POPAF</v>
      </c>
      <c r="E53" s="18">
        <v>7402391</v>
      </c>
      <c r="F53" s="18">
        <v>7373892</v>
      </c>
      <c r="G53" s="18">
        <v>7340889</v>
      </c>
      <c r="H53" s="18">
        <v>7293198</v>
      </c>
      <c r="I53" s="18">
        <v>7245514</v>
      </c>
      <c r="J53" s="18">
        <v>7203078</v>
      </c>
      <c r="K53" s="18">
        <v>7150997</v>
      </c>
      <c r="L53" s="18">
        <v>7094846</v>
      </c>
      <c r="M53" s="18">
        <v>7046325</v>
      </c>
      <c r="N53" s="18">
        <v>7009592</v>
      </c>
      <c r="O53" s="18">
        <v>6986063</v>
      </c>
      <c r="P53" s="18">
        <v>6965120</v>
      </c>
      <c r="Q53" s="18">
        <v>6947858</v>
      </c>
      <c r="R53" s="18">
        <v>6935326</v>
      </c>
      <c r="S53" s="18">
        <v>6925933</v>
      </c>
      <c r="T53" s="18">
        <v>6917597</v>
      </c>
      <c r="U53" s="18">
        <v>6905317</v>
      </c>
      <c r="V53" s="18">
        <v>6892813</v>
      </c>
      <c r="W53" s="18">
        <v>6878620</v>
      </c>
      <c r="X53" s="18">
        <v>6859285</v>
      </c>
      <c r="Y53" s="18">
        <v>6829918</v>
      </c>
      <c r="Z53" s="18">
        <v>6795154</v>
      </c>
      <c r="AA53" s="18">
        <v>6759113</v>
      </c>
      <c r="AB53" s="18">
        <v>6722950</v>
      </c>
      <c r="AC53" s="18">
        <v>6687048</v>
      </c>
      <c r="AD53" s="18">
        <v>6648659</v>
      </c>
      <c r="AE53" s="18">
        <v>6607849</v>
      </c>
      <c r="AF53" s="18">
        <v>6547286</v>
      </c>
    </row>
    <row r="54" spans="1:32" x14ac:dyDescent="0.25">
      <c r="A54" s="19" t="s">
        <v>172</v>
      </c>
      <c r="B54" s="19" t="s">
        <v>154</v>
      </c>
      <c r="C54" s="26" t="s">
        <v>208</v>
      </c>
      <c r="D54" s="26" t="str">
        <f t="shared" si="1"/>
        <v>MT_POPAF</v>
      </c>
      <c r="E54" s="20">
        <v>428696</v>
      </c>
      <c r="F54" s="20">
        <v>446173</v>
      </c>
      <c r="G54" s="20">
        <v>460592</v>
      </c>
      <c r="H54" s="20">
        <v>472970</v>
      </c>
      <c r="I54" s="20">
        <v>484292</v>
      </c>
      <c r="J54" s="20">
        <v>493995</v>
      </c>
      <c r="K54" s="20">
        <v>502285</v>
      </c>
      <c r="L54" s="20">
        <v>510243</v>
      </c>
      <c r="M54" s="20">
        <v>517974</v>
      </c>
      <c r="N54" s="20">
        <v>525408</v>
      </c>
      <c r="O54" s="20">
        <v>532323</v>
      </c>
      <c r="P54" s="20">
        <v>539293</v>
      </c>
      <c r="Q54" s="20">
        <v>545750</v>
      </c>
      <c r="R54" s="20">
        <v>552051</v>
      </c>
      <c r="S54" s="20">
        <v>558348</v>
      </c>
      <c r="T54" s="20">
        <v>564190</v>
      </c>
      <c r="U54" s="20">
        <v>570208</v>
      </c>
      <c r="V54" s="20">
        <v>576200</v>
      </c>
      <c r="W54" s="20">
        <v>582119</v>
      </c>
      <c r="X54" s="20">
        <v>588030</v>
      </c>
      <c r="Y54" s="20">
        <v>593731</v>
      </c>
      <c r="Z54" s="20">
        <v>598868</v>
      </c>
      <c r="AA54" s="20">
        <v>603799</v>
      </c>
      <c r="AB54" s="20">
        <v>608197</v>
      </c>
      <c r="AC54" s="20">
        <v>612110</v>
      </c>
      <c r="AD54" s="20">
        <v>615675</v>
      </c>
      <c r="AE54" s="20">
        <v>618960</v>
      </c>
      <c r="AF54" s="20">
        <v>621695</v>
      </c>
    </row>
    <row r="55" spans="1:32" x14ac:dyDescent="0.25">
      <c r="A55" s="19" t="s">
        <v>172</v>
      </c>
      <c r="B55" s="19" t="s">
        <v>153</v>
      </c>
      <c r="C55" s="26" t="s">
        <v>209</v>
      </c>
      <c r="D55" s="26" t="str">
        <f t="shared" si="1"/>
        <v>NL_POPAF</v>
      </c>
      <c r="E55" s="18">
        <v>13440587</v>
      </c>
      <c r="F55" s="18">
        <v>13518244</v>
      </c>
      <c r="G55" s="18">
        <v>13592617</v>
      </c>
      <c r="H55" s="18">
        <v>13651799</v>
      </c>
      <c r="I55" s="18">
        <v>13702535</v>
      </c>
      <c r="J55" s="18">
        <v>13738888</v>
      </c>
      <c r="K55" s="18">
        <v>13769924</v>
      </c>
      <c r="L55" s="18">
        <v>13802511</v>
      </c>
      <c r="M55" s="18">
        <v>13828549</v>
      </c>
      <c r="N55" s="18">
        <v>13851163</v>
      </c>
      <c r="O55" s="18">
        <v>13868127</v>
      </c>
      <c r="P55" s="18">
        <v>13880798</v>
      </c>
      <c r="Q55" s="18">
        <v>13889804</v>
      </c>
      <c r="R55" s="18">
        <v>13898403</v>
      </c>
      <c r="S55" s="18">
        <v>13911179</v>
      </c>
      <c r="T55" s="18">
        <v>13908306</v>
      </c>
      <c r="U55" s="18">
        <v>13898579</v>
      </c>
      <c r="V55" s="18">
        <v>13892409</v>
      </c>
      <c r="W55" s="18">
        <v>13891774</v>
      </c>
      <c r="X55" s="18">
        <v>13895916</v>
      </c>
      <c r="Y55" s="18">
        <v>13902643</v>
      </c>
      <c r="Z55" s="18">
        <v>13908258</v>
      </c>
      <c r="AA55" s="18">
        <v>13905330</v>
      </c>
      <c r="AB55" s="18">
        <v>13907741</v>
      </c>
      <c r="AC55" s="18">
        <v>13919819</v>
      </c>
      <c r="AD55" s="18">
        <v>13941167</v>
      </c>
      <c r="AE55" s="18">
        <v>13976453</v>
      </c>
      <c r="AF55" s="18">
        <v>14016164</v>
      </c>
    </row>
    <row r="56" spans="1:32" x14ac:dyDescent="0.25">
      <c r="A56" s="19" t="s">
        <v>172</v>
      </c>
      <c r="B56" s="19" t="s">
        <v>152</v>
      </c>
      <c r="C56" s="26" t="s">
        <v>210</v>
      </c>
      <c r="D56" s="26" t="str">
        <f t="shared" si="1"/>
        <v>AT_POPAF</v>
      </c>
      <c r="E56" s="20">
        <v>6922716</v>
      </c>
      <c r="F56" s="20">
        <v>6962381</v>
      </c>
      <c r="G56" s="20">
        <v>6991767</v>
      </c>
      <c r="H56" s="20">
        <v>7020736</v>
      </c>
      <c r="I56" s="20">
        <v>7049453</v>
      </c>
      <c r="J56" s="20">
        <v>7074267</v>
      </c>
      <c r="K56" s="20">
        <v>7097713</v>
      </c>
      <c r="L56" s="20">
        <v>7120512</v>
      </c>
      <c r="M56" s="20">
        <v>7138853</v>
      </c>
      <c r="N56" s="20">
        <v>7153625</v>
      </c>
      <c r="O56" s="20">
        <v>7166218</v>
      </c>
      <c r="P56" s="20">
        <v>7175368</v>
      </c>
      <c r="Q56" s="20">
        <v>7178433</v>
      </c>
      <c r="R56" s="20">
        <v>7177918</v>
      </c>
      <c r="S56" s="20">
        <v>7174645</v>
      </c>
      <c r="T56" s="20">
        <v>7162128</v>
      </c>
      <c r="U56" s="20">
        <v>7143549</v>
      </c>
      <c r="V56" s="20">
        <v>7128798</v>
      </c>
      <c r="W56" s="20">
        <v>7114282</v>
      </c>
      <c r="X56" s="20">
        <v>7099305</v>
      </c>
      <c r="Y56" s="20">
        <v>7083587</v>
      </c>
      <c r="Z56" s="20">
        <v>7066654</v>
      </c>
      <c r="AA56" s="20">
        <v>7051739</v>
      </c>
      <c r="AB56" s="20">
        <v>7042974</v>
      </c>
      <c r="AC56" s="20">
        <v>7036116</v>
      </c>
      <c r="AD56" s="20">
        <v>7031295</v>
      </c>
      <c r="AE56" s="20">
        <v>7030879</v>
      </c>
      <c r="AF56" s="20">
        <v>7029086</v>
      </c>
    </row>
    <row r="57" spans="1:32" x14ac:dyDescent="0.25">
      <c r="A57" s="19" t="s">
        <v>172</v>
      </c>
      <c r="B57" s="19" t="s">
        <v>151</v>
      </c>
      <c r="C57" s="26" t="s">
        <v>211</v>
      </c>
      <c r="D57" s="26" t="str">
        <f t="shared" si="1"/>
        <v>PL_POPAF</v>
      </c>
      <c r="E57" s="18">
        <v>28772596</v>
      </c>
      <c r="F57" s="18">
        <v>28823747</v>
      </c>
      <c r="G57" s="18">
        <v>28770919</v>
      </c>
      <c r="H57" s="18">
        <v>28616258</v>
      </c>
      <c r="I57" s="18">
        <v>28419750</v>
      </c>
      <c r="J57" s="18">
        <v>28218856</v>
      </c>
      <c r="K57" s="18">
        <v>28006809</v>
      </c>
      <c r="L57" s="18">
        <v>27807072</v>
      </c>
      <c r="M57" s="18">
        <v>27597645</v>
      </c>
      <c r="N57" s="18">
        <v>27409667</v>
      </c>
      <c r="O57" s="18">
        <v>27243472</v>
      </c>
      <c r="P57" s="18">
        <v>27075615</v>
      </c>
      <c r="Q57" s="18">
        <v>26916044</v>
      </c>
      <c r="R57" s="18">
        <v>26796127</v>
      </c>
      <c r="S57" s="18">
        <v>26687240</v>
      </c>
      <c r="T57" s="18">
        <v>26566548</v>
      </c>
      <c r="U57" s="18">
        <v>26425507</v>
      </c>
      <c r="V57" s="18">
        <v>26306668</v>
      </c>
      <c r="W57" s="18">
        <v>26189808</v>
      </c>
      <c r="X57" s="18">
        <v>26073698</v>
      </c>
      <c r="Y57" s="18">
        <v>25955474</v>
      </c>
      <c r="Z57" s="18">
        <v>25831381</v>
      </c>
      <c r="AA57" s="18">
        <v>25699301</v>
      </c>
      <c r="AB57" s="18">
        <v>25553586</v>
      </c>
      <c r="AC57" s="18">
        <v>25395556</v>
      </c>
      <c r="AD57" s="18">
        <v>25225542</v>
      </c>
      <c r="AE57" s="18">
        <v>25045125</v>
      </c>
      <c r="AF57" s="18">
        <v>24851106</v>
      </c>
    </row>
    <row r="58" spans="1:32" x14ac:dyDescent="0.25">
      <c r="A58" s="19" t="s">
        <v>172</v>
      </c>
      <c r="B58" s="19" t="s">
        <v>150</v>
      </c>
      <c r="C58" s="26" t="s">
        <v>212</v>
      </c>
      <c r="D58" s="26" t="str">
        <f t="shared" si="1"/>
        <v>PT_POPAF</v>
      </c>
      <c r="E58" s="20">
        <v>7932750</v>
      </c>
      <c r="F58" s="20">
        <v>8009616</v>
      </c>
      <c r="G58" s="20">
        <v>8021788</v>
      </c>
      <c r="H58" s="20">
        <v>8018305</v>
      </c>
      <c r="I58" s="20">
        <v>8002879</v>
      </c>
      <c r="J58" s="20">
        <v>7974768</v>
      </c>
      <c r="K58" s="20">
        <v>7942991</v>
      </c>
      <c r="L58" s="20">
        <v>7908292</v>
      </c>
      <c r="M58" s="20">
        <v>7872614</v>
      </c>
      <c r="N58" s="20">
        <v>7839442</v>
      </c>
      <c r="O58" s="20">
        <v>7801332</v>
      </c>
      <c r="P58" s="20">
        <v>7763178</v>
      </c>
      <c r="Q58" s="20">
        <v>7725709</v>
      </c>
      <c r="R58" s="20">
        <v>7682840</v>
      </c>
      <c r="S58" s="20">
        <v>7635817</v>
      </c>
      <c r="T58" s="20">
        <v>7592761</v>
      </c>
      <c r="U58" s="20">
        <v>7551825</v>
      </c>
      <c r="V58" s="20">
        <v>7507597</v>
      </c>
      <c r="W58" s="20">
        <v>7464355</v>
      </c>
      <c r="X58" s="20">
        <v>7421871</v>
      </c>
      <c r="Y58" s="20">
        <v>7380824</v>
      </c>
      <c r="Z58" s="20">
        <v>7339225</v>
      </c>
      <c r="AA58" s="20">
        <v>7296779</v>
      </c>
      <c r="AB58" s="20">
        <v>7251854</v>
      </c>
      <c r="AC58" s="20">
        <v>7202817</v>
      </c>
      <c r="AD58" s="20">
        <v>7152756</v>
      </c>
      <c r="AE58" s="20">
        <v>7103022</v>
      </c>
      <c r="AF58" s="20">
        <v>7049323</v>
      </c>
    </row>
    <row r="59" spans="1:32" x14ac:dyDescent="0.25">
      <c r="A59" s="19" t="s">
        <v>172</v>
      </c>
      <c r="B59" s="19" t="s">
        <v>149</v>
      </c>
      <c r="C59" s="26" t="s">
        <v>198</v>
      </c>
      <c r="D59" s="26" t="str">
        <f t="shared" si="1"/>
        <v>RO_POPAF</v>
      </c>
      <c r="E59" s="18">
        <v>14520023</v>
      </c>
      <c r="F59" s="18">
        <v>14554837</v>
      </c>
      <c r="G59" s="18">
        <v>14521822</v>
      </c>
      <c r="H59" s="18">
        <v>14438885</v>
      </c>
      <c r="I59" s="18">
        <v>14340296</v>
      </c>
      <c r="J59" s="18">
        <v>14229135</v>
      </c>
      <c r="K59" s="18">
        <v>14116883</v>
      </c>
      <c r="L59" s="18">
        <v>14001332</v>
      </c>
      <c r="M59" s="18">
        <v>13873636</v>
      </c>
      <c r="N59" s="18">
        <v>13764141</v>
      </c>
      <c r="O59" s="18">
        <v>13679918</v>
      </c>
      <c r="P59" s="18">
        <v>13602826</v>
      </c>
      <c r="Q59" s="18">
        <v>13529301</v>
      </c>
      <c r="R59" s="18">
        <v>13464005</v>
      </c>
      <c r="S59" s="18">
        <v>13400968</v>
      </c>
      <c r="T59" s="18">
        <v>13344895</v>
      </c>
      <c r="U59" s="18">
        <v>13273132</v>
      </c>
      <c r="V59" s="18">
        <v>13223775</v>
      </c>
      <c r="W59" s="18">
        <v>13176076</v>
      </c>
      <c r="X59" s="18">
        <v>13131154</v>
      </c>
      <c r="Y59" s="18">
        <v>12967823</v>
      </c>
      <c r="Z59" s="18">
        <v>12792190</v>
      </c>
      <c r="AA59" s="18">
        <v>12656211</v>
      </c>
      <c r="AB59" s="18">
        <v>12544908</v>
      </c>
      <c r="AC59" s="18">
        <v>12445695</v>
      </c>
      <c r="AD59" s="18">
        <v>12351670</v>
      </c>
      <c r="AE59" s="18">
        <v>12264836</v>
      </c>
      <c r="AF59" s="18">
        <v>12155576</v>
      </c>
    </row>
    <row r="60" spans="1:32" x14ac:dyDescent="0.25">
      <c r="A60" s="19" t="s">
        <v>172</v>
      </c>
      <c r="B60" s="19" t="s">
        <v>148</v>
      </c>
      <c r="C60" s="26" t="s">
        <v>213</v>
      </c>
      <c r="D60" s="26" t="str">
        <f t="shared" si="1"/>
        <v>SI_POPAF</v>
      </c>
      <c r="E60" s="20">
        <v>1601119</v>
      </c>
      <c r="F60" s="20">
        <v>1606326</v>
      </c>
      <c r="G60" s="20">
        <v>1608748</v>
      </c>
      <c r="H60" s="20">
        <v>1608167</v>
      </c>
      <c r="I60" s="20">
        <v>1607194</v>
      </c>
      <c r="J60" s="20">
        <v>1605248</v>
      </c>
      <c r="K60" s="20">
        <v>1602228</v>
      </c>
      <c r="L60" s="20">
        <v>1599595</v>
      </c>
      <c r="M60" s="20">
        <v>1596219</v>
      </c>
      <c r="N60" s="20">
        <v>1592539</v>
      </c>
      <c r="O60" s="20">
        <v>1589534</v>
      </c>
      <c r="P60" s="20">
        <v>1586435</v>
      </c>
      <c r="Q60" s="20">
        <v>1582938</v>
      </c>
      <c r="R60" s="20">
        <v>1578719</v>
      </c>
      <c r="S60" s="20">
        <v>1574386</v>
      </c>
      <c r="T60" s="20">
        <v>1568770</v>
      </c>
      <c r="U60" s="20">
        <v>1562680</v>
      </c>
      <c r="V60" s="20">
        <v>1556367</v>
      </c>
      <c r="W60" s="20">
        <v>1549039</v>
      </c>
      <c r="X60" s="20">
        <v>1541627</v>
      </c>
      <c r="Y60" s="20">
        <v>1534964</v>
      </c>
      <c r="Z60" s="20">
        <v>1529144</v>
      </c>
      <c r="AA60" s="20">
        <v>1523808</v>
      </c>
      <c r="AB60" s="20">
        <v>1518999</v>
      </c>
      <c r="AC60" s="20">
        <v>1513233</v>
      </c>
      <c r="AD60" s="20">
        <v>1506847</v>
      </c>
      <c r="AE60" s="20">
        <v>1500360</v>
      </c>
      <c r="AF60" s="20">
        <v>1494137</v>
      </c>
    </row>
    <row r="61" spans="1:32" x14ac:dyDescent="0.25">
      <c r="A61" s="19" t="s">
        <v>172</v>
      </c>
      <c r="B61" s="19" t="s">
        <v>147</v>
      </c>
      <c r="C61" s="26" t="s">
        <v>214</v>
      </c>
      <c r="D61" s="26" t="str">
        <f t="shared" si="1"/>
        <v>SK_POPAF</v>
      </c>
      <c r="E61" s="18">
        <v>4252471</v>
      </c>
      <c r="F61" s="18">
        <v>4256899</v>
      </c>
      <c r="G61" s="18">
        <v>4262264</v>
      </c>
      <c r="H61" s="18">
        <v>4239474</v>
      </c>
      <c r="I61" s="18">
        <v>4214452</v>
      </c>
      <c r="J61" s="18">
        <v>4190166</v>
      </c>
      <c r="K61" s="18">
        <v>4166475</v>
      </c>
      <c r="L61" s="18">
        <v>4143189</v>
      </c>
      <c r="M61" s="18">
        <v>4120072</v>
      </c>
      <c r="N61" s="18">
        <v>4099014</v>
      </c>
      <c r="O61" s="18">
        <v>4080188</v>
      </c>
      <c r="P61" s="18">
        <v>4062886</v>
      </c>
      <c r="Q61" s="18">
        <v>4047963</v>
      </c>
      <c r="R61" s="18">
        <v>4034999</v>
      </c>
      <c r="S61" s="18">
        <v>4022279</v>
      </c>
      <c r="T61" s="18">
        <v>4007862</v>
      </c>
      <c r="U61" s="18">
        <v>3987076</v>
      </c>
      <c r="V61" s="18">
        <v>3968338</v>
      </c>
      <c r="W61" s="18">
        <v>3950410</v>
      </c>
      <c r="X61" s="18">
        <v>3933107</v>
      </c>
      <c r="Y61" s="18">
        <v>3917156</v>
      </c>
      <c r="Z61" s="18">
        <v>3900967</v>
      </c>
      <c r="AA61" s="18">
        <v>3881802</v>
      </c>
      <c r="AB61" s="18">
        <v>3860903</v>
      </c>
      <c r="AC61" s="18">
        <v>3837627</v>
      </c>
      <c r="AD61" s="18">
        <v>3810890</v>
      </c>
      <c r="AE61" s="18">
        <v>3780400</v>
      </c>
      <c r="AF61" s="18">
        <v>3746995</v>
      </c>
    </row>
    <row r="62" spans="1:32" x14ac:dyDescent="0.25">
      <c r="A62" s="19" t="s">
        <v>172</v>
      </c>
      <c r="B62" s="19" t="s">
        <v>146</v>
      </c>
      <c r="C62" s="26" t="s">
        <v>199</v>
      </c>
      <c r="D62" s="26" t="str">
        <f t="shared" si="1"/>
        <v>FI_POPAF</v>
      </c>
      <c r="E62" s="20">
        <v>4149181</v>
      </c>
      <c r="F62" s="20">
        <v>4170087</v>
      </c>
      <c r="G62" s="20">
        <v>4185099</v>
      </c>
      <c r="H62" s="20">
        <v>4186151</v>
      </c>
      <c r="I62" s="20">
        <v>4187385</v>
      </c>
      <c r="J62" s="20">
        <v>4185442</v>
      </c>
      <c r="K62" s="20">
        <v>4185124</v>
      </c>
      <c r="L62" s="20">
        <v>4183674</v>
      </c>
      <c r="M62" s="20">
        <v>4180933</v>
      </c>
      <c r="N62" s="20">
        <v>4175933</v>
      </c>
      <c r="O62" s="20">
        <v>4170584</v>
      </c>
      <c r="P62" s="20">
        <v>4165174</v>
      </c>
      <c r="Q62" s="20">
        <v>4156094</v>
      </c>
      <c r="R62" s="20">
        <v>4149460</v>
      </c>
      <c r="S62" s="20">
        <v>4145700</v>
      </c>
      <c r="T62" s="20">
        <v>4136838</v>
      </c>
      <c r="U62" s="20">
        <v>4125900</v>
      </c>
      <c r="V62" s="20">
        <v>4115719</v>
      </c>
      <c r="W62" s="20">
        <v>4106777</v>
      </c>
      <c r="X62" s="20">
        <v>4098483</v>
      </c>
      <c r="Y62" s="20">
        <v>4090495</v>
      </c>
      <c r="Z62" s="20">
        <v>4084012</v>
      </c>
      <c r="AA62" s="20">
        <v>4081457</v>
      </c>
      <c r="AB62" s="20">
        <v>4079940</v>
      </c>
      <c r="AC62" s="20">
        <v>4080144</v>
      </c>
      <c r="AD62" s="20">
        <v>4081994</v>
      </c>
      <c r="AE62" s="20">
        <v>4085484</v>
      </c>
      <c r="AF62" s="20">
        <v>4083937</v>
      </c>
    </row>
    <row r="63" spans="1:32" x14ac:dyDescent="0.25">
      <c r="A63" s="19" t="s">
        <v>172</v>
      </c>
      <c r="B63" s="19" t="s">
        <v>144</v>
      </c>
      <c r="C63" s="26" t="s">
        <v>215</v>
      </c>
      <c r="D63" s="26" t="str">
        <f t="shared" si="1"/>
        <v>SE_POPAF</v>
      </c>
      <c r="E63" s="18">
        <v>7638818</v>
      </c>
      <c r="F63" s="18">
        <v>7651538</v>
      </c>
      <c r="G63" s="18">
        <v>7694260</v>
      </c>
      <c r="H63" s="18">
        <v>7745775</v>
      </c>
      <c r="I63" s="18">
        <v>7799283</v>
      </c>
      <c r="J63" s="18">
        <v>7855349</v>
      </c>
      <c r="K63" s="18">
        <v>7910013</v>
      </c>
      <c r="L63" s="18">
        <v>7968097</v>
      </c>
      <c r="M63" s="18">
        <v>8022889</v>
      </c>
      <c r="N63" s="18">
        <v>8078107</v>
      </c>
      <c r="O63" s="18">
        <v>8129650</v>
      </c>
      <c r="P63" s="18">
        <v>8181302</v>
      </c>
      <c r="Q63" s="18">
        <v>8230524</v>
      </c>
      <c r="R63" s="18">
        <v>8278933</v>
      </c>
      <c r="S63" s="18">
        <v>8326520</v>
      </c>
      <c r="T63" s="18">
        <v>8359633</v>
      </c>
      <c r="U63" s="18">
        <v>8382221</v>
      </c>
      <c r="V63" s="18">
        <v>8398731</v>
      </c>
      <c r="W63" s="18">
        <v>8414202</v>
      </c>
      <c r="X63" s="18">
        <v>8429367</v>
      </c>
      <c r="Y63" s="18">
        <v>8444698</v>
      </c>
      <c r="Z63" s="18">
        <v>8464424</v>
      </c>
      <c r="AA63" s="18">
        <v>8487647</v>
      </c>
      <c r="AB63" s="18">
        <v>8508132</v>
      </c>
      <c r="AC63" s="18">
        <v>8525286</v>
      </c>
      <c r="AD63" s="18">
        <v>8541860</v>
      </c>
      <c r="AE63" s="18">
        <v>8560413</v>
      </c>
      <c r="AF63" s="18">
        <v>8577092</v>
      </c>
    </row>
    <row r="65" spans="1:4" x14ac:dyDescent="0.25">
      <c r="A65" s="12" t="s">
        <v>181</v>
      </c>
    </row>
    <row r="66" spans="1:4" x14ac:dyDescent="0.25">
      <c r="A66" s="12" t="s">
        <v>180</v>
      </c>
      <c r="B66" s="9" t="s">
        <v>179</v>
      </c>
      <c r="C66" s="9"/>
      <c r="D66" s="9"/>
    </row>
  </sheetData>
  <mergeCells count="1">
    <mergeCell ref="A8:B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E3A37DB9-5E21-4A0A-A71F-5C3620BDE061}"/>
</file>

<file path=customXml/itemProps2.xml><?xml version="1.0" encoding="utf-8"?>
<ds:datastoreItem xmlns:ds="http://schemas.openxmlformats.org/officeDocument/2006/customXml" ds:itemID="{6430CE37-1998-454F-84C3-31D9DB2DC703}"/>
</file>

<file path=customXml/itemProps3.xml><?xml version="1.0" encoding="utf-8"?>
<ds:datastoreItem xmlns:ds="http://schemas.openxmlformats.org/officeDocument/2006/customXml" ds:itemID="{62CD588D-6FB7-46DF-A5BC-FD6346CA0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popproj</vt:lpstr>
      <vt:lpstr>Sheet1</vt:lpstr>
      <vt:lpstr>old</vt:lpstr>
      <vt:lpstr>compare to previous update</vt:lpstr>
      <vt:lpstr>Summary</vt:lpstr>
      <vt:lpstr>Structure</vt:lpstr>
      <vt:lpstr>data_eurostat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VANDERMEULEN Valerie (ECFIN)</dc:creator>
  <cp:lastModifiedBy>AREVALO Pedro (ECFIN)</cp:lastModifiedBy>
  <dcterms:created xsi:type="dcterms:W3CDTF">2018-03-21T10:00:18Z</dcterms:created>
  <dcterms:modified xsi:type="dcterms:W3CDTF">2025-03-27T16:21:22Z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2024-04-12T13:32:38Z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5687696b-1650-4475-b307-4e2f53254353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0x010100CBE255276945314790992D07276A2E9C</vt:lpwstr>
  </property>
</Properties>
</file>