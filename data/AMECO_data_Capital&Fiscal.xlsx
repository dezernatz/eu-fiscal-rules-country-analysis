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0" documentId="8_{EE4BC642-16BF-4320-8E5C-8C4D7B00A29A}" xr6:coauthVersionLast="47" xr6:coauthVersionMax="47" xr10:uidLastSave="{00000000-0000-0000-0000-000000000000}"/>
  <bookViews>
    <workbookView xWindow="-11535" yWindow="-21600" windowWidth="37245" windowHeight="20805" xr2:uid="{1842336B-7FD6-45D0-9BFA-06EB1DFE957E}"/>
  </bookViews>
  <sheets>
    <sheet name="AMECO Expenditure (ESA 2010)" sheetId="1" r:id="rId1"/>
    <sheet name="AMECO Revenues (ESA 2010)" sheetId="2" r:id="rId2"/>
    <sheet name="AMECO Capital Calcs" sheetId="3" r:id="rId3"/>
  </sheets>
  <externalReferences>
    <externalReference r:id="rId4"/>
  </externalReferences>
  <definedNames>
    <definedName name="Macrobond_Object1" localSheetId="2">'AMECO Capital Calcs'!$A$2:$Y$38</definedName>
    <definedName name="Macrobond_Object1" localSheetId="0">'AMECO Expenditure (ESA 2010)'!$A$1:$Q$37</definedName>
    <definedName name="Macrobond_Object1" localSheetId="1">'AMECO Revenues (ESA 2010)'!$A$1:$B$37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C38" i="3"/>
  <c r="C36" i="3"/>
  <c r="J38" i="3"/>
  <c r="D40" i="1"/>
  <c r="D41" i="1"/>
  <c r="D39" i="1" l="1"/>
  <c r="C40" i="1"/>
  <c r="C41" i="1"/>
  <c r="C39" i="1"/>
  <c r="M42" i="3"/>
  <c r="N42" i="3"/>
  <c r="M43" i="3"/>
  <c r="N43" i="3"/>
  <c r="N41" i="3"/>
  <c r="M41" i="3"/>
  <c r="G35" i="3"/>
  <c r="G36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13" i="3"/>
  <c r="D35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C12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4" i="3"/>
  <c r="N4" i="3"/>
  <c r="P4" i="3"/>
  <c r="Q4" i="3"/>
  <c r="M5" i="3"/>
  <c r="N5" i="3"/>
  <c r="P5" i="3"/>
  <c r="Q5" i="3"/>
  <c r="M6" i="3"/>
  <c r="N6" i="3"/>
  <c r="P6" i="3"/>
  <c r="Q6" i="3"/>
  <c r="M7" i="3"/>
  <c r="N7" i="3"/>
  <c r="P7" i="3"/>
  <c r="Q7" i="3"/>
  <c r="M8" i="3"/>
  <c r="N8" i="3"/>
  <c r="P8" i="3"/>
  <c r="Q8" i="3"/>
  <c r="M9" i="3"/>
  <c r="N9" i="3"/>
  <c r="P9" i="3"/>
  <c r="Q9" i="3"/>
  <c r="M10" i="3"/>
  <c r="N10" i="3"/>
  <c r="P10" i="3"/>
  <c r="Q10" i="3"/>
  <c r="M11" i="3"/>
  <c r="N11" i="3"/>
  <c r="P11" i="3"/>
  <c r="Q11" i="3"/>
  <c r="M12" i="3"/>
  <c r="N12" i="3"/>
  <c r="P12" i="3"/>
  <c r="Q12" i="3"/>
  <c r="M13" i="3"/>
  <c r="N13" i="3"/>
  <c r="P13" i="3"/>
  <c r="Q13" i="3"/>
  <c r="M14" i="3"/>
  <c r="N14" i="3"/>
  <c r="P14" i="3"/>
  <c r="Q14" i="3"/>
  <c r="M15" i="3"/>
  <c r="N15" i="3"/>
  <c r="P15" i="3"/>
  <c r="Q15" i="3"/>
  <c r="M16" i="3"/>
  <c r="N16" i="3"/>
  <c r="P16" i="3"/>
  <c r="Q16" i="3"/>
  <c r="M17" i="3"/>
  <c r="N17" i="3"/>
  <c r="P17" i="3"/>
  <c r="Q17" i="3"/>
  <c r="M18" i="3"/>
  <c r="N18" i="3"/>
  <c r="P18" i="3"/>
  <c r="Q18" i="3"/>
  <c r="M19" i="3"/>
  <c r="N19" i="3"/>
  <c r="P19" i="3"/>
  <c r="Q19" i="3"/>
  <c r="M20" i="3"/>
  <c r="N20" i="3"/>
  <c r="P20" i="3"/>
  <c r="Q20" i="3"/>
  <c r="M21" i="3"/>
  <c r="N21" i="3"/>
  <c r="P21" i="3"/>
  <c r="Q21" i="3"/>
  <c r="M22" i="3"/>
  <c r="N22" i="3"/>
  <c r="P22" i="3"/>
  <c r="Q22" i="3"/>
  <c r="M23" i="3"/>
  <c r="N23" i="3"/>
  <c r="P23" i="3"/>
  <c r="Q23" i="3"/>
  <c r="M24" i="3"/>
  <c r="N24" i="3"/>
  <c r="P24" i="3"/>
  <c r="Q24" i="3"/>
  <c r="M25" i="3"/>
  <c r="N25" i="3"/>
  <c r="P25" i="3"/>
  <c r="Q25" i="3"/>
  <c r="M26" i="3"/>
  <c r="N26" i="3"/>
  <c r="P26" i="3"/>
  <c r="Q26" i="3"/>
  <c r="M27" i="3"/>
  <c r="N27" i="3"/>
  <c r="P27" i="3"/>
  <c r="Q27" i="3"/>
  <c r="M28" i="3"/>
  <c r="N28" i="3"/>
  <c r="P28" i="3"/>
  <c r="Q28" i="3"/>
  <c r="M29" i="3"/>
  <c r="N29" i="3"/>
  <c r="P29" i="3"/>
  <c r="Q29" i="3"/>
  <c r="M30" i="3"/>
  <c r="N30" i="3"/>
  <c r="P30" i="3"/>
  <c r="Q30" i="3"/>
  <c r="M31" i="3"/>
  <c r="N31" i="3"/>
  <c r="P31" i="3"/>
  <c r="Q31" i="3"/>
  <c r="M32" i="3"/>
  <c r="N32" i="3"/>
  <c r="P32" i="3"/>
  <c r="Q32" i="3"/>
  <c r="M33" i="3"/>
  <c r="N33" i="3"/>
  <c r="P33" i="3"/>
  <c r="Q33" i="3"/>
  <c r="M34" i="3"/>
  <c r="N34" i="3"/>
  <c r="P34" i="3"/>
  <c r="Q34" i="3"/>
  <c r="M35" i="3"/>
  <c r="N35" i="3"/>
  <c r="P35" i="3"/>
  <c r="Q35" i="3"/>
  <c r="M36" i="3"/>
  <c r="N36" i="3"/>
  <c r="P36" i="3"/>
  <c r="Q36" i="3"/>
  <c r="M37" i="3"/>
  <c r="N37" i="3"/>
  <c r="P37" i="3"/>
  <c r="Q37" i="3"/>
  <c r="M38" i="3"/>
  <c r="N38" i="3"/>
  <c r="P38" i="3"/>
  <c r="Q38" i="3"/>
  <c r="Q3" i="3"/>
  <c r="P3" i="3"/>
  <c r="M3" i="3"/>
  <c r="J13" i="3" s="1"/>
  <c r="N3" i="3"/>
  <c r="Z4" i="3"/>
  <c r="R4" i="3" s="1"/>
  <c r="Z5" i="3"/>
  <c r="R5" i="3" s="1"/>
  <c r="Z6" i="3"/>
  <c r="R6" i="3" s="1"/>
  <c r="Z7" i="3"/>
  <c r="R7" i="3" s="1"/>
  <c r="Z8" i="3"/>
  <c r="R8" i="3" s="1"/>
  <c r="Z9" i="3"/>
  <c r="R9" i="3" s="1"/>
  <c r="Z10" i="3"/>
  <c r="R10" i="3" s="1"/>
  <c r="Z11" i="3"/>
  <c r="R11" i="3" s="1"/>
  <c r="Z12" i="3"/>
  <c r="R12" i="3" s="1"/>
  <c r="Z13" i="3"/>
  <c r="R13" i="3" s="1"/>
  <c r="Z14" i="3"/>
  <c r="R14" i="3" s="1"/>
  <c r="Z15" i="3"/>
  <c r="R15" i="3" s="1"/>
  <c r="Z16" i="3"/>
  <c r="R16" i="3" s="1"/>
  <c r="Z17" i="3"/>
  <c r="R17" i="3" s="1"/>
  <c r="Z18" i="3"/>
  <c r="R18" i="3" s="1"/>
  <c r="Z19" i="3"/>
  <c r="R19" i="3" s="1"/>
  <c r="Z20" i="3"/>
  <c r="R20" i="3" s="1"/>
  <c r="Z21" i="3"/>
  <c r="R21" i="3" s="1"/>
  <c r="Z22" i="3"/>
  <c r="R22" i="3" s="1"/>
  <c r="Z23" i="3"/>
  <c r="R23" i="3" s="1"/>
  <c r="Z24" i="3"/>
  <c r="R24" i="3" s="1"/>
  <c r="Z25" i="3"/>
  <c r="R25" i="3" s="1"/>
  <c r="Z26" i="3"/>
  <c r="R26" i="3" s="1"/>
  <c r="Z27" i="3"/>
  <c r="R27" i="3" s="1"/>
  <c r="Z28" i="3"/>
  <c r="R28" i="3" s="1"/>
  <c r="Z29" i="3"/>
  <c r="R29" i="3" s="1"/>
  <c r="Z30" i="3"/>
  <c r="R30" i="3" s="1"/>
  <c r="Z31" i="3"/>
  <c r="R31" i="3" s="1"/>
  <c r="Z32" i="3"/>
  <c r="R32" i="3" s="1"/>
  <c r="Z33" i="3"/>
  <c r="R33" i="3" s="1"/>
  <c r="Z34" i="3"/>
  <c r="R34" i="3" s="1"/>
  <c r="Z35" i="3"/>
  <c r="R35" i="3" s="1"/>
  <c r="H35" i="3" s="1"/>
  <c r="Z36" i="3"/>
  <c r="R36" i="3" s="1"/>
  <c r="Z37" i="3"/>
  <c r="R37" i="3" s="1"/>
  <c r="Z38" i="3"/>
  <c r="R38" i="3" s="1"/>
  <c r="Z3" i="3"/>
  <c r="R3" i="3" s="1"/>
  <c r="H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9" i="1"/>
  <c r="H30" i="1"/>
  <c r="H31" i="1"/>
  <c r="H32" i="1"/>
  <c r="H33" i="1"/>
  <c r="H34" i="1"/>
  <c r="H35" i="1"/>
  <c r="H36" i="1"/>
  <c r="H37" i="1"/>
  <c r="H2" i="1"/>
  <c r="H37" i="3" l="1"/>
  <c r="H36" i="3"/>
  <c r="J22" i="3"/>
  <c r="J24" i="3"/>
  <c r="J21" i="3"/>
  <c r="D36" i="3"/>
  <c r="D37" i="3" s="1"/>
  <c r="J18" i="3"/>
  <c r="J15" i="3"/>
  <c r="J35" i="3"/>
  <c r="J32" i="3"/>
  <c r="J29" i="3"/>
  <c r="J26" i="3"/>
  <c r="J23" i="3"/>
  <c r="J20" i="3"/>
  <c r="J17" i="3"/>
  <c r="J14" i="3"/>
  <c r="J37" i="3"/>
  <c r="J34" i="3"/>
  <c r="J31" i="3"/>
  <c r="J28" i="3"/>
  <c r="J25" i="3"/>
  <c r="J19" i="3"/>
  <c r="J16" i="3"/>
  <c r="J33" i="3"/>
  <c r="J36" i="3"/>
  <c r="J30" i="3"/>
  <c r="J27" i="3"/>
  <c r="C13" i="3"/>
  <c r="G13" i="3" s="1"/>
  <c r="D12" i="3"/>
  <c r="D13" i="3" s="1"/>
  <c r="D14" i="3" s="1"/>
  <c r="D15" i="3" s="1"/>
  <c r="D16" i="3" s="1"/>
  <c r="D17" i="3" s="1"/>
  <c r="D18" i="3" s="1"/>
  <c r="D19" i="3" s="1"/>
  <c r="H18" i="3" l="1"/>
  <c r="C14" i="3"/>
  <c r="G14" i="3" s="1"/>
  <c r="E13" i="3"/>
  <c r="H15" i="3"/>
  <c r="H13" i="3"/>
  <c r="H17" i="3"/>
  <c r="D20" i="3"/>
  <c r="H19" i="3"/>
  <c r="H14" i="3"/>
  <c r="H16" i="3"/>
  <c r="C15" i="3"/>
  <c r="G37" i="3"/>
  <c r="E36" i="3"/>
  <c r="E15" i="3" l="1"/>
  <c r="G15" i="3"/>
  <c r="E14" i="3"/>
  <c r="C16" i="3"/>
  <c r="D21" i="3"/>
  <c r="H20" i="3"/>
  <c r="E37" i="3"/>
  <c r="G38" i="3"/>
  <c r="E16" i="3" l="1"/>
  <c r="G16" i="3"/>
  <c r="D22" i="3"/>
  <c r="H21" i="3"/>
  <c r="C17" i="3"/>
  <c r="E17" i="3" l="1"/>
  <c r="G17" i="3"/>
  <c r="C18" i="3"/>
  <c r="D23" i="3"/>
  <c r="H22" i="3"/>
  <c r="E18" i="3" l="1"/>
  <c r="G18" i="3"/>
  <c r="D24" i="3"/>
  <c r="H23" i="3"/>
  <c r="C19" i="3"/>
  <c r="E19" i="3" l="1"/>
  <c r="G19" i="3"/>
  <c r="C20" i="3"/>
  <c r="D25" i="3"/>
  <c r="H24" i="3"/>
  <c r="E20" i="3" l="1"/>
  <c r="G20" i="3"/>
  <c r="D26" i="3"/>
  <c r="H25" i="3"/>
  <c r="C21" i="3"/>
  <c r="E21" i="3" l="1"/>
  <c r="G21" i="3"/>
  <c r="C22" i="3"/>
  <c r="D27" i="3"/>
  <c r="H26" i="3"/>
  <c r="E22" i="3" l="1"/>
  <c r="G22" i="3"/>
  <c r="D28" i="3"/>
  <c r="H27" i="3"/>
  <c r="C23" i="3"/>
  <c r="E23" i="3" l="1"/>
  <c r="G23" i="3"/>
  <c r="C24" i="3"/>
  <c r="D29" i="3"/>
  <c r="H28" i="3"/>
  <c r="E24" i="3" l="1"/>
  <c r="G24" i="3"/>
  <c r="D30" i="3"/>
  <c r="H29" i="3"/>
  <c r="C25" i="3"/>
  <c r="E25" i="3" l="1"/>
  <c r="G25" i="3"/>
  <c r="C26" i="3"/>
  <c r="D31" i="3"/>
  <c r="H30" i="3"/>
  <c r="E26" i="3" l="1"/>
  <c r="G26" i="3"/>
  <c r="D32" i="3"/>
  <c r="H31" i="3"/>
  <c r="C27" i="3"/>
  <c r="E27" i="3" l="1"/>
  <c r="G27" i="3"/>
  <c r="C28" i="3"/>
  <c r="D33" i="3"/>
  <c r="H32" i="3"/>
  <c r="E28" i="3" l="1"/>
  <c r="G28" i="3"/>
  <c r="D34" i="3"/>
  <c r="H33" i="3"/>
  <c r="C29" i="3"/>
  <c r="E29" i="3" l="1"/>
  <c r="G29" i="3"/>
  <c r="C30" i="3"/>
  <c r="D38" i="3"/>
  <c r="H34" i="3"/>
  <c r="H40" i="3" s="1"/>
  <c r="E30" i="3" l="1"/>
  <c r="G30" i="3"/>
  <c r="H38" i="3"/>
  <c r="E38" i="3"/>
  <c r="C31" i="3"/>
  <c r="E31" i="3" l="1"/>
  <c r="G31" i="3"/>
  <c r="C32" i="3"/>
  <c r="E32" i="3" l="1"/>
  <c r="G32" i="3"/>
  <c r="C33" i="3"/>
  <c r="E33" i="3" l="1"/>
  <c r="G33" i="3"/>
  <c r="C34" i="3"/>
  <c r="G34" i="3" s="1"/>
  <c r="G40" i="3" l="1"/>
  <c r="E34" i="3"/>
</calcChain>
</file>

<file path=xl/sharedStrings.xml><?xml version="1.0" encoding="utf-8"?>
<sst xmlns="http://schemas.openxmlformats.org/spreadsheetml/2006/main" count="44" uniqueCount="31">
  <si>
    <t>Capital Formation &amp; Saving, Gross Fixed Capital Formation, Private Sector, Current Prices</t>
  </si>
  <si>
    <t>Capital Stock, Net Capital Stock, Total, Constant Prices</t>
  </si>
  <si>
    <t>Interest</t>
  </si>
  <si>
    <t>Total Expenditure</t>
  </si>
  <si>
    <t>Subsidies</t>
  </si>
  <si>
    <t>Final Consumption Expenditure</t>
  </si>
  <si>
    <t>Year</t>
  </si>
  <si>
    <t>Gross Fixed Capital Formation</t>
  </si>
  <si>
    <t>Rest</t>
  </si>
  <si>
    <t>Transfers</t>
  </si>
  <si>
    <t>Total Revenue</t>
  </si>
  <si>
    <t>Imputed Social Contributions</t>
  </si>
  <si>
    <t>Taxes on Income &amp; Wealth</t>
  </si>
  <si>
    <t>Indirect Taxes</t>
  </si>
  <si>
    <t>Capital Stock, 2020 Prices</t>
  </si>
  <si>
    <t>Total</t>
  </si>
  <si>
    <t>Government</t>
  </si>
  <si>
    <t>Private</t>
  </si>
  <si>
    <t>Gross Fixed Capital Formation, Current Prices</t>
  </si>
  <si>
    <t>Consumption of Fixed Capital, Current Prices</t>
  </si>
  <si>
    <t>Deflator</t>
  </si>
  <si>
    <t>Productive Investment</t>
  </si>
  <si>
    <t>OBR LAG STRUCTURE</t>
  </si>
  <si>
    <t>Gross Fixed Capital Formation, 2020 Prices</t>
  </si>
  <si>
    <t>Consumption of Fixed Capital, 2020 Prices</t>
  </si>
  <si>
    <t>Actual Social Contributions</t>
  </si>
  <si>
    <t>delta_K</t>
  </si>
  <si>
    <t>delta_M</t>
  </si>
  <si>
    <t>delta</t>
  </si>
  <si>
    <t>Start: Eurostat split</t>
  </si>
  <si>
    <t>Inv/PO share changes: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</si>
</sst>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right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2" fontId="0" fillId="0" borderId="0" xfId="0" applyNumberFormat="1"/>
    <xf numFmtId="164" fontId="0" fillId="0" borderId="0" xfId="0" applyNumberFormat="1"/>
    <xf numFmtId="3" fontId="3" fillId="0" borderId="0" xfId="0" applyNumberFormat="1" applyFont="1" applyAlignment="1">
      <alignment horizontal="center"/>
    </xf>
    <xf numFmtId="3" fontId="4" fillId="4" borderId="0" xfId="0" applyNumberFormat="1" applyFont="1" applyFill="1"/>
    <xf numFmtId="165" fontId="0" fillId="0" borderId="0" xfId="0" applyNumberFormat="1"/>
    <xf numFmtId="2" fontId="0" fillId="0" borderId="0" xfId="1" applyNumberFormat="1" applyFont="1"/>
    <xf numFmtId="3" fontId="1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zsve\Dezernat%20Zukunft%20e.V\DZ-Schalte%20-%20Dokumente\Sven\Growth%20Model\Macrofiscal%20model\Dataset_Macromodel.xlsx" TargetMode="External"/><Relationship Id="rId1" Type="http://schemas.openxmlformats.org/officeDocument/2006/relationships/externalLinkPath" Target="file:///C:\Users\dzsve\Dezernat%20Zukunft%20e.V\DZ-Schalte%20-%20Dokumente\Sven\Growth%20Model\Macrofiscal%20model\Dataset_Macro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e"/>
      <sheetName val="Public Capital"/>
      <sheetName val="Dataset_backup"/>
      <sheetName val="DataModel"/>
      <sheetName val="Data_FS"/>
      <sheetName val="Dataset"/>
      <sheetName val="DSA_data"/>
      <sheetName val="EA_deflator"/>
      <sheetName val="PR_AWG"/>
      <sheetName val="Population_proj_eurostat"/>
      <sheetName val="Notes "/>
      <sheetName val="Info Variables ECB Base"/>
      <sheetName val="DSA_deterministic_2025"/>
      <sheetName val="Capital_Stock_Eurostat"/>
      <sheetName val="ECB_MRO"/>
    </sheetNames>
    <sheetDataSet>
      <sheetData sheetId="0"/>
      <sheetData sheetId="1"/>
      <sheetData sheetId="2">
        <row r="40">
          <cell r="BF40">
            <v>0.16005888144295852</v>
          </cell>
        </row>
      </sheetData>
      <sheetData sheetId="3"/>
      <sheetData sheetId="4"/>
      <sheetData sheetId="5">
        <row r="63">
          <cell r="AZ63">
            <v>3640493833833.9238</v>
          </cell>
        </row>
        <row r="64">
          <cell r="AZ64">
            <v>3656892815721.542</v>
          </cell>
        </row>
        <row r="65">
          <cell r="AZ65">
            <v>3666668823892.6182</v>
          </cell>
        </row>
        <row r="66">
          <cell r="AZ66">
            <v>3679423775633.7432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B4">
            <v>134574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4F29-8AFC-4106-9DB6-59C49628CC98}">
  <dimension ref="A1:M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defaultRowHeight="14.4" x14ac:dyDescent="0.3"/>
  <cols>
    <col min="1" max="1" width="10.109375" bestFit="1" customWidth="1"/>
    <col min="2" max="2" width="16.33203125" bestFit="1" customWidth="1"/>
    <col min="3" max="3" width="26.109375" bestFit="1" customWidth="1"/>
    <col min="4" max="4" width="25.21875" bestFit="1" customWidth="1"/>
    <col min="5" max="5" width="14.77734375" bestFit="1" customWidth="1"/>
    <col min="6" max="6" width="14.77734375" customWidth="1"/>
    <col min="7" max="7" width="13.77734375" bestFit="1" customWidth="1"/>
    <col min="8" max="8" width="14.77734375" style="3" customWidth="1"/>
    <col min="9" max="9" width="15.44140625" bestFit="1" customWidth="1"/>
    <col min="12" max="12" width="14.77734375" bestFit="1" customWidth="1"/>
    <col min="13" max="13" width="17.44140625" bestFit="1" customWidth="1"/>
    <col min="14" max="14" width="23.88671875" customWidth="1"/>
    <col min="15" max="15" width="41.88671875" customWidth="1"/>
    <col min="16" max="16" width="34.109375" customWidth="1"/>
    <col min="17" max="17" width="28.6640625" customWidth="1"/>
  </cols>
  <sheetData>
    <row r="1" spans="1:13" x14ac:dyDescent="0.3">
      <c r="A1" t="s">
        <v>6</v>
      </c>
      <c r="B1" t="s">
        <v>3</v>
      </c>
      <c r="C1" t="s">
        <v>5</v>
      </c>
      <c r="D1" t="s">
        <v>7</v>
      </c>
      <c r="E1" t="s">
        <v>4</v>
      </c>
      <c r="F1" t="s">
        <v>9</v>
      </c>
      <c r="G1" t="s">
        <v>2</v>
      </c>
      <c r="H1" s="3" t="s">
        <v>8</v>
      </c>
      <c r="I1" s="3"/>
      <c r="L1" t="s">
        <v>0</v>
      </c>
      <c r="M1" t="s">
        <v>1</v>
      </c>
    </row>
    <row r="2" spans="1:13" x14ac:dyDescent="0.3">
      <c r="A2" s="1">
        <v>33239</v>
      </c>
      <c r="B2" s="2">
        <v>702773000000</v>
      </c>
      <c r="C2" s="2">
        <v>296179000000</v>
      </c>
      <c r="D2" s="2">
        <v>49775000000</v>
      </c>
      <c r="E2" s="2">
        <v>32360000000</v>
      </c>
      <c r="F2" s="2">
        <v>235650000000</v>
      </c>
      <c r="G2" s="2">
        <v>42517000000</v>
      </c>
      <c r="H2" s="4">
        <f>B2-SUM(C2:G2)</f>
        <v>46292000000</v>
      </c>
      <c r="I2" s="2"/>
      <c r="L2" s="2">
        <v>345573000000</v>
      </c>
      <c r="M2" s="2">
        <v>7002530000000</v>
      </c>
    </row>
    <row r="3" spans="1:13" x14ac:dyDescent="0.3">
      <c r="A3" s="1">
        <v>33604</v>
      </c>
      <c r="B3" s="2">
        <v>779661000000</v>
      </c>
      <c r="C3" s="2">
        <v>327155000000</v>
      </c>
      <c r="D3" s="2">
        <v>55318000000</v>
      </c>
      <c r="E3" s="2">
        <v>31056000000</v>
      </c>
      <c r="F3" s="2">
        <v>265312000000</v>
      </c>
      <c r="G3" s="2">
        <v>52620000000</v>
      </c>
      <c r="H3" s="4">
        <f t="shared" ref="H3:H37" si="0">B3-SUM(C3:G3)</f>
        <v>48200000000</v>
      </c>
      <c r="I3" s="2"/>
      <c r="L3" s="2">
        <v>372300000000</v>
      </c>
      <c r="M3" s="2">
        <v>7213250000000</v>
      </c>
    </row>
    <row r="4" spans="1:13" x14ac:dyDescent="0.3">
      <c r="A4" s="1">
        <v>33970</v>
      </c>
      <c r="B4" s="2">
        <v>852928000000</v>
      </c>
      <c r="C4" s="2">
        <v>338829000000</v>
      </c>
      <c r="D4" s="2">
        <v>54350000000</v>
      </c>
      <c r="E4" s="2">
        <v>30728000000</v>
      </c>
      <c r="F4" s="2">
        <v>289682000000</v>
      </c>
      <c r="G4" s="2">
        <v>55596000000</v>
      </c>
      <c r="H4" s="4">
        <f t="shared" si="0"/>
        <v>83743000000</v>
      </c>
      <c r="I4" s="2"/>
      <c r="L4" s="2">
        <v>366739000000</v>
      </c>
      <c r="M4" s="2">
        <v>7386620000000</v>
      </c>
    </row>
    <row r="5" spans="1:13" x14ac:dyDescent="0.3">
      <c r="A5" s="1">
        <v>34335</v>
      </c>
      <c r="B5" s="2">
        <v>897615000000</v>
      </c>
      <c r="C5" s="2">
        <v>353360000000</v>
      </c>
      <c r="D5" s="2">
        <v>53583000000</v>
      </c>
      <c r="E5" s="2">
        <v>36022000000</v>
      </c>
      <c r="F5" s="2">
        <v>307716000000</v>
      </c>
      <c r="G5" s="2">
        <v>60627000000</v>
      </c>
      <c r="H5" s="4">
        <f t="shared" si="0"/>
        <v>86307000000</v>
      </c>
      <c r="I5" s="2"/>
      <c r="L5" s="2">
        <v>387996000000</v>
      </c>
      <c r="M5" s="2">
        <v>7568440000000</v>
      </c>
    </row>
    <row r="6" spans="1:13" x14ac:dyDescent="0.3">
      <c r="A6" s="1">
        <v>34700</v>
      </c>
      <c r="B6" s="2">
        <v>1095502999999.9999</v>
      </c>
      <c r="C6" s="2">
        <v>373091000000</v>
      </c>
      <c r="D6" s="2">
        <v>51129000000</v>
      </c>
      <c r="E6" s="2">
        <v>36845000000</v>
      </c>
      <c r="F6" s="2">
        <v>326326000000</v>
      </c>
      <c r="G6" s="2">
        <v>66581000000</v>
      </c>
      <c r="H6" s="4">
        <f t="shared" si="0"/>
        <v>241530999999.99988</v>
      </c>
      <c r="I6" s="2"/>
      <c r="L6" s="2">
        <v>394683000000</v>
      </c>
      <c r="M6" s="2">
        <v>7737060000000</v>
      </c>
    </row>
    <row r="7" spans="1:13" x14ac:dyDescent="0.3">
      <c r="A7" s="1">
        <v>35065</v>
      </c>
      <c r="B7" s="2">
        <v>978900000000</v>
      </c>
      <c r="C7" s="2">
        <v>383504000000</v>
      </c>
      <c r="D7" s="2">
        <v>50138000000</v>
      </c>
      <c r="E7" s="2">
        <v>36704000000</v>
      </c>
      <c r="F7" s="2">
        <v>345629000000</v>
      </c>
      <c r="G7" s="2">
        <v>66769000000.000008</v>
      </c>
      <c r="H7" s="4">
        <f t="shared" si="0"/>
        <v>96156000000</v>
      </c>
      <c r="I7" s="2"/>
      <c r="L7" s="2">
        <v>392137000000</v>
      </c>
      <c r="M7" s="2">
        <v>7892150000000</v>
      </c>
    </row>
    <row r="8" spans="1:13" x14ac:dyDescent="0.3">
      <c r="A8" s="1">
        <v>35431</v>
      </c>
      <c r="B8" s="2">
        <v>954886000000</v>
      </c>
      <c r="C8" s="2">
        <v>384593000000</v>
      </c>
      <c r="D8" s="2">
        <v>47355000000</v>
      </c>
      <c r="E8" s="2">
        <v>33741999999.999996</v>
      </c>
      <c r="F8" s="2">
        <v>353525000000</v>
      </c>
      <c r="G8" s="2">
        <v>66801000000</v>
      </c>
      <c r="H8" s="4">
        <f t="shared" si="0"/>
        <v>68870000000</v>
      </c>
      <c r="I8" s="2"/>
      <c r="L8" s="2">
        <v>396689000000</v>
      </c>
      <c r="M8" s="2">
        <v>8039440000000</v>
      </c>
    </row>
    <row r="9" spans="1:13" x14ac:dyDescent="0.3">
      <c r="A9" s="1">
        <v>35796</v>
      </c>
      <c r="B9" s="2">
        <v>969996000000</v>
      </c>
      <c r="C9" s="2">
        <v>389706000000</v>
      </c>
      <c r="D9" s="2">
        <v>47898000000</v>
      </c>
      <c r="E9" s="2">
        <v>35063000000</v>
      </c>
      <c r="F9" s="2">
        <v>357475000000</v>
      </c>
      <c r="G9" s="2">
        <v>67765000000</v>
      </c>
      <c r="H9" s="4">
        <f t="shared" si="0"/>
        <v>72089000000</v>
      </c>
      <c r="I9" s="2"/>
      <c r="L9" s="2">
        <v>411184000000</v>
      </c>
      <c r="M9" s="2">
        <v>8196629999999.999</v>
      </c>
    </row>
    <row r="10" spans="1:13" x14ac:dyDescent="0.3">
      <c r="A10" s="1">
        <v>36161</v>
      </c>
      <c r="B10" s="2">
        <v>1007187000000</v>
      </c>
      <c r="C10" s="2">
        <v>407595000000</v>
      </c>
      <c r="D10" s="2">
        <v>56229000000</v>
      </c>
      <c r="E10" s="2">
        <v>30458000000</v>
      </c>
      <c r="F10" s="2">
        <v>370411000000</v>
      </c>
      <c r="G10" s="2">
        <v>64274000000</v>
      </c>
      <c r="H10" s="4">
        <f t="shared" si="0"/>
        <v>78220000000</v>
      </c>
      <c r="I10" s="2"/>
      <c r="L10" s="2">
        <v>418077000000</v>
      </c>
      <c r="M10" s="2">
        <v>8363459999999.999</v>
      </c>
    </row>
    <row r="11" spans="1:13" x14ac:dyDescent="0.3">
      <c r="A11" s="1">
        <v>36526</v>
      </c>
      <c r="B11" s="2">
        <v>1023445000000</v>
      </c>
      <c r="C11" s="2">
        <v>413966000000</v>
      </c>
      <c r="D11" s="2">
        <v>55396000000</v>
      </c>
      <c r="E11" s="2">
        <v>30535000000</v>
      </c>
      <c r="F11" s="2">
        <v>369133000000</v>
      </c>
      <c r="G11" s="2">
        <v>67540000000.000008</v>
      </c>
      <c r="H11" s="4">
        <f t="shared" si="0"/>
        <v>86875000000</v>
      </c>
      <c r="I11" s="2"/>
      <c r="L11" s="2">
        <v>431933000000</v>
      </c>
      <c r="M11" s="2">
        <v>8527059999999.999</v>
      </c>
    </row>
    <row r="12" spans="1:13" x14ac:dyDescent="0.3">
      <c r="A12" s="1">
        <v>36892</v>
      </c>
      <c r="B12" s="2">
        <v>1046229000000</v>
      </c>
      <c r="C12" s="2">
        <v>422652000000</v>
      </c>
      <c r="D12" s="2">
        <v>55599000000</v>
      </c>
      <c r="E12" s="2">
        <v>29849000000</v>
      </c>
      <c r="F12" s="2">
        <v>382938000000</v>
      </c>
      <c r="G12" s="2">
        <v>66200999999.999992</v>
      </c>
      <c r="H12" s="4">
        <f t="shared" si="0"/>
        <v>88990000000</v>
      </c>
      <c r="I12" s="2"/>
      <c r="L12" s="2">
        <v>417392000000</v>
      </c>
      <c r="M12" s="2">
        <v>8658370000000.001</v>
      </c>
    </row>
    <row r="13" spans="1:13" x14ac:dyDescent="0.3">
      <c r="A13" s="1">
        <v>37257</v>
      </c>
      <c r="B13" s="2">
        <v>1072637999999.9999</v>
      </c>
      <c r="C13" s="2">
        <v>434366000000</v>
      </c>
      <c r="D13" s="2">
        <v>58261000000</v>
      </c>
      <c r="E13" s="2">
        <v>28684000000</v>
      </c>
      <c r="F13" s="2">
        <v>397992000000</v>
      </c>
      <c r="G13" s="2">
        <v>66135000000.000008</v>
      </c>
      <c r="H13" s="4">
        <f t="shared" si="0"/>
        <v>87199999999.999878</v>
      </c>
      <c r="I13" s="2"/>
      <c r="L13" s="2">
        <v>383892000000</v>
      </c>
      <c r="M13" s="2">
        <v>8741270000000</v>
      </c>
    </row>
    <row r="14" spans="1:13" x14ac:dyDescent="0.3">
      <c r="A14" s="1">
        <v>37622</v>
      </c>
      <c r="B14" s="2">
        <v>1087101000000.0001</v>
      </c>
      <c r="C14" s="2">
        <v>438568000000</v>
      </c>
      <c r="D14" s="2">
        <v>56344000000</v>
      </c>
      <c r="E14" s="2">
        <v>26720000000</v>
      </c>
      <c r="F14" s="2">
        <v>408988000000</v>
      </c>
      <c r="G14" s="2">
        <v>65075000000</v>
      </c>
      <c r="H14" s="4">
        <f t="shared" si="0"/>
        <v>91406000000.000122</v>
      </c>
      <c r="I14" s="2"/>
      <c r="L14" s="2">
        <v>375323000000</v>
      </c>
      <c r="M14" s="2">
        <v>8806710000000</v>
      </c>
    </row>
    <row r="15" spans="1:13" x14ac:dyDescent="0.3">
      <c r="A15" s="1">
        <v>37987</v>
      </c>
      <c r="B15" s="2">
        <v>1077079999999.9999</v>
      </c>
      <c r="C15" s="2">
        <v>436826000000</v>
      </c>
      <c r="D15" s="2">
        <v>51372000000</v>
      </c>
      <c r="E15" s="2">
        <v>26135000000</v>
      </c>
      <c r="F15" s="2">
        <v>411118000000</v>
      </c>
      <c r="G15" s="2">
        <v>63816000000</v>
      </c>
      <c r="H15" s="4">
        <f t="shared" si="0"/>
        <v>87812999999.999878</v>
      </c>
      <c r="I15" s="2"/>
      <c r="L15" s="2">
        <v>380441000000</v>
      </c>
      <c r="M15" s="2">
        <v>8862730000000</v>
      </c>
    </row>
    <row r="16" spans="1:13" x14ac:dyDescent="0.3">
      <c r="A16" s="1">
        <v>38353</v>
      </c>
      <c r="B16" s="2">
        <v>1089992999999.9999</v>
      </c>
      <c r="C16" s="2">
        <v>440326000000</v>
      </c>
      <c r="D16" s="2">
        <v>51344000000</v>
      </c>
      <c r="E16" s="2">
        <v>25420000000</v>
      </c>
      <c r="F16" s="2">
        <v>412615000000</v>
      </c>
      <c r="G16" s="2">
        <v>63494000000</v>
      </c>
      <c r="H16" s="4">
        <f t="shared" si="0"/>
        <v>96793999999.999878</v>
      </c>
      <c r="I16" s="2"/>
      <c r="L16" s="2">
        <v>385062000000</v>
      </c>
      <c r="M16" s="2">
        <v>8915560000000</v>
      </c>
    </row>
    <row r="17" spans="1:13" x14ac:dyDescent="0.3">
      <c r="A17" s="1">
        <v>38718</v>
      </c>
      <c r="B17" s="2">
        <v>1099273999999.9999</v>
      </c>
      <c r="C17" s="2">
        <v>447752000000</v>
      </c>
      <c r="D17" s="2">
        <v>56058000000</v>
      </c>
      <c r="E17" s="2">
        <v>26652000000</v>
      </c>
      <c r="F17" s="2">
        <v>409260000000</v>
      </c>
      <c r="G17" s="2">
        <v>65218000000</v>
      </c>
      <c r="H17" s="4">
        <f t="shared" si="0"/>
        <v>94333999999.999878</v>
      </c>
      <c r="I17" s="2"/>
      <c r="L17" s="2">
        <v>416135000000</v>
      </c>
      <c r="M17" s="2">
        <v>9000220000000</v>
      </c>
    </row>
    <row r="18" spans="1:13" x14ac:dyDescent="0.3">
      <c r="A18" s="1">
        <v>39083</v>
      </c>
      <c r="B18" s="2">
        <v>1106879000000</v>
      </c>
      <c r="C18" s="2">
        <v>456952000000</v>
      </c>
      <c r="D18" s="2">
        <v>56801000000</v>
      </c>
      <c r="E18" s="2">
        <v>27658000000</v>
      </c>
      <c r="F18" s="2">
        <v>401833000000</v>
      </c>
      <c r="G18" s="2">
        <v>67686000000.000008</v>
      </c>
      <c r="H18" s="4">
        <f t="shared" si="0"/>
        <v>95949000000</v>
      </c>
      <c r="I18" s="2"/>
      <c r="L18" s="2">
        <v>444402000000</v>
      </c>
      <c r="M18" s="2">
        <v>9093210000000</v>
      </c>
    </row>
    <row r="19" spans="1:13" x14ac:dyDescent="0.3">
      <c r="A19" s="1">
        <v>39448</v>
      </c>
      <c r="B19" s="2">
        <v>1150280000000</v>
      </c>
      <c r="C19" s="2">
        <v>475217000000</v>
      </c>
      <c r="D19" s="2">
        <v>61384000000</v>
      </c>
      <c r="E19" s="2">
        <v>28416000000</v>
      </c>
      <c r="F19" s="2">
        <v>405166000000</v>
      </c>
      <c r="G19" s="2">
        <v>69096000000</v>
      </c>
      <c r="H19" s="4">
        <f t="shared" si="0"/>
        <v>111001000000</v>
      </c>
      <c r="I19" s="2"/>
      <c r="L19" s="2">
        <v>455515000000</v>
      </c>
      <c r="M19" s="2">
        <v>9182250000000</v>
      </c>
    </row>
    <row r="20" spans="1:13" x14ac:dyDescent="0.3">
      <c r="A20" s="1">
        <v>39814</v>
      </c>
      <c r="B20" s="2">
        <v>1204819000000</v>
      </c>
      <c r="C20" s="2">
        <v>498790000000</v>
      </c>
      <c r="D20" s="2">
        <v>65696000000</v>
      </c>
      <c r="E20" s="2">
        <v>37479000000</v>
      </c>
      <c r="F20" s="2">
        <v>427204000000</v>
      </c>
      <c r="G20" s="2">
        <v>65188999999.999992</v>
      </c>
      <c r="H20" s="4">
        <f t="shared" si="0"/>
        <v>110461000000</v>
      </c>
      <c r="I20" s="2"/>
      <c r="L20" s="2">
        <v>404123000000</v>
      </c>
      <c r="M20" s="2">
        <v>9200510000000</v>
      </c>
    </row>
    <row r="21" spans="1:13" x14ac:dyDescent="0.3">
      <c r="A21" s="1">
        <v>40179</v>
      </c>
      <c r="B21" s="2">
        <v>1258707000000</v>
      </c>
      <c r="C21" s="2">
        <v>512022000000.00006</v>
      </c>
      <c r="D21" s="2">
        <v>68494000000</v>
      </c>
      <c r="E21" s="2">
        <v>33582000000</v>
      </c>
      <c r="F21" s="2">
        <v>431214000000</v>
      </c>
      <c r="G21" s="2">
        <v>63851000000</v>
      </c>
      <c r="H21" s="4">
        <f t="shared" si="0"/>
        <v>149544000000</v>
      </c>
      <c r="I21" s="2"/>
      <c r="L21" s="2">
        <v>433274000000</v>
      </c>
      <c r="M21" s="2">
        <v>9245140000000</v>
      </c>
    </row>
    <row r="22" spans="1:13" x14ac:dyDescent="0.3">
      <c r="A22" s="1">
        <v>40544</v>
      </c>
      <c r="B22" s="2">
        <v>1244063000000</v>
      </c>
      <c r="C22" s="2">
        <v>523421000000.00006</v>
      </c>
      <c r="D22" s="2">
        <v>70525000000</v>
      </c>
      <c r="E22" s="2">
        <v>33972000000</v>
      </c>
      <c r="F22" s="2">
        <v>425271000000</v>
      </c>
      <c r="G22" s="2">
        <v>67980000000.000008</v>
      </c>
      <c r="H22" s="4">
        <f t="shared" si="0"/>
        <v>122894000000</v>
      </c>
      <c r="I22" s="2"/>
      <c r="L22" s="2">
        <v>479080000000</v>
      </c>
      <c r="M22" s="2">
        <v>9326300000000</v>
      </c>
    </row>
    <row r="23" spans="1:13" x14ac:dyDescent="0.3">
      <c r="A23" s="1">
        <v>40909</v>
      </c>
      <c r="B23" s="2">
        <v>1262507000000</v>
      </c>
      <c r="C23" s="2">
        <v>538870000000</v>
      </c>
      <c r="D23" s="2">
        <v>69037000000</v>
      </c>
      <c r="E23" s="2">
        <v>35180000000</v>
      </c>
      <c r="F23" s="2">
        <v>431667000000</v>
      </c>
      <c r="G23" s="2">
        <v>64185000000</v>
      </c>
      <c r="H23" s="4">
        <f t="shared" si="0"/>
        <v>123568000000</v>
      </c>
      <c r="I23" s="2"/>
      <c r="L23" s="2">
        <v>489876000000</v>
      </c>
      <c r="M23" s="2">
        <v>9396740000000</v>
      </c>
    </row>
    <row r="24" spans="1:13" x14ac:dyDescent="0.3">
      <c r="A24" s="1">
        <v>41275</v>
      </c>
      <c r="B24" s="2">
        <v>1294600000000</v>
      </c>
      <c r="C24" s="2">
        <v>561975000000</v>
      </c>
      <c r="D24" s="2">
        <v>69825000000</v>
      </c>
      <c r="E24" s="2">
        <v>37607000000</v>
      </c>
      <c r="F24" s="2">
        <v>440113000000</v>
      </c>
      <c r="G24" s="2">
        <v>51902000000</v>
      </c>
      <c r="H24" s="4">
        <f t="shared" si="0"/>
        <v>133178000000</v>
      </c>
      <c r="I24" s="2"/>
      <c r="L24" s="2">
        <v>491350000000</v>
      </c>
      <c r="M24" s="2">
        <v>9451720000000</v>
      </c>
    </row>
    <row r="25" spans="1:13" x14ac:dyDescent="0.3">
      <c r="A25" s="1">
        <v>41640</v>
      </c>
      <c r="B25" s="2">
        <v>1328332000000</v>
      </c>
      <c r="C25" s="2">
        <v>583523000000</v>
      </c>
      <c r="D25" s="2">
        <v>70127000000</v>
      </c>
      <c r="E25" s="2">
        <v>40584000000</v>
      </c>
      <c r="F25" s="2">
        <v>452763000000</v>
      </c>
      <c r="G25" s="2">
        <v>47547000000</v>
      </c>
      <c r="H25" s="4">
        <f t="shared" si="0"/>
        <v>133788000000</v>
      </c>
      <c r="I25" s="2"/>
      <c r="L25" s="2">
        <v>520278000000</v>
      </c>
      <c r="M25" s="2">
        <v>9521110000000</v>
      </c>
    </row>
    <row r="26" spans="1:13" x14ac:dyDescent="0.3">
      <c r="A26" s="1">
        <v>42005</v>
      </c>
      <c r="B26" s="2">
        <v>1373293000000</v>
      </c>
      <c r="C26" s="2">
        <v>605942000000</v>
      </c>
      <c r="D26" s="2">
        <v>73640000000</v>
      </c>
      <c r="E26" s="2">
        <v>43508000000</v>
      </c>
      <c r="F26" s="2">
        <v>471572000000</v>
      </c>
      <c r="G26" s="2">
        <v>42913000000</v>
      </c>
      <c r="H26" s="4">
        <f t="shared" si="0"/>
        <v>135718000000</v>
      </c>
      <c r="I26" s="2"/>
      <c r="L26" s="2">
        <v>535979000000.00006</v>
      </c>
      <c r="M26" s="2">
        <v>9592340000000</v>
      </c>
    </row>
    <row r="27" spans="1:13" x14ac:dyDescent="0.3">
      <c r="A27" s="1">
        <v>42370</v>
      </c>
      <c r="B27" s="2">
        <v>1429256000000</v>
      </c>
      <c r="C27" s="2">
        <v>633891000000</v>
      </c>
      <c r="D27" s="2">
        <v>78084000000</v>
      </c>
      <c r="E27" s="2">
        <v>43476000000</v>
      </c>
      <c r="F27" s="2">
        <v>489370000000</v>
      </c>
      <c r="G27" s="2">
        <v>37888000000</v>
      </c>
      <c r="H27" s="4">
        <f t="shared" si="0"/>
        <v>146547000000</v>
      </c>
      <c r="I27" s="2"/>
      <c r="L27" s="2">
        <v>562359000000</v>
      </c>
      <c r="M27" s="2">
        <v>9678420000000</v>
      </c>
    </row>
    <row r="28" spans="1:13" x14ac:dyDescent="0.3">
      <c r="A28" s="1">
        <v>42736</v>
      </c>
      <c r="B28" s="2">
        <v>1484552000000</v>
      </c>
      <c r="C28" s="2">
        <v>657990000000</v>
      </c>
      <c r="D28" s="2">
        <v>82833000000</v>
      </c>
      <c r="E28" s="2">
        <v>44038000000</v>
      </c>
      <c r="F28" s="2">
        <v>509573000000</v>
      </c>
      <c r="G28" s="2">
        <v>34489000000</v>
      </c>
      <c r="H28" s="4">
        <f t="shared" si="0"/>
        <v>155629000000</v>
      </c>
      <c r="I28" s="2"/>
      <c r="L28" s="2">
        <v>588253000000</v>
      </c>
      <c r="M28" s="2">
        <v>9770540000000</v>
      </c>
    </row>
    <row r="29" spans="1:13" x14ac:dyDescent="0.3">
      <c r="A29" s="1">
        <v>43101</v>
      </c>
      <c r="B29" s="2">
        <v>1533328000000</v>
      </c>
      <c r="C29" s="2">
        <v>680525000000</v>
      </c>
      <c r="D29" s="2">
        <v>90882000000</v>
      </c>
      <c r="E29" s="2">
        <v>43634000000</v>
      </c>
      <c r="F29" s="2">
        <v>523248000000.00006</v>
      </c>
      <c r="G29" s="2">
        <v>31787000000</v>
      </c>
      <c r="H29" s="4">
        <f t="shared" si="0"/>
        <v>163252000000</v>
      </c>
      <c r="I29" s="2"/>
      <c r="L29" s="2">
        <v>623998000000</v>
      </c>
      <c r="M29" s="2">
        <v>9874870000000</v>
      </c>
    </row>
    <row r="30" spans="1:13" x14ac:dyDescent="0.3">
      <c r="A30" s="1">
        <v>43466</v>
      </c>
      <c r="B30" s="2">
        <v>1610615000000</v>
      </c>
      <c r="C30" s="2">
        <v>717506000000</v>
      </c>
      <c r="D30" s="2">
        <v>95637000000</v>
      </c>
      <c r="E30" s="2">
        <v>48518000000</v>
      </c>
      <c r="F30" s="2">
        <v>549967000000</v>
      </c>
      <c r="G30" s="2">
        <v>28052000000</v>
      </c>
      <c r="H30" s="4">
        <f t="shared" si="0"/>
        <v>170935000000</v>
      </c>
      <c r="I30" s="2"/>
      <c r="L30" s="2">
        <v>652579000000</v>
      </c>
      <c r="M30" s="2">
        <v>9980260000000</v>
      </c>
    </row>
    <row r="31" spans="1:13" x14ac:dyDescent="0.3">
      <c r="A31" s="1">
        <v>43831</v>
      </c>
      <c r="B31" s="2">
        <v>1763784000000</v>
      </c>
      <c r="C31" s="2">
        <v>769045000000</v>
      </c>
      <c r="D31" s="2">
        <v>104573000000</v>
      </c>
      <c r="E31" s="2">
        <v>93752000000</v>
      </c>
      <c r="F31" s="2">
        <v>595429000000</v>
      </c>
      <c r="G31" s="2">
        <v>22390000000</v>
      </c>
      <c r="H31" s="4">
        <f t="shared" si="0"/>
        <v>178595000000</v>
      </c>
      <c r="I31" s="2"/>
      <c r="L31" s="2">
        <v>631903000000</v>
      </c>
      <c r="M31" s="2">
        <v>10050260000000</v>
      </c>
    </row>
    <row r="32" spans="1:13" x14ac:dyDescent="0.3">
      <c r="A32" s="1">
        <v>44197</v>
      </c>
      <c r="B32" s="2">
        <v>1864302000000</v>
      </c>
      <c r="C32" s="2">
        <v>820185000000</v>
      </c>
      <c r="D32" s="2">
        <v>106120000000</v>
      </c>
      <c r="E32" s="2">
        <v>107436000000</v>
      </c>
      <c r="F32" s="2">
        <v>606167000000</v>
      </c>
      <c r="G32" s="2">
        <v>21734000000</v>
      </c>
      <c r="H32" s="4">
        <f t="shared" si="0"/>
        <v>202660000000</v>
      </c>
      <c r="I32" s="2"/>
      <c r="L32" s="2">
        <v>673085000000</v>
      </c>
      <c r="M32" s="2">
        <v>10116970000000</v>
      </c>
    </row>
    <row r="33" spans="1:13" x14ac:dyDescent="0.3">
      <c r="A33" s="1">
        <v>44562</v>
      </c>
      <c r="B33" s="2">
        <v>1937465000000</v>
      </c>
      <c r="C33" s="2">
        <v>869815000000</v>
      </c>
      <c r="D33" s="2">
        <v>111645000000</v>
      </c>
      <c r="E33" s="2">
        <v>67498999999.999992</v>
      </c>
      <c r="F33" s="2">
        <v>613928000000</v>
      </c>
      <c r="G33" s="2">
        <v>27871000000</v>
      </c>
      <c r="H33" s="4">
        <f t="shared" si="0"/>
        <v>246707000000</v>
      </c>
      <c r="I33" s="2"/>
      <c r="L33" s="2">
        <v>746608000000</v>
      </c>
      <c r="M33" s="2">
        <v>10171380000000</v>
      </c>
    </row>
    <row r="34" spans="1:13" x14ac:dyDescent="0.3">
      <c r="A34" s="1">
        <v>44927</v>
      </c>
      <c r="B34" s="2">
        <v>2024970000000</v>
      </c>
      <c r="C34" s="2">
        <v>905151000000</v>
      </c>
      <c r="D34" s="2">
        <v>118481000000</v>
      </c>
      <c r="E34" s="2">
        <v>84547000000</v>
      </c>
      <c r="F34" s="2">
        <v>656996000000</v>
      </c>
      <c r="G34" s="2">
        <v>36567000000</v>
      </c>
      <c r="H34" s="4">
        <f t="shared" si="0"/>
        <v>223228000000</v>
      </c>
      <c r="I34" s="2"/>
      <c r="L34" s="2">
        <v>781399000000</v>
      </c>
      <c r="M34" s="2">
        <v>10207000000000</v>
      </c>
    </row>
    <row r="35" spans="1:13" x14ac:dyDescent="0.3">
      <c r="A35" s="1">
        <v>45292</v>
      </c>
      <c r="B35" s="2">
        <v>2131627000000</v>
      </c>
      <c r="C35" s="2">
        <v>961327000000</v>
      </c>
      <c r="D35" s="2">
        <v>125854000000</v>
      </c>
      <c r="E35" s="2">
        <v>54422000000</v>
      </c>
      <c r="F35" s="2">
        <v>703226000000</v>
      </c>
      <c r="G35" s="2">
        <v>45416000000</v>
      </c>
      <c r="H35" s="4">
        <f t="shared" si="0"/>
        <v>241382000000</v>
      </c>
      <c r="I35" s="2"/>
      <c r="L35" s="2">
        <v>772096000000</v>
      </c>
      <c r="M35" s="2">
        <v>10215680000000</v>
      </c>
    </row>
    <row r="36" spans="1:13" x14ac:dyDescent="0.3">
      <c r="A36" s="1">
        <v>45658</v>
      </c>
      <c r="B36" s="2">
        <v>2214396000000</v>
      </c>
      <c r="C36" s="2">
        <v>999063000000</v>
      </c>
      <c r="D36" s="2">
        <v>130315300000.00002</v>
      </c>
      <c r="E36" s="2">
        <v>53113500000</v>
      </c>
      <c r="F36" s="2">
        <v>740732700000</v>
      </c>
      <c r="G36" s="2">
        <v>48399820000</v>
      </c>
      <c r="H36" s="4">
        <f t="shared" si="0"/>
        <v>242771680000</v>
      </c>
      <c r="I36" s="2"/>
      <c r="L36" s="2">
        <v>786710200000</v>
      </c>
      <c r="M36" s="2">
        <v>10225520000000</v>
      </c>
    </row>
    <row r="37" spans="1:13" x14ac:dyDescent="0.3">
      <c r="A37" s="1">
        <v>46023</v>
      </c>
      <c r="B37" s="2">
        <v>2297401000000</v>
      </c>
      <c r="C37" s="2">
        <v>1033102000000.0001</v>
      </c>
      <c r="D37" s="2">
        <v>134619400000.00002</v>
      </c>
      <c r="E37" s="2">
        <v>53970100000</v>
      </c>
      <c r="F37" s="2">
        <v>770753600000</v>
      </c>
      <c r="G37" s="2">
        <v>50617010000</v>
      </c>
      <c r="H37" s="4">
        <f t="shared" si="0"/>
        <v>254338889999.99976</v>
      </c>
      <c r="I37" s="2"/>
      <c r="L37" s="2">
        <v>822779900000</v>
      </c>
      <c r="M37" s="2">
        <v>10253110000000</v>
      </c>
    </row>
    <row r="39" spans="1:13" x14ac:dyDescent="0.3">
      <c r="C39" s="2">
        <f>SUM(C35:F35,H35)</f>
        <v>2086211000000</v>
      </c>
      <c r="D39" s="2">
        <f>'AMECO Revenues (ESA 2010)'!B35-'AMECO Expenditure (ESA 2010)'!C39</f>
        <v>-73361000000</v>
      </c>
    </row>
    <row r="40" spans="1:13" x14ac:dyDescent="0.3">
      <c r="C40" s="2">
        <f t="shared" ref="C40:C41" si="1">SUM(C36:F36,H36)</f>
        <v>2165996180000</v>
      </c>
      <c r="D40" s="2">
        <f>'AMECO Revenues (ESA 2010)'!B36-'AMECO Expenditure (ESA 2010)'!C40</f>
        <v>-69750180000</v>
      </c>
    </row>
    <row r="41" spans="1:13" x14ac:dyDescent="0.3">
      <c r="C41" s="2">
        <f t="shared" si="1"/>
        <v>2246783990000</v>
      </c>
      <c r="D41" s="2">
        <f>'AMECO Revenues (ESA 2010)'!B37-'AMECO Expenditure (ESA 2010)'!C41</f>
        <v>-79588989999.999756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A481-825A-4488-82EB-01917A31C25F}">
  <dimension ref="A1:G37"/>
  <sheetViews>
    <sheetView zoomScale="74" workbookViewId="0">
      <selection activeCell="F2" sqref="F2:F37"/>
    </sheetView>
  </sheetViews>
  <sheetFormatPr defaultRowHeight="14.4" x14ac:dyDescent="0.3"/>
  <cols>
    <col min="1" max="1" width="10.109375" bestFit="1" customWidth="1"/>
    <col min="2" max="2" width="16.33203125" bestFit="1" customWidth="1"/>
    <col min="3" max="3" width="22.109375" bestFit="1" customWidth="1"/>
    <col min="4" max="4" width="18.5546875" customWidth="1"/>
    <col min="5" max="5" width="22.77734375" bestFit="1" customWidth="1"/>
    <col min="6" max="6" width="17.21875" customWidth="1"/>
    <col min="7" max="7" width="17.6640625" style="3" customWidth="1"/>
  </cols>
  <sheetData>
    <row r="1" spans="1:7" x14ac:dyDescent="0.3">
      <c r="B1" t="s">
        <v>10</v>
      </c>
      <c r="C1" t="s">
        <v>12</v>
      </c>
      <c r="D1" t="s">
        <v>13</v>
      </c>
      <c r="E1" t="s">
        <v>25</v>
      </c>
      <c r="F1" t="s">
        <v>11</v>
      </c>
      <c r="G1" s="3" t="s">
        <v>8</v>
      </c>
    </row>
    <row r="2" spans="1:7" x14ac:dyDescent="0.3">
      <c r="A2" s="1">
        <v>33239</v>
      </c>
      <c r="B2" s="2">
        <v>686311000000</v>
      </c>
      <c r="C2" s="2">
        <v>194250000000</v>
      </c>
      <c r="D2" s="2">
        <v>155941000000</v>
      </c>
      <c r="E2" s="2">
        <v>243917000000</v>
      </c>
      <c r="F2" s="2">
        <v>14314000000</v>
      </c>
      <c r="G2" s="4">
        <f>B2-SUM(C2:F2)</f>
        <v>77889000000</v>
      </c>
    </row>
    <row r="3" spans="1:7" x14ac:dyDescent="0.3">
      <c r="A3" s="1">
        <v>33604</v>
      </c>
      <c r="B3" s="2">
        <v>761026000000</v>
      </c>
      <c r="C3" s="2">
        <v>215200000000</v>
      </c>
      <c r="D3" s="2">
        <v>168390000000</v>
      </c>
      <c r="E3" s="2">
        <v>267999000000.00003</v>
      </c>
      <c r="F3" s="2">
        <v>15824000000</v>
      </c>
      <c r="G3" s="4">
        <f t="shared" ref="G3:G37" si="0">B3-SUM(C3:F3)</f>
        <v>93613000000</v>
      </c>
    </row>
    <row r="4" spans="1:7" x14ac:dyDescent="0.3">
      <c r="A4" s="1">
        <v>33970</v>
      </c>
      <c r="B4" s="2">
        <v>790261000000</v>
      </c>
      <c r="C4" s="2">
        <v>215384000000</v>
      </c>
      <c r="D4" s="2">
        <v>179397000000</v>
      </c>
      <c r="E4" s="2">
        <v>284590000000</v>
      </c>
      <c r="F4" s="2">
        <v>16413000000</v>
      </c>
      <c r="G4" s="4">
        <f t="shared" si="0"/>
        <v>94477000000</v>
      </c>
    </row>
    <row r="5" spans="1:7" x14ac:dyDescent="0.3">
      <c r="A5" s="1">
        <v>34335</v>
      </c>
      <c r="B5" s="2">
        <v>837075000000</v>
      </c>
      <c r="C5" s="2">
        <v>218430000000</v>
      </c>
      <c r="D5" s="2">
        <v>195483000000</v>
      </c>
      <c r="E5" s="2">
        <v>304609000000</v>
      </c>
      <c r="F5" s="2">
        <v>19245000000</v>
      </c>
      <c r="G5" s="4">
        <f t="shared" si="0"/>
        <v>99308000000</v>
      </c>
    </row>
    <row r="6" spans="1:7" x14ac:dyDescent="0.3">
      <c r="A6" s="1">
        <v>34700</v>
      </c>
      <c r="B6" s="2">
        <v>870238000000</v>
      </c>
      <c r="C6" s="2">
        <v>226202000000</v>
      </c>
      <c r="D6" s="2">
        <v>196847000000</v>
      </c>
      <c r="E6" s="2">
        <v>320363000000</v>
      </c>
      <c r="F6" s="2">
        <v>23809000000</v>
      </c>
      <c r="G6" s="4">
        <f t="shared" si="0"/>
        <v>103017000000</v>
      </c>
    </row>
    <row r="7" spans="1:7" x14ac:dyDescent="0.3">
      <c r="A7" s="1">
        <v>35065</v>
      </c>
      <c r="B7" s="2">
        <v>885563000000</v>
      </c>
      <c r="C7" s="2">
        <v>227385000000</v>
      </c>
      <c r="D7" s="2">
        <v>197612000000</v>
      </c>
      <c r="E7" s="2">
        <v>335686000000</v>
      </c>
      <c r="F7" s="2">
        <v>24764000000</v>
      </c>
      <c r="G7" s="4">
        <f t="shared" si="0"/>
        <v>100116000000</v>
      </c>
    </row>
    <row r="8" spans="1:7" x14ac:dyDescent="0.3">
      <c r="A8" s="1">
        <v>35431</v>
      </c>
      <c r="B8" s="2">
        <v>899509000000</v>
      </c>
      <c r="C8" s="2">
        <v>227390000000</v>
      </c>
      <c r="D8" s="2">
        <v>200628000000</v>
      </c>
      <c r="E8" s="2">
        <v>347138000000</v>
      </c>
      <c r="F8" s="2">
        <v>26248000000</v>
      </c>
      <c r="G8" s="4">
        <f t="shared" si="0"/>
        <v>98105000000</v>
      </c>
    </row>
    <row r="9" spans="1:7" x14ac:dyDescent="0.3">
      <c r="A9" s="1">
        <v>35796</v>
      </c>
      <c r="B9" s="2">
        <v>923010000000</v>
      </c>
      <c r="C9" s="2">
        <v>240038000000</v>
      </c>
      <c r="D9" s="2">
        <v>208114000000</v>
      </c>
      <c r="E9" s="2">
        <v>350081000000</v>
      </c>
      <c r="F9" s="2">
        <v>26872000000</v>
      </c>
      <c r="G9" s="4">
        <f t="shared" si="0"/>
        <v>97905000000</v>
      </c>
    </row>
    <row r="10" spans="1:7" x14ac:dyDescent="0.3">
      <c r="A10" s="1">
        <v>36161</v>
      </c>
      <c r="B10" s="2">
        <v>968416000000</v>
      </c>
      <c r="C10" s="2">
        <v>255926000000</v>
      </c>
      <c r="D10" s="2">
        <v>223572000000</v>
      </c>
      <c r="E10" s="2">
        <v>354191000000</v>
      </c>
      <c r="F10" s="2">
        <v>28147000000</v>
      </c>
      <c r="G10" s="4">
        <f t="shared" si="0"/>
        <v>106580000000</v>
      </c>
    </row>
    <row r="11" spans="1:7" x14ac:dyDescent="0.3">
      <c r="A11" s="1">
        <v>36526</v>
      </c>
      <c r="B11" s="2">
        <v>986936000000</v>
      </c>
      <c r="C11" s="2">
        <v>268002000000</v>
      </c>
      <c r="D11" s="2">
        <v>229381000000</v>
      </c>
      <c r="E11" s="2">
        <v>356989000000</v>
      </c>
      <c r="F11" s="2">
        <v>25765000000</v>
      </c>
      <c r="G11" s="4">
        <f t="shared" si="0"/>
        <v>106799000000</v>
      </c>
    </row>
    <row r="12" spans="1:7" x14ac:dyDescent="0.3">
      <c r="A12" s="1">
        <v>36892</v>
      </c>
      <c r="B12" s="2">
        <v>977627000000</v>
      </c>
      <c r="C12" s="2">
        <v>242701000000</v>
      </c>
      <c r="D12" s="2">
        <v>233418000000</v>
      </c>
      <c r="E12" s="2">
        <v>361883000000</v>
      </c>
      <c r="F12" s="2">
        <v>26732000000</v>
      </c>
      <c r="G12" s="4">
        <f t="shared" si="0"/>
        <v>112893000000</v>
      </c>
    </row>
    <row r="13" spans="1:7" x14ac:dyDescent="0.3">
      <c r="A13" s="1">
        <v>37257</v>
      </c>
      <c r="B13" s="2">
        <v>981788000000</v>
      </c>
      <c r="C13" s="2">
        <v>237263000000</v>
      </c>
      <c r="D13" s="2">
        <v>235394000000</v>
      </c>
      <c r="E13" s="2">
        <v>367015000000</v>
      </c>
      <c r="F13" s="2">
        <v>27292000000</v>
      </c>
      <c r="G13" s="4">
        <f t="shared" si="0"/>
        <v>114824000000</v>
      </c>
    </row>
    <row r="14" spans="1:7" x14ac:dyDescent="0.3">
      <c r="A14" s="1">
        <v>37622</v>
      </c>
      <c r="B14" s="2">
        <v>1001289000000</v>
      </c>
      <c r="C14" s="2">
        <v>237799000000</v>
      </c>
      <c r="D14" s="2">
        <v>240978000000</v>
      </c>
      <c r="E14" s="2">
        <v>373978000000</v>
      </c>
      <c r="F14" s="2">
        <v>27918000000</v>
      </c>
      <c r="G14" s="4">
        <f t="shared" si="0"/>
        <v>120616000000</v>
      </c>
    </row>
    <row r="15" spans="1:7" x14ac:dyDescent="0.3">
      <c r="A15" s="1">
        <v>37987</v>
      </c>
      <c r="B15" s="2">
        <v>998635000000</v>
      </c>
      <c r="C15" s="2">
        <v>238163000000</v>
      </c>
      <c r="D15" s="2">
        <v>239835000000</v>
      </c>
      <c r="E15" s="2">
        <v>373698000000</v>
      </c>
      <c r="F15" s="2">
        <v>27904000000</v>
      </c>
      <c r="G15" s="4">
        <f t="shared" si="0"/>
        <v>119035000000</v>
      </c>
    </row>
    <row r="16" spans="1:7" x14ac:dyDescent="0.3">
      <c r="A16" s="1">
        <v>38353</v>
      </c>
      <c r="B16" s="2">
        <v>1011597000000</v>
      </c>
      <c r="C16" s="2">
        <v>248531000000</v>
      </c>
      <c r="D16" s="2">
        <v>242581000000</v>
      </c>
      <c r="E16" s="2">
        <v>372889000000</v>
      </c>
      <c r="F16" s="2">
        <v>28348000000</v>
      </c>
      <c r="G16" s="4">
        <f t="shared" si="0"/>
        <v>119248000000</v>
      </c>
    </row>
    <row r="17" spans="1:7" x14ac:dyDescent="0.3">
      <c r="A17" s="1">
        <v>38718</v>
      </c>
      <c r="B17" s="2">
        <v>1056690000000</v>
      </c>
      <c r="C17" s="2">
        <v>276839000000</v>
      </c>
      <c r="D17" s="2">
        <v>252846000000</v>
      </c>
      <c r="E17" s="2">
        <v>376507000000</v>
      </c>
      <c r="F17" s="2">
        <v>28825000000</v>
      </c>
      <c r="G17" s="4">
        <f t="shared" si="0"/>
        <v>121673000000</v>
      </c>
    </row>
    <row r="18" spans="1:7" x14ac:dyDescent="0.3">
      <c r="A18" s="1">
        <v>39083</v>
      </c>
      <c r="B18" s="2">
        <v>1110816000000</v>
      </c>
      <c r="C18" s="2">
        <v>300062000000</v>
      </c>
      <c r="D18" s="2">
        <v>278208000000</v>
      </c>
      <c r="E18" s="2">
        <v>375124000000</v>
      </c>
      <c r="F18" s="2">
        <v>29511000000</v>
      </c>
      <c r="G18" s="4">
        <f t="shared" si="0"/>
        <v>127911000000</v>
      </c>
    </row>
    <row r="19" spans="1:7" x14ac:dyDescent="0.3">
      <c r="A19" s="1">
        <v>39448</v>
      </c>
      <c r="B19" s="2">
        <v>1143471000000</v>
      </c>
      <c r="C19" s="2">
        <v>314031000000</v>
      </c>
      <c r="D19" s="2">
        <v>283315000000</v>
      </c>
      <c r="E19" s="2">
        <v>382274000000</v>
      </c>
      <c r="F19" s="2">
        <v>30277000000</v>
      </c>
      <c r="G19" s="4">
        <f t="shared" si="0"/>
        <v>133574000000</v>
      </c>
    </row>
    <row r="20" spans="1:7" x14ac:dyDescent="0.3">
      <c r="A20" s="1">
        <v>39814</v>
      </c>
      <c r="B20" s="2">
        <v>1125612000000</v>
      </c>
      <c r="C20" s="2">
        <v>281351000000</v>
      </c>
      <c r="D20" s="2">
        <v>286922000000</v>
      </c>
      <c r="E20" s="2">
        <v>384059000000</v>
      </c>
      <c r="F20" s="2">
        <v>31499000000</v>
      </c>
      <c r="G20" s="4">
        <f t="shared" si="0"/>
        <v>141781000000</v>
      </c>
    </row>
    <row r="21" spans="1:7" x14ac:dyDescent="0.3">
      <c r="A21" s="1">
        <v>40179</v>
      </c>
      <c r="B21" s="2">
        <v>1143087000000</v>
      </c>
      <c r="C21" s="2">
        <v>280778000000</v>
      </c>
      <c r="D21" s="2">
        <v>287084000000</v>
      </c>
      <c r="E21" s="2">
        <v>393785000000</v>
      </c>
      <c r="F21" s="2">
        <v>32705000000</v>
      </c>
      <c r="G21" s="4">
        <f t="shared" si="0"/>
        <v>148735000000</v>
      </c>
    </row>
    <row r="22" spans="1:7" x14ac:dyDescent="0.3">
      <c r="A22" s="1">
        <v>40544</v>
      </c>
      <c r="B22" s="2">
        <v>1220989000000</v>
      </c>
      <c r="C22" s="2">
        <v>306013000000</v>
      </c>
      <c r="D22" s="2">
        <v>309270000000</v>
      </c>
      <c r="E22" s="2">
        <v>409646000000</v>
      </c>
      <c r="F22" s="2">
        <v>32976000000</v>
      </c>
      <c r="G22" s="4">
        <f t="shared" si="0"/>
        <v>163084000000</v>
      </c>
    </row>
    <row r="23" spans="1:7" x14ac:dyDescent="0.3">
      <c r="A23" s="1">
        <v>40909</v>
      </c>
      <c r="B23" s="2">
        <v>1260986000000</v>
      </c>
      <c r="C23" s="2">
        <v>326393000000</v>
      </c>
      <c r="D23" s="2">
        <v>315623000000</v>
      </c>
      <c r="E23" s="2">
        <v>421653000000</v>
      </c>
      <c r="F23" s="2">
        <v>32930999999.999996</v>
      </c>
      <c r="G23" s="4">
        <f t="shared" si="0"/>
        <v>164386000000</v>
      </c>
    </row>
    <row r="24" spans="1:7" x14ac:dyDescent="0.3">
      <c r="A24" s="1">
        <v>41275</v>
      </c>
      <c r="B24" s="2">
        <v>1298112000000</v>
      </c>
      <c r="C24" s="2">
        <v>340391000000</v>
      </c>
      <c r="D24" s="2">
        <v>325968000000</v>
      </c>
      <c r="E24" s="2">
        <v>431860000000</v>
      </c>
      <c r="F24" s="2">
        <v>33503000000</v>
      </c>
      <c r="G24" s="4">
        <f t="shared" si="0"/>
        <v>166390000000</v>
      </c>
    </row>
    <row r="25" spans="1:7" x14ac:dyDescent="0.3">
      <c r="A25" s="1">
        <v>41640</v>
      </c>
      <c r="B25" s="2">
        <v>1350164000000</v>
      </c>
      <c r="C25" s="2">
        <v>353543000000</v>
      </c>
      <c r="D25" s="2">
        <v>337783000000</v>
      </c>
      <c r="E25" s="2">
        <v>448236000000</v>
      </c>
      <c r="F25" s="2">
        <v>34100000000</v>
      </c>
      <c r="G25" s="4">
        <f t="shared" si="0"/>
        <v>176502000000</v>
      </c>
    </row>
    <row r="26" spans="1:7" x14ac:dyDescent="0.3">
      <c r="A26" s="1">
        <v>42005</v>
      </c>
      <c r="B26" s="2">
        <v>1401532000000</v>
      </c>
      <c r="C26" s="2">
        <v>371654000000</v>
      </c>
      <c r="D26" s="2">
        <v>349818000000</v>
      </c>
      <c r="E26" s="2">
        <v>466624000000</v>
      </c>
      <c r="F26" s="2">
        <v>34533000000</v>
      </c>
      <c r="G26" s="4">
        <f t="shared" si="0"/>
        <v>178903000000</v>
      </c>
    </row>
    <row r="27" spans="1:7" x14ac:dyDescent="0.3">
      <c r="A27" s="1">
        <v>42370</v>
      </c>
      <c r="B27" s="2">
        <v>1465493000000</v>
      </c>
      <c r="C27" s="2">
        <v>397057000000</v>
      </c>
      <c r="D27" s="2">
        <v>359160000000</v>
      </c>
      <c r="E27" s="2">
        <v>488211000000</v>
      </c>
      <c r="F27" s="2">
        <v>36047000000</v>
      </c>
      <c r="G27" s="4">
        <f t="shared" si="0"/>
        <v>185018000000</v>
      </c>
    </row>
    <row r="28" spans="1:7" x14ac:dyDescent="0.3">
      <c r="A28" s="1">
        <v>42736</v>
      </c>
      <c r="B28" s="2">
        <v>1529123000000</v>
      </c>
      <c r="C28" s="2">
        <v>421401000000</v>
      </c>
      <c r="D28" s="2">
        <v>371778000000</v>
      </c>
      <c r="E28" s="2">
        <v>512427000000</v>
      </c>
      <c r="F28" s="2">
        <v>37054000000</v>
      </c>
      <c r="G28" s="4">
        <f t="shared" si="0"/>
        <v>186463000000</v>
      </c>
    </row>
    <row r="29" spans="1:7" x14ac:dyDescent="0.3">
      <c r="A29" s="1">
        <v>43101</v>
      </c>
      <c r="B29" s="2">
        <v>1597996000000</v>
      </c>
      <c r="C29" s="2">
        <v>444667000000</v>
      </c>
      <c r="D29" s="2">
        <v>381400000000</v>
      </c>
      <c r="E29" s="2">
        <v>534405999999.99994</v>
      </c>
      <c r="F29" s="2">
        <v>38177000000</v>
      </c>
      <c r="G29" s="4">
        <f t="shared" si="0"/>
        <v>199346000000</v>
      </c>
    </row>
    <row r="30" spans="1:7" x14ac:dyDescent="0.3">
      <c r="A30" s="1">
        <v>43466</v>
      </c>
      <c r="B30" s="2">
        <v>1657565000000</v>
      </c>
      <c r="C30" s="2">
        <v>457903000000</v>
      </c>
      <c r="D30" s="2">
        <v>394384000000</v>
      </c>
      <c r="E30" s="2">
        <v>558166000000</v>
      </c>
      <c r="F30" s="2">
        <v>40061000000</v>
      </c>
      <c r="G30" s="4">
        <f t="shared" si="0"/>
        <v>207051000000</v>
      </c>
    </row>
    <row r="31" spans="1:7" x14ac:dyDescent="0.3">
      <c r="A31" s="1">
        <v>43831</v>
      </c>
      <c r="B31" s="2">
        <v>1612652000000</v>
      </c>
      <c r="C31" s="2">
        <v>428972000000</v>
      </c>
      <c r="D31" s="2">
        <v>371274000000</v>
      </c>
      <c r="E31" s="2">
        <v>566713000000</v>
      </c>
      <c r="F31" s="2">
        <v>41380000000</v>
      </c>
      <c r="G31" s="4">
        <f t="shared" si="0"/>
        <v>204313000000</v>
      </c>
    </row>
    <row r="32" spans="1:7" x14ac:dyDescent="0.3">
      <c r="A32" s="1">
        <v>44197</v>
      </c>
      <c r="B32" s="2">
        <v>1747866000000</v>
      </c>
      <c r="C32" s="2">
        <v>486556000000</v>
      </c>
      <c r="D32" s="2">
        <v>411025000000</v>
      </c>
      <c r="E32" s="2">
        <v>589820000000</v>
      </c>
      <c r="F32" s="2">
        <v>42401000000</v>
      </c>
      <c r="G32" s="4">
        <f t="shared" si="0"/>
        <v>218064000000</v>
      </c>
    </row>
    <row r="33" spans="1:7" x14ac:dyDescent="0.3">
      <c r="A33" s="1">
        <v>44562</v>
      </c>
      <c r="B33" s="2">
        <v>1852590000000</v>
      </c>
      <c r="C33" s="2">
        <v>529014000000</v>
      </c>
      <c r="D33" s="2">
        <v>431742000000</v>
      </c>
      <c r="E33" s="2">
        <v>623169000000</v>
      </c>
      <c r="F33" s="2">
        <v>43969000000</v>
      </c>
      <c r="G33" s="4">
        <f t="shared" si="0"/>
        <v>224696000000</v>
      </c>
    </row>
    <row r="34" spans="1:7" x14ac:dyDescent="0.3">
      <c r="A34" s="1">
        <v>44927</v>
      </c>
      <c r="B34" s="2">
        <v>1921171000000</v>
      </c>
      <c r="C34" s="2">
        <v>533287000000.00006</v>
      </c>
      <c r="D34" s="2">
        <v>428033000000</v>
      </c>
      <c r="E34" s="2">
        <v>664255000000</v>
      </c>
      <c r="F34" s="2">
        <v>45617000000</v>
      </c>
      <c r="G34" s="4">
        <f t="shared" si="0"/>
        <v>249979000000</v>
      </c>
    </row>
    <row r="35" spans="1:7" x14ac:dyDescent="0.3">
      <c r="A35" s="1">
        <v>45292</v>
      </c>
      <c r="B35" s="2">
        <v>2012850000000</v>
      </c>
      <c r="C35" s="2">
        <v>552715000000</v>
      </c>
      <c r="D35" s="2">
        <v>442084000000</v>
      </c>
      <c r="E35" s="2">
        <v>707387000000</v>
      </c>
      <c r="F35" s="2">
        <v>47799000000</v>
      </c>
      <c r="G35" s="4">
        <f t="shared" si="0"/>
        <v>262865000000</v>
      </c>
    </row>
    <row r="36" spans="1:7" x14ac:dyDescent="0.3">
      <c r="A36" s="1">
        <v>45658</v>
      </c>
      <c r="B36" s="2">
        <v>2096246000000</v>
      </c>
      <c r="C36" s="2">
        <v>566104000000</v>
      </c>
      <c r="D36" s="2">
        <v>456393800000</v>
      </c>
      <c r="E36" s="2">
        <v>752699000000</v>
      </c>
      <c r="F36" s="2">
        <v>49518740000</v>
      </c>
      <c r="G36" s="4">
        <f t="shared" si="0"/>
        <v>271530460000</v>
      </c>
    </row>
    <row r="37" spans="1:7" x14ac:dyDescent="0.3">
      <c r="A37" s="1">
        <v>46023</v>
      </c>
      <c r="B37" s="2">
        <v>2167195000000.0002</v>
      </c>
      <c r="C37" s="2">
        <v>580914000000</v>
      </c>
      <c r="D37" s="2">
        <v>472750400000</v>
      </c>
      <c r="E37" s="2">
        <v>780963700000</v>
      </c>
      <c r="F37" s="2">
        <v>51330600000</v>
      </c>
      <c r="G37" s="4">
        <f t="shared" si="0"/>
        <v>281236300000.00024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906C-2BED-4461-8B4B-6C660241DAC8}">
  <dimension ref="A1:AB43"/>
  <sheetViews>
    <sheetView zoomScale="80" workbookViewId="0">
      <selection activeCell="P1" sqref="P1:R1"/>
    </sheetView>
  </sheetViews>
  <sheetFormatPr defaultRowHeight="14.4" x14ac:dyDescent="0.3"/>
  <cols>
    <col min="1" max="1" width="10.88671875" bestFit="1" customWidth="1"/>
    <col min="2" max="2" width="22.109375" bestFit="1" customWidth="1"/>
    <col min="3" max="3" width="22.6640625" bestFit="1" customWidth="1"/>
    <col min="4" max="4" width="23.109375" bestFit="1" customWidth="1"/>
    <col min="5" max="5" width="17.88671875" style="3" bestFit="1" customWidth="1"/>
    <col min="6" max="6" width="10.21875" customWidth="1"/>
    <col min="7" max="7" width="7.5546875" bestFit="1" customWidth="1"/>
    <col min="8" max="8" width="8.109375" bestFit="1" customWidth="1"/>
    <col min="9" max="9" width="6.33203125" customWidth="1"/>
    <col min="10" max="10" width="19.88671875" bestFit="1" customWidth="1"/>
    <col min="11" max="11" width="8" style="10" customWidth="1"/>
    <col min="12" max="14" width="15.88671875" bestFit="1" customWidth="1"/>
    <col min="15" max="15" width="7" customWidth="1"/>
    <col min="16" max="18" width="15.88671875" bestFit="1" customWidth="1"/>
    <col min="19" max="19" width="8" style="10" customWidth="1"/>
    <col min="20" max="20" width="15.88671875" bestFit="1" customWidth="1"/>
    <col min="21" max="21" width="14.77734375" bestFit="1" customWidth="1"/>
    <col min="22" max="22" width="15.88671875" bestFit="1" customWidth="1"/>
    <col min="23" max="23" width="7" customWidth="1"/>
    <col min="24" max="24" width="15.88671875" bestFit="1" customWidth="1"/>
    <col min="25" max="25" width="15.44140625" bestFit="1" customWidth="1"/>
    <col min="26" max="26" width="15.88671875" bestFit="1" customWidth="1"/>
    <col min="28" max="28" width="12.109375" bestFit="1" customWidth="1"/>
  </cols>
  <sheetData>
    <row r="1" spans="1:28" x14ac:dyDescent="0.3">
      <c r="B1" s="17" t="s">
        <v>14</v>
      </c>
      <c r="C1" s="17"/>
      <c r="D1" s="17"/>
      <c r="J1" t="s">
        <v>21</v>
      </c>
      <c r="L1" s="17" t="s">
        <v>23</v>
      </c>
      <c r="M1" s="17"/>
      <c r="N1" s="17"/>
      <c r="P1" s="17" t="s">
        <v>24</v>
      </c>
      <c r="Q1" s="17"/>
      <c r="R1" s="17"/>
      <c r="T1" s="17" t="s">
        <v>18</v>
      </c>
      <c r="U1" s="17"/>
      <c r="V1" s="17"/>
      <c r="X1" s="17" t="s">
        <v>19</v>
      </c>
      <c r="Y1" s="17"/>
      <c r="Z1" s="17"/>
      <c r="AB1" t="s">
        <v>20</v>
      </c>
    </row>
    <row r="2" spans="1:28" x14ac:dyDescent="0.3">
      <c r="B2" t="s">
        <v>15</v>
      </c>
      <c r="C2" t="s">
        <v>16</v>
      </c>
      <c r="D2" t="s">
        <v>17</v>
      </c>
      <c r="L2" t="s">
        <v>15</v>
      </c>
      <c r="M2" t="s">
        <v>16</v>
      </c>
      <c r="N2" t="s">
        <v>17</v>
      </c>
      <c r="P2" t="s">
        <v>15</v>
      </c>
      <c r="Q2" t="s">
        <v>16</v>
      </c>
      <c r="R2" t="s">
        <v>17</v>
      </c>
      <c r="T2" t="s">
        <v>15</v>
      </c>
      <c r="U2" t="s">
        <v>16</v>
      </c>
      <c r="V2" t="s">
        <v>17</v>
      </c>
      <c r="X2" t="s">
        <v>15</v>
      </c>
      <c r="Y2" t="s">
        <v>16</v>
      </c>
      <c r="Z2" t="s">
        <v>17</v>
      </c>
    </row>
    <row r="3" spans="1:28" x14ac:dyDescent="0.3">
      <c r="A3" s="1">
        <v>33239</v>
      </c>
      <c r="B3" s="2">
        <v>7002530000000</v>
      </c>
      <c r="C3" s="7"/>
      <c r="D3" s="7"/>
      <c r="E3" s="4"/>
      <c r="F3" s="2"/>
      <c r="G3" s="2"/>
      <c r="H3" s="2"/>
      <c r="I3" s="2"/>
      <c r="J3" s="2"/>
      <c r="K3" s="10">
        <v>0.05</v>
      </c>
      <c r="L3" s="2">
        <f>T3/$AB3</f>
        <v>633413035561.27051</v>
      </c>
      <c r="M3" s="2">
        <f t="shared" ref="M3:N3" si="0">U3/$AB3</f>
        <v>79747801544.619522</v>
      </c>
      <c r="N3" s="2">
        <f t="shared" si="0"/>
        <v>553665234016.651</v>
      </c>
      <c r="O3" s="2"/>
      <c r="P3" s="2">
        <f>X3/$AB3</f>
        <v>393966155873.74713</v>
      </c>
      <c r="Q3" s="2">
        <f t="shared" ref="Q3" si="1">Y3/$AB3</f>
        <v>60555457703.273521</v>
      </c>
      <c r="R3" s="13">
        <f t="shared" ref="R3" si="2">Z3/$AB3</f>
        <v>333410698170.47357</v>
      </c>
      <c r="T3" s="2">
        <v>395348000000</v>
      </c>
      <c r="U3" s="2">
        <v>49775000000</v>
      </c>
      <c r="V3" s="2">
        <v>345573000000</v>
      </c>
      <c r="W3" s="2"/>
      <c r="X3" s="2">
        <v>245896000000</v>
      </c>
      <c r="Y3" s="2">
        <v>37796000000</v>
      </c>
      <c r="Z3" s="8">
        <f>X3-Y3</f>
        <v>208100000000</v>
      </c>
      <c r="AB3" s="5">
        <v>0.62415513701842296</v>
      </c>
    </row>
    <row r="4" spans="1:28" x14ac:dyDescent="0.3">
      <c r="A4" s="1">
        <v>33604</v>
      </c>
      <c r="B4" s="2">
        <v>7213250000000</v>
      </c>
      <c r="C4" s="7"/>
      <c r="D4" s="7"/>
      <c r="E4" s="4"/>
      <c r="F4" s="2"/>
      <c r="G4" s="2"/>
      <c r="H4" s="2"/>
      <c r="I4" s="2"/>
      <c r="J4" s="2"/>
      <c r="K4" s="10">
        <v>0.05</v>
      </c>
      <c r="L4" s="2">
        <f t="shared" ref="L4:L38" si="3">T4/$AB4</f>
        <v>640907940161.01965</v>
      </c>
      <c r="M4" s="2">
        <f t="shared" ref="M4:M38" si="4">U4/$AB4</f>
        <v>82909852798.121887</v>
      </c>
      <c r="N4" s="2">
        <f t="shared" ref="N4:N38" si="5">V4/$AB4</f>
        <v>557998087362.89771</v>
      </c>
      <c r="O4" s="2"/>
      <c r="P4" s="2">
        <f t="shared" ref="P4:P38" si="6">X4/$AB4</f>
        <v>401006232248.97321</v>
      </c>
      <c r="Q4" s="2">
        <f t="shared" ref="Q4:Q38" si="7">Y4/$AB4</f>
        <v>60675360114.725189</v>
      </c>
      <c r="R4" s="13">
        <f t="shared" ref="R4:R38" si="8">Z4/$AB4</f>
        <v>340330872134.24799</v>
      </c>
      <c r="T4" s="2">
        <v>427618000000</v>
      </c>
      <c r="U4" s="2">
        <v>55318000000</v>
      </c>
      <c r="V4" s="2">
        <v>372300000000</v>
      </c>
      <c r="W4" s="2"/>
      <c r="X4" s="2">
        <v>267553999999.99997</v>
      </c>
      <c r="Y4" s="2">
        <v>40483000000</v>
      </c>
      <c r="Z4" s="8">
        <f t="shared" ref="Z4:Z38" si="9">X4-Y4</f>
        <v>227070999999.99997</v>
      </c>
      <c r="AB4" s="5">
        <v>0.66720658803597699</v>
      </c>
    </row>
    <row r="5" spans="1:28" x14ac:dyDescent="0.3">
      <c r="A5" s="1">
        <v>33970</v>
      </c>
      <c r="B5" s="2">
        <v>7386620000000</v>
      </c>
      <c r="C5" s="7"/>
      <c r="D5" s="7"/>
      <c r="E5" s="4"/>
      <c r="F5" s="2"/>
      <c r="G5" s="2"/>
      <c r="H5" s="2"/>
      <c r="I5" s="2"/>
      <c r="J5" s="2"/>
      <c r="K5" s="10">
        <v>0.05</v>
      </c>
      <c r="L5" s="2">
        <f t="shared" si="3"/>
        <v>582844973694.83679</v>
      </c>
      <c r="M5" s="2">
        <f t="shared" si="4"/>
        <v>75227859954.343094</v>
      </c>
      <c r="N5" s="2">
        <f t="shared" si="5"/>
        <v>507617113740.49371</v>
      </c>
      <c r="O5" s="2"/>
      <c r="P5" s="2">
        <f t="shared" si="6"/>
        <v>395353893182.685</v>
      </c>
      <c r="Q5" s="2">
        <f t="shared" si="7"/>
        <v>58986393372.847939</v>
      </c>
      <c r="R5" s="13">
        <f t="shared" si="8"/>
        <v>336367499809.83704</v>
      </c>
      <c r="T5" s="2">
        <v>421089000000</v>
      </c>
      <c r="U5" s="2">
        <v>54350000000</v>
      </c>
      <c r="V5" s="2">
        <v>366739000000</v>
      </c>
      <c r="W5" s="2"/>
      <c r="X5" s="2">
        <v>285632000000</v>
      </c>
      <c r="Y5" s="2">
        <v>42616000000</v>
      </c>
      <c r="Z5" s="8">
        <f t="shared" si="9"/>
        <v>243016000000</v>
      </c>
      <c r="AB5" s="5">
        <v>0.72247170174700992</v>
      </c>
    </row>
    <row r="6" spans="1:28" x14ac:dyDescent="0.3">
      <c r="A6" s="1">
        <v>34335</v>
      </c>
      <c r="B6" s="2">
        <v>7568440000000</v>
      </c>
      <c r="C6" s="7"/>
      <c r="D6" s="7"/>
      <c r="E6" s="4"/>
      <c r="F6" s="2"/>
      <c r="G6" s="2"/>
      <c r="H6" s="2"/>
      <c r="I6" s="2"/>
      <c r="J6" s="2"/>
      <c r="K6" s="10">
        <v>0.05</v>
      </c>
      <c r="L6" s="2">
        <f t="shared" si="3"/>
        <v>595884551102.37097</v>
      </c>
      <c r="M6" s="2">
        <f t="shared" si="4"/>
        <v>72307066010.200531</v>
      </c>
      <c r="N6" s="2">
        <f t="shared" si="5"/>
        <v>523577485092.17041</v>
      </c>
      <c r="O6" s="2"/>
      <c r="P6" s="2">
        <f t="shared" si="6"/>
        <v>401813427698.99677</v>
      </c>
      <c r="Q6" s="2">
        <f t="shared" si="7"/>
        <v>59096044301.078926</v>
      </c>
      <c r="R6" s="13">
        <f t="shared" si="8"/>
        <v>342717383397.91785</v>
      </c>
      <c r="T6" s="2">
        <v>441579000000</v>
      </c>
      <c r="U6" s="2">
        <v>53583000000</v>
      </c>
      <c r="V6" s="2">
        <v>387996000000</v>
      </c>
      <c r="W6" s="2"/>
      <c r="X6" s="2">
        <v>297763000000</v>
      </c>
      <c r="Y6" s="2">
        <v>43793000000</v>
      </c>
      <c r="Z6" s="8">
        <f t="shared" si="9"/>
        <v>253970000000</v>
      </c>
      <c r="AB6" s="5">
        <v>0.74104790799340292</v>
      </c>
    </row>
    <row r="7" spans="1:28" x14ac:dyDescent="0.3">
      <c r="A7" s="1">
        <v>34700</v>
      </c>
      <c r="B7" s="2">
        <v>7737060000000</v>
      </c>
      <c r="C7" s="9"/>
      <c r="D7" s="9"/>
      <c r="E7" s="4"/>
      <c r="F7" s="4"/>
      <c r="G7" s="4"/>
      <c r="H7" s="4"/>
      <c r="I7" s="4"/>
      <c r="J7" s="4"/>
      <c r="K7" s="11">
        <v>7.4999999999999997E-2</v>
      </c>
      <c r="L7" s="2">
        <f t="shared" si="3"/>
        <v>575167360145.92078</v>
      </c>
      <c r="M7" s="2">
        <f t="shared" si="4"/>
        <v>65964424369.242607</v>
      </c>
      <c r="N7" s="2">
        <f t="shared" si="5"/>
        <v>509202935776.67822</v>
      </c>
      <c r="O7" s="2"/>
      <c r="P7" s="2">
        <f t="shared" si="6"/>
        <v>401086510136.29993</v>
      </c>
      <c r="Q7" s="2">
        <f t="shared" si="7"/>
        <v>59788444016.49633</v>
      </c>
      <c r="R7" s="13">
        <f t="shared" si="8"/>
        <v>341298066119.80359</v>
      </c>
      <c r="S7" s="11"/>
      <c r="T7" s="2">
        <v>445812000000</v>
      </c>
      <c r="U7" s="2">
        <v>51129000000</v>
      </c>
      <c r="V7" s="2">
        <v>394683000000</v>
      </c>
      <c r="W7" s="2"/>
      <c r="X7" s="2">
        <v>310882000000</v>
      </c>
      <c r="Y7" s="2">
        <v>46342000000</v>
      </c>
      <c r="Z7" s="8">
        <f t="shared" si="9"/>
        <v>264540000000</v>
      </c>
      <c r="AB7" s="5">
        <v>0.7750996160263629</v>
      </c>
    </row>
    <row r="8" spans="1:28" x14ac:dyDescent="0.3">
      <c r="A8" s="1">
        <v>35065</v>
      </c>
      <c r="B8" s="2">
        <v>7892150000000</v>
      </c>
      <c r="C8" s="9"/>
      <c r="D8" s="9"/>
      <c r="E8" s="4"/>
      <c r="F8" s="2"/>
      <c r="G8" s="2"/>
      <c r="H8" s="2"/>
      <c r="I8" s="2"/>
      <c r="J8" s="2"/>
      <c r="K8" s="11">
        <v>7.4999999999999997E-2</v>
      </c>
      <c r="L8" s="2">
        <f t="shared" si="3"/>
        <v>578817748674.26636</v>
      </c>
      <c r="M8" s="2">
        <f t="shared" si="4"/>
        <v>65617012679.962395</v>
      </c>
      <c r="N8" s="2">
        <f t="shared" si="5"/>
        <v>513200735994.30396</v>
      </c>
      <c r="O8" s="2"/>
      <c r="P8" s="2">
        <f t="shared" si="6"/>
        <v>416971262833.32916</v>
      </c>
      <c r="Q8" s="2">
        <f t="shared" si="7"/>
        <v>60900356377.385818</v>
      </c>
      <c r="R8" s="13">
        <f t="shared" si="8"/>
        <v>356070906455.94336</v>
      </c>
      <c r="S8" s="11"/>
      <c r="T8" s="2">
        <v>442275000000</v>
      </c>
      <c r="U8" s="2">
        <v>50138000000</v>
      </c>
      <c r="V8" s="2">
        <v>392137000000</v>
      </c>
      <c r="W8" s="2"/>
      <c r="X8" s="2">
        <v>318608000000</v>
      </c>
      <c r="Y8" s="2">
        <v>46534000000</v>
      </c>
      <c r="Z8" s="8">
        <f t="shared" si="9"/>
        <v>272074000000</v>
      </c>
      <c r="AB8" s="5">
        <v>0.76410061891328296</v>
      </c>
    </row>
    <row r="9" spans="1:28" x14ac:dyDescent="0.3">
      <c r="A9" s="1">
        <v>35431</v>
      </c>
      <c r="B9" s="2">
        <v>8039440000000</v>
      </c>
      <c r="C9" s="9"/>
      <c r="D9" s="9"/>
      <c r="E9" s="4"/>
      <c r="F9" s="2"/>
      <c r="G9" s="2"/>
      <c r="H9" s="2"/>
      <c r="I9" s="2"/>
      <c r="J9" s="2"/>
      <c r="K9" s="10">
        <v>0.1</v>
      </c>
      <c r="L9" s="2">
        <f t="shared" si="3"/>
        <v>596956694886.32007</v>
      </c>
      <c r="M9" s="2">
        <f t="shared" si="4"/>
        <v>63662349421.097206</v>
      </c>
      <c r="N9" s="2">
        <f t="shared" si="5"/>
        <v>533294345465.2229</v>
      </c>
      <c r="O9" s="2"/>
      <c r="P9" s="2">
        <f t="shared" si="6"/>
        <v>439243995910.78223</v>
      </c>
      <c r="Q9" s="2">
        <f t="shared" si="7"/>
        <v>62784479836.639885</v>
      </c>
      <c r="R9" s="13">
        <f t="shared" si="8"/>
        <v>376459516074.14233</v>
      </c>
      <c r="T9" s="2">
        <v>444044000000</v>
      </c>
      <c r="U9" s="2">
        <v>47355000000</v>
      </c>
      <c r="V9" s="2">
        <v>396689000000</v>
      </c>
      <c r="W9" s="2"/>
      <c r="X9" s="2">
        <v>326730000000</v>
      </c>
      <c r="Y9" s="2">
        <v>46702000000</v>
      </c>
      <c r="Z9" s="8">
        <f t="shared" si="9"/>
        <v>280028000000</v>
      </c>
      <c r="AB9" s="5">
        <v>0.74384625183667696</v>
      </c>
    </row>
    <row r="10" spans="1:28" x14ac:dyDescent="0.3">
      <c r="A10" s="1">
        <v>35796</v>
      </c>
      <c r="B10" s="2">
        <v>8196629999999.999</v>
      </c>
      <c r="C10" s="9"/>
      <c r="D10" s="9"/>
      <c r="E10" s="4"/>
      <c r="F10" s="2"/>
      <c r="G10" s="2"/>
      <c r="H10" s="2"/>
      <c r="I10" s="2"/>
      <c r="J10" s="2"/>
      <c r="K10" s="10">
        <v>0.15</v>
      </c>
      <c r="L10" s="2">
        <f t="shared" si="3"/>
        <v>614414922168.05896</v>
      </c>
      <c r="M10" s="2">
        <f t="shared" si="4"/>
        <v>64104552001.615585</v>
      </c>
      <c r="N10" s="2">
        <f t="shared" si="5"/>
        <v>550310370166.44336</v>
      </c>
      <c r="O10" s="2"/>
      <c r="P10" s="2">
        <f t="shared" si="6"/>
        <v>447887361687.34943</v>
      </c>
      <c r="Q10" s="2">
        <f t="shared" si="7"/>
        <v>62659128055.694153</v>
      </c>
      <c r="R10" s="13">
        <f t="shared" si="8"/>
        <v>385228233631.65527</v>
      </c>
      <c r="T10" s="2">
        <v>459082000000</v>
      </c>
      <c r="U10" s="2">
        <v>47898000000</v>
      </c>
      <c r="V10" s="2">
        <v>411184000000</v>
      </c>
      <c r="W10" s="2"/>
      <c r="X10" s="2">
        <v>334655000000</v>
      </c>
      <c r="Y10" s="2">
        <v>46818000000</v>
      </c>
      <c r="Z10" s="8">
        <f t="shared" si="9"/>
        <v>287837000000</v>
      </c>
      <c r="AB10" s="5">
        <v>0.74718562885819495</v>
      </c>
    </row>
    <row r="11" spans="1:28" x14ac:dyDescent="0.3">
      <c r="A11" s="1">
        <v>36161</v>
      </c>
      <c r="B11" s="2">
        <v>8363459999999.999</v>
      </c>
      <c r="C11" s="16" t="s">
        <v>29</v>
      </c>
      <c r="D11" s="16"/>
      <c r="E11" s="4"/>
      <c r="F11" s="2"/>
      <c r="G11" s="2"/>
      <c r="H11" s="2"/>
      <c r="I11" s="2"/>
      <c r="J11" s="2"/>
      <c r="K11" s="10">
        <v>0.2</v>
      </c>
      <c r="L11" s="2">
        <f t="shared" si="3"/>
        <v>626904956986.49719</v>
      </c>
      <c r="M11" s="2">
        <f t="shared" si="4"/>
        <v>74319613975.774597</v>
      </c>
      <c r="N11" s="2">
        <f t="shared" si="5"/>
        <v>552585343010.72253</v>
      </c>
      <c r="O11" s="2"/>
      <c r="P11" s="2">
        <f t="shared" si="6"/>
        <v>453998747360.0965</v>
      </c>
      <c r="Q11" s="2">
        <f t="shared" si="7"/>
        <v>65686066900.604141</v>
      </c>
      <c r="R11" s="13">
        <f t="shared" si="8"/>
        <v>388312680459.49237</v>
      </c>
      <c r="T11" s="2">
        <v>474306000000</v>
      </c>
      <c r="U11" s="2">
        <v>56229000000</v>
      </c>
      <c r="V11" s="2">
        <v>418077000000</v>
      </c>
      <c r="W11" s="2"/>
      <c r="X11" s="2">
        <v>343488000000</v>
      </c>
      <c r="Y11" s="2">
        <v>49697000000</v>
      </c>
      <c r="Z11" s="8">
        <f t="shared" si="9"/>
        <v>293791000000</v>
      </c>
      <c r="AB11" s="5">
        <v>0.75658358530129799</v>
      </c>
    </row>
    <row r="12" spans="1:28" x14ac:dyDescent="0.3">
      <c r="A12" s="1">
        <v>36526</v>
      </c>
      <c r="B12" s="2">
        <v>8527059999999.999</v>
      </c>
      <c r="C12" s="9">
        <f>B12*[1]Dataset_backup!$BF$40</f>
        <v>1364831685596.9937</v>
      </c>
      <c r="D12" s="9">
        <f>B12-C12</f>
        <v>7162228314403.0059</v>
      </c>
      <c r="E12" s="4"/>
      <c r="F12" s="4" t="s">
        <v>28</v>
      </c>
      <c r="G12" s="4" t="s">
        <v>26</v>
      </c>
      <c r="H12" s="4" t="s">
        <v>27</v>
      </c>
      <c r="I12" s="4"/>
      <c r="J12" s="12" t="s">
        <v>22</v>
      </c>
      <c r="K12" s="10">
        <v>0.2</v>
      </c>
      <c r="L12" s="2">
        <f t="shared" si="3"/>
        <v>646340059519.73694</v>
      </c>
      <c r="M12" s="2">
        <f t="shared" si="4"/>
        <v>73471215415.366928</v>
      </c>
      <c r="N12" s="2">
        <f t="shared" si="5"/>
        <v>572868844104.37</v>
      </c>
      <c r="O12" s="2"/>
      <c r="P12" s="2">
        <f t="shared" si="6"/>
        <v>475090693803.49817</v>
      </c>
      <c r="Q12" s="2">
        <f t="shared" si="7"/>
        <v>67349056227.748077</v>
      </c>
      <c r="R12" s="13">
        <f t="shared" si="8"/>
        <v>407741637575.75012</v>
      </c>
      <c r="T12" s="2">
        <v>487329000000</v>
      </c>
      <c r="U12" s="2">
        <v>55396000000</v>
      </c>
      <c r="V12" s="2">
        <v>431933000000</v>
      </c>
      <c r="W12" s="2"/>
      <c r="X12" s="2">
        <v>358210000000</v>
      </c>
      <c r="Y12" s="2">
        <v>50780000000</v>
      </c>
      <c r="Z12" s="8">
        <f t="shared" si="9"/>
        <v>307430000000</v>
      </c>
      <c r="AB12" s="5">
        <v>0.75398235467891295</v>
      </c>
    </row>
    <row r="13" spans="1:28" x14ac:dyDescent="0.3">
      <c r="A13" s="1">
        <v>36892</v>
      </c>
      <c r="B13" s="2">
        <v>8658370000000.001</v>
      </c>
      <c r="C13" s="6">
        <f t="shared" ref="C13:C34" si="10">C12+J13-Q12</f>
        <v>1368400949783.8806</v>
      </c>
      <c r="D13" s="6">
        <f t="shared" ref="D13:D34" si="11">D12+N13-R12</f>
        <v>7300249205235.1738</v>
      </c>
      <c r="E13" s="4">
        <f t="shared" ref="E13:E33" si="12">SUM(C13:D13)</f>
        <v>8668650155019.0547</v>
      </c>
      <c r="F13" s="14">
        <f>P13/B13</f>
        <v>5.5831735270843119E-2</v>
      </c>
      <c r="G13" s="14">
        <f>Q13/C13</f>
        <v>4.9323718796851566E-2</v>
      </c>
      <c r="H13" s="14">
        <f>R13/D13</f>
        <v>5.6973013711677366E-2</v>
      </c>
      <c r="I13" s="2"/>
      <c r="J13" s="2">
        <f>$K$3*M3+$K$4*M4+$K$5*M5+$K$6*M6+$K$7*M7+$K$8*M8+$K$9*M9+$K$10*M10+$K$11*M11+$K$12*M12+$K$13*M13</f>
        <v>70918320414.634995</v>
      </c>
      <c r="K13" s="10">
        <v>0</v>
      </c>
      <c r="L13" s="2">
        <f t="shared" si="3"/>
        <v>618461216492.38525</v>
      </c>
      <c r="M13" s="2">
        <f t="shared" si="4"/>
        <v>72698688084.466995</v>
      </c>
      <c r="N13" s="2">
        <f t="shared" si="5"/>
        <v>545762528407.91833</v>
      </c>
      <c r="O13" s="2"/>
      <c r="P13" s="2">
        <f t="shared" si="6"/>
        <v>483411821717.01001</v>
      </c>
      <c r="Q13" s="2">
        <f t="shared" si="7"/>
        <v>67494623648.484726</v>
      </c>
      <c r="R13" s="13">
        <f t="shared" si="8"/>
        <v>415917198068.52533</v>
      </c>
      <c r="T13" s="2">
        <v>472991000000</v>
      </c>
      <c r="U13" s="2">
        <v>55599000000</v>
      </c>
      <c r="V13" s="2">
        <v>417392000000</v>
      </c>
      <c r="W13" s="2"/>
      <c r="X13" s="2">
        <v>369707000000</v>
      </c>
      <c r="Y13" s="2">
        <v>51619000000</v>
      </c>
      <c r="Z13" s="8">
        <f t="shared" si="9"/>
        <v>318088000000</v>
      </c>
      <c r="AB13" s="5">
        <v>0.76478684093172011</v>
      </c>
    </row>
    <row r="14" spans="1:28" x14ac:dyDescent="0.3">
      <c r="A14" s="1">
        <v>37257</v>
      </c>
      <c r="B14" s="2">
        <v>8741270000000</v>
      </c>
      <c r="C14" s="6">
        <f t="shared" si="10"/>
        <v>1372215116446.0654</v>
      </c>
      <c r="D14" s="6">
        <f t="shared" si="11"/>
        <v>7378876727151.793</v>
      </c>
      <c r="E14" s="4">
        <f t="shared" si="12"/>
        <v>8751091843597.8584</v>
      </c>
      <c r="F14" s="14">
        <f t="shared" ref="F14:F38" si="13">P14/B14</f>
        <v>5.5597129880385475E-2</v>
      </c>
      <c r="G14" s="14">
        <f t="shared" ref="G14:G38" si="14">Q14/C14</f>
        <v>4.9258036416616892E-2</v>
      </c>
      <c r="H14" s="14">
        <f t="shared" ref="H14:H38" si="15">R14/D14</f>
        <v>5.6701977388052077E-2</v>
      </c>
      <c r="I14" s="2"/>
      <c r="J14" s="2">
        <f t="shared" ref="J14:J37" si="16">$K$3*M4+$K$4*M5+$K$5*M6+$K$6*M7+$K$7*M8+$K$8*M9+$K$9*M10+$K$10*M11+$K$11*M12+$K$12*M13+$K$13*M14</f>
        <v>71308790310.669403</v>
      </c>
      <c r="L14" s="2">
        <f t="shared" si="3"/>
        <v>569598823563.89661</v>
      </c>
      <c r="M14" s="2">
        <f t="shared" si="4"/>
        <v>75054103578.752548</v>
      </c>
      <c r="N14" s="2">
        <f t="shared" si="5"/>
        <v>494544719985.14404</v>
      </c>
      <c r="O14" s="2"/>
      <c r="P14" s="2">
        <f t="shared" si="6"/>
        <v>485989523509.51715</v>
      </c>
      <c r="Q14" s="2">
        <f t="shared" si="7"/>
        <v>67592622177.332481</v>
      </c>
      <c r="R14" s="13">
        <f t="shared" si="8"/>
        <v>418396901332.18469</v>
      </c>
      <c r="T14" s="2">
        <v>442153000000</v>
      </c>
      <c r="U14" s="2">
        <v>58261000000</v>
      </c>
      <c r="V14" s="2">
        <v>383892000000</v>
      </c>
      <c r="W14" s="2"/>
      <c r="X14" s="2">
        <v>377251000000</v>
      </c>
      <c r="Y14" s="2">
        <v>52469000000</v>
      </c>
      <c r="Z14" s="8">
        <f t="shared" si="9"/>
        <v>324782000000</v>
      </c>
      <c r="AB14" s="5">
        <v>0.77625335887021907</v>
      </c>
    </row>
    <row r="15" spans="1:28" x14ac:dyDescent="0.3">
      <c r="A15" s="1">
        <v>37622</v>
      </c>
      <c r="B15" s="2">
        <v>8806710000000</v>
      </c>
      <c r="C15" s="6">
        <f t="shared" si="10"/>
        <v>1376164032068.6501</v>
      </c>
      <c r="D15" s="6">
        <f t="shared" si="11"/>
        <v>7437678104668.5264</v>
      </c>
      <c r="E15" s="4">
        <f t="shared" si="12"/>
        <v>8813842136737.1758</v>
      </c>
      <c r="F15" s="14">
        <f t="shared" si="13"/>
        <v>5.4981244763368971E-2</v>
      </c>
      <c r="G15" s="14">
        <f t="shared" si="14"/>
        <v>4.9100498136946072E-2</v>
      </c>
      <c r="H15" s="14">
        <f t="shared" si="15"/>
        <v>5.6016613345470694E-2</v>
      </c>
      <c r="I15" s="2"/>
      <c r="J15" s="2">
        <f t="shared" si="16"/>
        <v>71541537799.917297</v>
      </c>
      <c r="L15" s="2">
        <f t="shared" si="3"/>
        <v>548835934477.43927</v>
      </c>
      <c r="M15" s="2">
        <f t="shared" si="4"/>
        <v>71637655628.521149</v>
      </c>
      <c r="N15" s="2">
        <f t="shared" si="5"/>
        <v>477198278848.91815</v>
      </c>
      <c r="O15" s="2"/>
      <c r="P15" s="2">
        <f t="shared" si="6"/>
        <v>484203878070.00916</v>
      </c>
      <c r="Q15" s="2">
        <f t="shared" si="7"/>
        <v>67570339492.718948</v>
      </c>
      <c r="R15" s="13">
        <f t="shared" si="8"/>
        <v>416633538577.29016</v>
      </c>
      <c r="T15" s="2">
        <v>431667000000</v>
      </c>
      <c r="U15" s="2">
        <v>56344000000</v>
      </c>
      <c r="V15" s="2">
        <v>375323000000</v>
      </c>
      <c r="W15" s="2"/>
      <c r="X15" s="2">
        <v>380833000000</v>
      </c>
      <c r="Y15" s="2">
        <v>53145000000</v>
      </c>
      <c r="Z15" s="8">
        <f t="shared" si="9"/>
        <v>327688000000</v>
      </c>
      <c r="AB15" s="5">
        <v>0.78651373367343591</v>
      </c>
    </row>
    <row r="16" spans="1:28" x14ac:dyDescent="0.3">
      <c r="A16" s="1">
        <v>37987</v>
      </c>
      <c r="B16" s="2">
        <v>8862730000000</v>
      </c>
      <c r="C16" s="6">
        <f t="shared" si="10"/>
        <v>1379943324243.9221</v>
      </c>
      <c r="D16" s="6">
        <f t="shared" si="11"/>
        <v>7499226755240.1963</v>
      </c>
      <c r="E16" s="4">
        <f t="shared" si="12"/>
        <v>8879170079484.1191</v>
      </c>
      <c r="F16" s="14">
        <f t="shared" si="13"/>
        <v>5.5038351751568022E-2</v>
      </c>
      <c r="G16" s="14">
        <f t="shared" si="14"/>
        <v>4.9159255438594965E-2</v>
      </c>
      <c r="H16" s="14">
        <f t="shared" si="15"/>
        <v>5.5999515491171825E-2</v>
      </c>
      <c r="I16" s="2"/>
      <c r="J16" s="2">
        <f t="shared" si="16"/>
        <v>71349631667.990891</v>
      </c>
      <c r="L16" s="2">
        <f t="shared" si="3"/>
        <v>542752452135.75732</v>
      </c>
      <c r="M16" s="2">
        <f t="shared" si="4"/>
        <v>64570262986.797813</v>
      </c>
      <c r="N16" s="2">
        <f t="shared" si="5"/>
        <v>478182189148.95953</v>
      </c>
      <c r="O16" s="2"/>
      <c r="P16" s="2">
        <f t="shared" si="6"/>
        <v>487790051219.17444</v>
      </c>
      <c r="Q16" s="2">
        <f t="shared" si="7"/>
        <v>67836986367.29084</v>
      </c>
      <c r="R16" s="13">
        <f t="shared" si="8"/>
        <v>419953064851.88361</v>
      </c>
      <c r="T16" s="2">
        <v>431813000000</v>
      </c>
      <c r="U16" s="2">
        <v>51372000000</v>
      </c>
      <c r="V16" s="2">
        <v>380441000000</v>
      </c>
      <c r="W16" s="2"/>
      <c r="X16" s="2">
        <v>388085000000</v>
      </c>
      <c r="Y16" s="2">
        <v>53971000000</v>
      </c>
      <c r="Z16" s="8">
        <f t="shared" si="9"/>
        <v>334114000000</v>
      </c>
      <c r="AB16" s="5">
        <v>0.79559843221489801</v>
      </c>
    </row>
    <row r="17" spans="1:28" x14ac:dyDescent="0.3">
      <c r="A17" s="1">
        <v>38353</v>
      </c>
      <c r="B17" s="2">
        <v>8915560000000</v>
      </c>
      <c r="C17" s="6">
        <f t="shared" si="10"/>
        <v>1381927635072.8862</v>
      </c>
      <c r="D17" s="6">
        <f t="shared" si="11"/>
        <v>7560691789594.8291</v>
      </c>
      <c r="E17" s="4">
        <f t="shared" si="12"/>
        <v>8942619424667.7148</v>
      </c>
      <c r="F17" s="14">
        <f t="shared" si="13"/>
        <v>5.540459152912889E-2</v>
      </c>
      <c r="G17" s="14">
        <f t="shared" si="14"/>
        <v>4.9420353808720743E-2</v>
      </c>
      <c r="H17" s="14">
        <f t="shared" si="15"/>
        <v>5.6300087245442491E-2</v>
      </c>
      <c r="I17" s="2"/>
      <c r="J17" s="2">
        <f t="shared" si="16"/>
        <v>69821297196.254883</v>
      </c>
      <c r="L17" s="2">
        <f t="shared" si="3"/>
        <v>545610179665.4021</v>
      </c>
      <c r="M17" s="2">
        <f t="shared" si="4"/>
        <v>64192080458.885544</v>
      </c>
      <c r="N17" s="2">
        <f t="shared" si="5"/>
        <v>481418099206.51654</v>
      </c>
      <c r="O17" s="2"/>
      <c r="P17" s="2">
        <f t="shared" si="6"/>
        <v>493962960053.44037</v>
      </c>
      <c r="Q17" s="2">
        <f t="shared" si="7"/>
        <v>68295352663.350761</v>
      </c>
      <c r="R17" s="13">
        <f t="shared" si="8"/>
        <v>425667607390.0896</v>
      </c>
      <c r="T17" s="2">
        <v>436406000000</v>
      </c>
      <c r="U17" s="2">
        <v>51344000000</v>
      </c>
      <c r="V17" s="2">
        <v>385062000000</v>
      </c>
      <c r="W17" s="2"/>
      <c r="X17" s="2">
        <v>395096000000</v>
      </c>
      <c r="Y17" s="2">
        <v>54626000000</v>
      </c>
      <c r="Z17" s="8">
        <f t="shared" si="9"/>
        <v>340470000000</v>
      </c>
      <c r="AB17" s="5">
        <v>0.79984944611485798</v>
      </c>
    </row>
    <row r="18" spans="1:28" x14ac:dyDescent="0.3">
      <c r="A18" s="1">
        <v>38718</v>
      </c>
      <c r="B18" s="2">
        <v>9000220000000</v>
      </c>
      <c r="C18" s="6">
        <f t="shared" si="10"/>
        <v>1381983728967.2356</v>
      </c>
      <c r="D18" s="6">
        <f t="shared" si="11"/>
        <v>7652975601066.4023</v>
      </c>
      <c r="E18" s="4">
        <f t="shared" si="12"/>
        <v>9034959330033.6387</v>
      </c>
      <c r="F18" s="14">
        <f t="shared" si="13"/>
        <v>5.6089893145663414E-2</v>
      </c>
      <c r="G18" s="14">
        <f t="shared" si="14"/>
        <v>5.0288206980422044E-2</v>
      </c>
      <c r="H18" s="14">
        <f t="shared" si="15"/>
        <v>5.6882958599910188E-2</v>
      </c>
      <c r="I18" s="2"/>
      <c r="J18" s="2">
        <f t="shared" si="16"/>
        <v>68351446557.700134</v>
      </c>
      <c r="L18" s="2">
        <f t="shared" si="3"/>
        <v>587725219764.1272</v>
      </c>
      <c r="M18" s="2">
        <f t="shared" si="4"/>
        <v>69773800902.464554</v>
      </c>
      <c r="N18" s="2">
        <f t="shared" si="5"/>
        <v>517951418861.66266</v>
      </c>
      <c r="O18" s="2"/>
      <c r="P18" s="2">
        <f t="shared" si="6"/>
        <v>504821378087.46277</v>
      </c>
      <c r="Q18" s="2">
        <f t="shared" si="7"/>
        <v>69497483805.879822</v>
      </c>
      <c r="R18" s="13">
        <f t="shared" si="8"/>
        <v>435323894281.58295</v>
      </c>
      <c r="T18" s="2">
        <v>472193000000</v>
      </c>
      <c r="U18" s="2">
        <v>56058000000</v>
      </c>
      <c r="V18" s="2">
        <v>416135000000</v>
      </c>
      <c r="W18" s="2"/>
      <c r="X18" s="2">
        <v>405586000000</v>
      </c>
      <c r="Y18" s="2">
        <v>55836000000</v>
      </c>
      <c r="Z18" s="8">
        <f t="shared" si="9"/>
        <v>349750000000</v>
      </c>
      <c r="AB18" s="5">
        <v>0.80342477082999098</v>
      </c>
    </row>
    <row r="19" spans="1:28" x14ac:dyDescent="0.3">
      <c r="A19" s="1">
        <v>39083</v>
      </c>
      <c r="B19" s="2">
        <v>9093210000000</v>
      </c>
      <c r="C19" s="6">
        <f t="shared" si="10"/>
        <v>1380988072359.9316</v>
      </c>
      <c r="D19" s="6">
        <f t="shared" si="11"/>
        <v>7760794840920.2734</v>
      </c>
      <c r="E19" s="4">
        <f t="shared" si="12"/>
        <v>9141782913280.2051</v>
      </c>
      <c r="F19" s="14">
        <f t="shared" si="13"/>
        <v>5.7291950925742581E-2</v>
      </c>
      <c r="G19" s="14">
        <f t="shared" si="14"/>
        <v>5.155096929299248E-2</v>
      </c>
      <c r="H19" s="14">
        <f t="shared" si="15"/>
        <v>5.7954948762944179E-2</v>
      </c>
      <c r="I19" s="2"/>
      <c r="J19" s="2">
        <f t="shared" si="16"/>
        <v>68501827198.575989</v>
      </c>
      <c r="L19" s="2">
        <f t="shared" si="3"/>
        <v>612564678507.505</v>
      </c>
      <c r="M19" s="2">
        <f t="shared" si="4"/>
        <v>69421544372.05043</v>
      </c>
      <c r="N19" s="2">
        <f t="shared" si="5"/>
        <v>543143134135.45453</v>
      </c>
      <c r="O19" s="2"/>
      <c r="P19" s="2">
        <f t="shared" si="6"/>
        <v>520967741077.47168</v>
      </c>
      <c r="Q19" s="2">
        <f t="shared" si="7"/>
        <v>71191273712.215714</v>
      </c>
      <c r="R19" s="13">
        <f t="shared" si="8"/>
        <v>449776467365.25598</v>
      </c>
      <c r="T19" s="2">
        <v>501203000000</v>
      </c>
      <c r="U19" s="2">
        <v>56801000000</v>
      </c>
      <c r="V19" s="2">
        <v>444402000000</v>
      </c>
      <c r="W19" s="2"/>
      <c r="X19" s="2">
        <v>426258000000</v>
      </c>
      <c r="Y19" s="2">
        <v>58249000000</v>
      </c>
      <c r="Z19" s="8">
        <f t="shared" si="9"/>
        <v>368009000000</v>
      </c>
      <c r="AB19" s="5">
        <v>0.81820421187386405</v>
      </c>
    </row>
    <row r="20" spans="1:28" x14ac:dyDescent="0.3">
      <c r="A20" s="1">
        <v>39448</v>
      </c>
      <c r="B20" s="2">
        <v>9182250000000</v>
      </c>
      <c r="C20" s="6">
        <f t="shared" si="10"/>
        <v>1378953291484.5381</v>
      </c>
      <c r="D20" s="6">
        <f t="shared" si="11"/>
        <v>7862516372258.3652</v>
      </c>
      <c r="E20" s="4">
        <f t="shared" si="12"/>
        <v>9241469663742.9023</v>
      </c>
      <c r="F20" s="14">
        <f t="shared" si="13"/>
        <v>5.8547897651826046E-2</v>
      </c>
      <c r="G20" s="14">
        <f t="shared" si="14"/>
        <v>5.2908815216633286E-2</v>
      </c>
      <c r="H20" s="14">
        <f t="shared" si="15"/>
        <v>5.9095921244930377E-2</v>
      </c>
      <c r="I20" s="2"/>
      <c r="J20" s="2">
        <f t="shared" si="16"/>
        <v>69156492836.822342</v>
      </c>
      <c r="L20" s="2">
        <f t="shared" si="3"/>
        <v>625816414457.83679</v>
      </c>
      <c r="M20" s="2">
        <f t="shared" si="4"/>
        <v>74318415754.489471</v>
      </c>
      <c r="N20" s="2">
        <f t="shared" si="5"/>
        <v>551497998703.34729</v>
      </c>
      <c r="O20" s="2"/>
      <c r="P20" s="2">
        <f t="shared" si="6"/>
        <v>537601433213.47974</v>
      </c>
      <c r="Q20" s="2">
        <f t="shared" si="7"/>
        <v>72958784891.523682</v>
      </c>
      <c r="R20" s="13">
        <f t="shared" si="8"/>
        <v>464642648321.95605</v>
      </c>
      <c r="T20" s="2">
        <v>516899000000</v>
      </c>
      <c r="U20" s="2">
        <v>61384000000</v>
      </c>
      <c r="V20" s="2">
        <v>455515000000</v>
      </c>
      <c r="W20" s="2"/>
      <c r="X20" s="2">
        <v>444037000000</v>
      </c>
      <c r="Y20" s="2">
        <v>60261000000</v>
      </c>
      <c r="Z20" s="8">
        <f t="shared" si="9"/>
        <v>383776000000</v>
      </c>
      <c r="AB20" s="5">
        <v>0.82595947958284999</v>
      </c>
    </row>
    <row r="21" spans="1:28" x14ac:dyDescent="0.3">
      <c r="A21" s="1">
        <v>39814</v>
      </c>
      <c r="B21" s="2">
        <v>9200510000000</v>
      </c>
      <c r="C21" s="6">
        <f t="shared" si="10"/>
        <v>1376620551748.4475</v>
      </c>
      <c r="D21" s="6">
        <f t="shared" si="11"/>
        <v>7877581993319.8535</v>
      </c>
      <c r="E21" s="4">
        <f t="shared" si="12"/>
        <v>9254202545068.3008</v>
      </c>
      <c r="F21" s="14">
        <f t="shared" si="13"/>
        <v>5.8675128223005066E-2</v>
      </c>
      <c r="G21" s="14">
        <f t="shared" si="14"/>
        <v>5.3299383265078243E-2</v>
      </c>
      <c r="H21" s="14">
        <f t="shared" si="15"/>
        <v>5.9214626768008101E-2</v>
      </c>
      <c r="I21" s="2"/>
      <c r="J21" s="2">
        <f t="shared" si="16"/>
        <v>70626045155.433197</v>
      </c>
      <c r="L21" s="2">
        <f t="shared" si="3"/>
        <v>557691740914.17834</v>
      </c>
      <c r="M21" s="2">
        <f t="shared" si="4"/>
        <v>77983471530.733871</v>
      </c>
      <c r="N21" s="2">
        <f t="shared" si="5"/>
        <v>479708269383.44446</v>
      </c>
      <c r="O21" s="2"/>
      <c r="P21" s="2">
        <f t="shared" si="6"/>
        <v>539841103967.04034</v>
      </c>
      <c r="Q21" s="2">
        <f t="shared" si="7"/>
        <v>73373026398.223984</v>
      </c>
      <c r="R21" s="13">
        <f t="shared" si="8"/>
        <v>466468077568.81641</v>
      </c>
      <c r="T21" s="2">
        <v>469819000000</v>
      </c>
      <c r="U21" s="2">
        <v>65696000000</v>
      </c>
      <c r="V21" s="2">
        <v>404123000000</v>
      </c>
      <c r="W21" s="2"/>
      <c r="X21" s="2">
        <v>454781000000</v>
      </c>
      <c r="Y21" s="2">
        <v>61812000000</v>
      </c>
      <c r="Z21" s="8">
        <f t="shared" si="9"/>
        <v>392969000000</v>
      </c>
      <c r="AB21" s="5">
        <v>0.84243492512523899</v>
      </c>
    </row>
    <row r="22" spans="1:28" x14ac:dyDescent="0.3">
      <c r="A22" s="1">
        <v>40179</v>
      </c>
      <c r="B22" s="2">
        <v>9245140000000</v>
      </c>
      <c r="C22" s="6">
        <f t="shared" si="10"/>
        <v>1375398773447.104</v>
      </c>
      <c r="D22" s="6">
        <f t="shared" si="11"/>
        <v>7921939076110.4922</v>
      </c>
      <c r="E22" s="4">
        <f t="shared" si="12"/>
        <v>9297337849557.5957</v>
      </c>
      <c r="F22" s="14">
        <f t="shared" si="13"/>
        <v>5.9253838949786301E-2</v>
      </c>
      <c r="G22" s="14">
        <f t="shared" si="14"/>
        <v>5.4434628254204004E-2</v>
      </c>
      <c r="H22" s="14">
        <f t="shared" si="15"/>
        <v>5.970012027996436E-2</v>
      </c>
      <c r="I22" s="2"/>
      <c r="J22" s="2">
        <f t="shared" si="16"/>
        <v>72151248096.880325</v>
      </c>
      <c r="L22" s="2">
        <f t="shared" si="3"/>
        <v>591578814014.32581</v>
      </c>
      <c r="M22" s="2">
        <f t="shared" si="4"/>
        <v>80753653654.870834</v>
      </c>
      <c r="N22" s="2">
        <f t="shared" si="5"/>
        <v>510825160359.45496</v>
      </c>
      <c r="O22" s="2"/>
      <c r="P22" s="2">
        <f t="shared" si="6"/>
        <v>547810036628.22736</v>
      </c>
      <c r="Q22" s="2">
        <f t="shared" si="7"/>
        <v>74869320933.881256</v>
      </c>
      <c r="R22" s="13">
        <f t="shared" si="8"/>
        <v>472940715694.34613</v>
      </c>
      <c r="T22" s="2">
        <v>501768000000</v>
      </c>
      <c r="U22" s="2">
        <v>68494000000</v>
      </c>
      <c r="V22" s="2">
        <v>433274000000</v>
      </c>
      <c r="W22" s="2"/>
      <c r="X22" s="2">
        <v>464644000000</v>
      </c>
      <c r="Y22" s="2">
        <v>63503000000</v>
      </c>
      <c r="Z22" s="8">
        <f t="shared" si="9"/>
        <v>401141000000</v>
      </c>
      <c r="AB22" s="5">
        <v>0.84818453283529704</v>
      </c>
    </row>
    <row r="23" spans="1:28" x14ac:dyDescent="0.3">
      <c r="A23" s="1">
        <v>40544</v>
      </c>
      <c r="B23" s="2">
        <v>9326300000000</v>
      </c>
      <c r="C23" s="6">
        <f t="shared" si="10"/>
        <v>1374612270966.7502</v>
      </c>
      <c r="D23" s="6">
        <f t="shared" si="11"/>
        <v>8006954621445.8223</v>
      </c>
      <c r="E23" s="4">
        <f t="shared" si="12"/>
        <v>9381566892412.5723</v>
      </c>
      <c r="F23" s="14">
        <f t="shared" si="13"/>
        <v>6.0037777865201647E-2</v>
      </c>
      <c r="G23" s="14">
        <f t="shared" si="14"/>
        <v>5.5713506609383269E-2</v>
      </c>
      <c r="H23" s="14">
        <f t="shared" si="15"/>
        <v>6.0365754611096646E-2</v>
      </c>
      <c r="I23" s="2"/>
      <c r="J23" s="2">
        <f t="shared" si="16"/>
        <v>74082818453.527588</v>
      </c>
      <c r="L23" s="2">
        <f t="shared" si="3"/>
        <v>640092575025.49719</v>
      </c>
      <c r="M23" s="2">
        <f t="shared" si="4"/>
        <v>82136313995.820984</v>
      </c>
      <c r="N23" s="2">
        <f t="shared" si="5"/>
        <v>557956261029.67615</v>
      </c>
      <c r="O23" s="2"/>
      <c r="P23" s="2">
        <f t="shared" si="6"/>
        <v>559930327704.2301</v>
      </c>
      <c r="Q23" s="2">
        <f t="shared" si="7"/>
        <v>76584469843.845383</v>
      </c>
      <c r="R23" s="13">
        <f t="shared" si="8"/>
        <v>483345857860.38477</v>
      </c>
      <c r="T23" s="2">
        <v>549605000000</v>
      </c>
      <c r="U23" s="2">
        <v>70525000000</v>
      </c>
      <c r="V23" s="2">
        <v>479080000000</v>
      </c>
      <c r="W23" s="2"/>
      <c r="X23" s="2">
        <v>480775000000</v>
      </c>
      <c r="Y23" s="2">
        <v>65757999999.999992</v>
      </c>
      <c r="Z23" s="8">
        <f t="shared" si="9"/>
        <v>415017000000</v>
      </c>
      <c r="AB23" s="5">
        <v>0.85863361245536596</v>
      </c>
    </row>
    <row r="24" spans="1:28" x14ac:dyDescent="0.3">
      <c r="A24" s="1">
        <v>40909</v>
      </c>
      <c r="B24" s="2">
        <v>9396740000000</v>
      </c>
      <c r="C24" s="6">
        <f t="shared" si="10"/>
        <v>1373947512986.3386</v>
      </c>
      <c r="D24" s="6">
        <f t="shared" si="11"/>
        <v>8086083423245.1748</v>
      </c>
      <c r="E24" s="4">
        <f t="shared" si="12"/>
        <v>9460030936231.5137</v>
      </c>
      <c r="F24" s="14">
        <f t="shared" si="13"/>
        <v>6.0855568591850019E-2</v>
      </c>
      <c r="G24" s="14">
        <f t="shared" si="14"/>
        <v>5.6874744340415666E-2</v>
      </c>
      <c r="H24" s="14">
        <f t="shared" si="15"/>
        <v>6.1055645388505851E-2</v>
      </c>
      <c r="I24" s="2"/>
      <c r="J24" s="2">
        <f t="shared" si="16"/>
        <v>75919711863.433868</v>
      </c>
      <c r="L24" s="2">
        <f t="shared" si="3"/>
        <v>641742807270.41699</v>
      </c>
      <c r="M24" s="2">
        <f t="shared" si="4"/>
        <v>79268147610.679626</v>
      </c>
      <c r="N24" s="2">
        <f t="shared" si="5"/>
        <v>562474659659.73743</v>
      </c>
      <c r="O24" s="2"/>
      <c r="P24" s="2">
        <f t="shared" si="6"/>
        <v>571843955609.78076</v>
      </c>
      <c r="Q24" s="2">
        <f t="shared" si="7"/>
        <v>78142913538.24794</v>
      </c>
      <c r="R24" s="13">
        <f t="shared" si="8"/>
        <v>493701042071.53284</v>
      </c>
      <c r="T24" s="2">
        <v>558913000000</v>
      </c>
      <c r="U24" s="2">
        <v>69037000000</v>
      </c>
      <c r="V24" s="2">
        <v>489876000000</v>
      </c>
      <c r="W24" s="2"/>
      <c r="X24" s="2">
        <v>498036000000</v>
      </c>
      <c r="Y24" s="2">
        <v>68057000000</v>
      </c>
      <c r="Z24" s="8">
        <f t="shared" si="9"/>
        <v>429979000000</v>
      </c>
      <c r="AB24" s="5">
        <v>0.87092990161786998</v>
      </c>
    </row>
    <row r="25" spans="1:28" x14ac:dyDescent="0.3">
      <c r="A25" s="1">
        <v>41275</v>
      </c>
      <c r="B25" s="2">
        <v>9451720000000</v>
      </c>
      <c r="C25" s="6">
        <f t="shared" si="10"/>
        <v>1372286073979.0186</v>
      </c>
      <c r="D25" s="6">
        <f t="shared" si="11"/>
        <v>8145514326946.2578</v>
      </c>
      <c r="E25" s="4">
        <f t="shared" si="12"/>
        <v>9517800400925.2773</v>
      </c>
      <c r="F25" s="14">
        <f t="shared" si="13"/>
        <v>6.1090429775155615E-2</v>
      </c>
      <c r="G25" s="14">
        <f t="shared" si="14"/>
        <v>5.7400729593455893E-2</v>
      </c>
      <c r="H25" s="14">
        <f t="shared" si="15"/>
        <v>6.1216443191014339E-2</v>
      </c>
      <c r="I25" s="2"/>
      <c r="J25" s="2">
        <f t="shared" si="16"/>
        <v>76481474530.928085</v>
      </c>
      <c r="L25" s="2">
        <f t="shared" si="3"/>
        <v>631736683970.58655</v>
      </c>
      <c r="M25" s="2">
        <f t="shared" si="4"/>
        <v>78604738197.970703</v>
      </c>
      <c r="N25" s="2">
        <f t="shared" si="5"/>
        <v>553131945772.61584</v>
      </c>
      <c r="O25" s="2"/>
      <c r="P25" s="2">
        <f t="shared" si="6"/>
        <v>577409636914.43384</v>
      </c>
      <c r="Q25" s="2">
        <f t="shared" si="7"/>
        <v>78770221857.334854</v>
      </c>
      <c r="R25" s="13">
        <f t="shared" si="8"/>
        <v>498639415057.099</v>
      </c>
      <c r="T25" s="2">
        <v>561175000000</v>
      </c>
      <c r="U25" s="2">
        <v>69825000000</v>
      </c>
      <c r="V25" s="2">
        <v>491350000000</v>
      </c>
      <c r="W25" s="2"/>
      <c r="X25" s="2">
        <v>512916000000.00006</v>
      </c>
      <c r="Y25" s="2">
        <v>69972000000</v>
      </c>
      <c r="Z25" s="8">
        <f t="shared" si="9"/>
        <v>442944000000.00006</v>
      </c>
      <c r="AB25" s="5">
        <v>0.88830522943975199</v>
      </c>
    </row>
    <row r="26" spans="1:28" x14ac:dyDescent="0.3">
      <c r="A26" s="1">
        <v>41640</v>
      </c>
      <c r="B26" s="2">
        <v>9521110000000</v>
      </c>
      <c r="C26" s="6">
        <f t="shared" si="10"/>
        <v>1370306767730.6755</v>
      </c>
      <c r="D26" s="6">
        <f t="shared" si="11"/>
        <v>8221646833189.8535</v>
      </c>
      <c r="E26" s="4">
        <f t="shared" si="12"/>
        <v>9591953600920.5293</v>
      </c>
      <c r="F26" s="14">
        <f t="shared" si="13"/>
        <v>6.1326227670672959E-2</v>
      </c>
      <c r="G26" s="14">
        <f t="shared" si="14"/>
        <v>5.7849618640593722E-2</v>
      </c>
      <c r="H26" s="14">
        <f t="shared" si="15"/>
        <v>6.1377245440241361E-2</v>
      </c>
      <c r="I26" s="2"/>
      <c r="J26" s="2">
        <f t="shared" si="16"/>
        <v>76790915608.991959</v>
      </c>
      <c r="L26" s="2">
        <f t="shared" si="3"/>
        <v>652244023763.32715</v>
      </c>
      <c r="M26" s="2">
        <f t="shared" si="4"/>
        <v>77472102462.633011</v>
      </c>
      <c r="N26" s="2">
        <f t="shared" si="5"/>
        <v>574771921300.69409</v>
      </c>
      <c r="O26" s="2"/>
      <c r="P26" s="2">
        <f t="shared" si="6"/>
        <v>583893759537.521</v>
      </c>
      <c r="Q26" s="2">
        <f t="shared" si="7"/>
        <v>79271723933.844223</v>
      </c>
      <c r="R26" s="13">
        <f t="shared" si="8"/>
        <v>504622035603.67676</v>
      </c>
      <c r="T26" s="2">
        <v>590405000000</v>
      </c>
      <c r="U26" s="2">
        <v>70127000000</v>
      </c>
      <c r="V26" s="2">
        <v>520278000000</v>
      </c>
      <c r="W26" s="2"/>
      <c r="X26" s="2">
        <v>528534999999.99994</v>
      </c>
      <c r="Y26" s="2">
        <v>71756000000</v>
      </c>
      <c r="Z26" s="8">
        <f t="shared" si="9"/>
        <v>456778999999.99994</v>
      </c>
      <c r="AB26" s="5">
        <v>0.90519035589390695</v>
      </c>
    </row>
    <row r="27" spans="1:28" x14ac:dyDescent="0.3">
      <c r="A27" s="1">
        <v>42005</v>
      </c>
      <c r="B27" s="2">
        <v>9592340000000</v>
      </c>
      <c r="C27" s="6">
        <f t="shared" si="10"/>
        <v>1368144841933.4509</v>
      </c>
      <c r="D27" s="6">
        <f t="shared" si="11"/>
        <v>8299328114348.5771</v>
      </c>
      <c r="E27" s="4">
        <f t="shared" si="12"/>
        <v>9667472956282.0273</v>
      </c>
      <c r="F27" s="14">
        <f t="shared" si="13"/>
        <v>6.1747478978317109E-2</v>
      </c>
      <c r="G27" s="14">
        <f t="shared" si="14"/>
        <v>5.8342544116564712E-2</v>
      </c>
      <c r="H27" s="14">
        <f t="shared" si="15"/>
        <v>6.1749789217092878E-2</v>
      </c>
      <c r="I27" s="2"/>
      <c r="J27" s="2">
        <f t="shared" si="16"/>
        <v>77109798136.619629</v>
      </c>
      <c r="L27" s="2">
        <f t="shared" si="3"/>
        <v>662307974120.95996</v>
      </c>
      <c r="M27" s="2">
        <f t="shared" si="4"/>
        <v>80004657358.559174</v>
      </c>
      <c r="N27" s="2">
        <f t="shared" si="5"/>
        <v>582303316762.40076</v>
      </c>
      <c r="O27" s="2"/>
      <c r="P27" s="2">
        <f t="shared" si="6"/>
        <v>592302812502.87036</v>
      </c>
      <c r="Q27" s="2">
        <f t="shared" si="7"/>
        <v>79821050798.352814</v>
      </c>
      <c r="R27" s="13">
        <f t="shared" si="8"/>
        <v>512481761704.51752</v>
      </c>
      <c r="T27" s="2">
        <v>609619000000</v>
      </c>
      <c r="U27" s="2">
        <v>73640000000</v>
      </c>
      <c r="V27" s="2">
        <v>535979000000.00006</v>
      </c>
      <c r="W27" s="2"/>
      <c r="X27" s="2">
        <v>545183000000</v>
      </c>
      <c r="Y27" s="2">
        <v>73471000000</v>
      </c>
      <c r="Z27" s="8">
        <f t="shared" si="9"/>
        <v>471712000000</v>
      </c>
      <c r="AB27" s="5">
        <v>0.92044641438767105</v>
      </c>
    </row>
    <row r="28" spans="1:28" x14ac:dyDescent="0.3">
      <c r="A28" s="1">
        <v>42370</v>
      </c>
      <c r="B28" s="2">
        <v>9678420000000</v>
      </c>
      <c r="C28" s="6">
        <f t="shared" si="10"/>
        <v>1366328277791.8889</v>
      </c>
      <c r="D28" s="6">
        <f t="shared" si="11"/>
        <v>8390229621321.4609</v>
      </c>
      <c r="E28" s="4">
        <f t="shared" si="12"/>
        <v>9756557899113.3496</v>
      </c>
      <c r="F28" s="14">
        <f t="shared" si="13"/>
        <v>6.2261897716080483E-2</v>
      </c>
      <c r="G28" s="14">
        <f t="shared" si="14"/>
        <v>5.9188912166967408E-2</v>
      </c>
      <c r="H28" s="14">
        <f t="shared" si="15"/>
        <v>6.2182483104154661E-2</v>
      </c>
      <c r="I28" s="2"/>
      <c r="J28" s="2">
        <f t="shared" si="16"/>
        <v>78004486656.790802</v>
      </c>
      <c r="L28" s="2">
        <f t="shared" si="3"/>
        <v>687163521418.81006</v>
      </c>
      <c r="M28" s="2">
        <f t="shared" si="4"/>
        <v>83780252741.409256</v>
      </c>
      <c r="N28" s="2">
        <f t="shared" si="5"/>
        <v>603383268677.40076</v>
      </c>
      <c r="O28" s="2"/>
      <c r="P28" s="2">
        <f t="shared" si="6"/>
        <v>602596796093.2677</v>
      </c>
      <c r="Q28" s="2">
        <f t="shared" si="7"/>
        <v>80871484425.467957</v>
      </c>
      <c r="R28" s="13">
        <f t="shared" si="8"/>
        <v>521725311667.79968</v>
      </c>
      <c r="T28" s="2">
        <v>640443000000</v>
      </c>
      <c r="U28" s="2">
        <v>78084000000</v>
      </c>
      <c r="V28" s="2">
        <v>562359000000</v>
      </c>
      <c r="W28" s="2"/>
      <c r="X28" s="2">
        <v>561626000000</v>
      </c>
      <c r="Y28" s="2">
        <v>75373000000</v>
      </c>
      <c r="Z28" s="8">
        <f t="shared" si="9"/>
        <v>486253000000</v>
      </c>
      <c r="AB28" s="5">
        <v>0.93200960184506798</v>
      </c>
    </row>
    <row r="29" spans="1:28" x14ac:dyDescent="0.3">
      <c r="A29" s="1">
        <v>42736</v>
      </c>
      <c r="B29" s="2">
        <v>9770540000000</v>
      </c>
      <c r="C29" s="6">
        <f t="shared" si="10"/>
        <v>1364924253461.7014</v>
      </c>
      <c r="D29" s="6">
        <f t="shared" si="11"/>
        <v>8490539149859.4561</v>
      </c>
      <c r="E29" s="4">
        <f t="shared" si="12"/>
        <v>9855463403321.1582</v>
      </c>
      <c r="F29" s="14">
        <f t="shared" si="13"/>
        <v>6.3309019363546049E-2</v>
      </c>
      <c r="G29" s="14">
        <f t="shared" si="14"/>
        <v>6.0593565127908373E-2</v>
      </c>
      <c r="H29" s="14">
        <f t="shared" si="15"/>
        <v>6.3112326549295508E-2</v>
      </c>
      <c r="I29" s="2"/>
      <c r="J29" s="2">
        <f t="shared" si="16"/>
        <v>79467460095.280487</v>
      </c>
      <c r="L29" s="2">
        <f t="shared" si="3"/>
        <v>709624724012.19653</v>
      </c>
      <c r="M29" s="2">
        <f t="shared" si="4"/>
        <v>87589883806.400787</v>
      </c>
      <c r="N29" s="2">
        <f t="shared" si="5"/>
        <v>622034840205.79578</v>
      </c>
      <c r="O29" s="2"/>
      <c r="P29" s="2">
        <f t="shared" si="6"/>
        <v>618563306052.30115</v>
      </c>
      <c r="Q29" s="2">
        <f t="shared" si="7"/>
        <v>82705626646.79332</v>
      </c>
      <c r="R29" s="13">
        <f t="shared" si="8"/>
        <v>535857679405.50787</v>
      </c>
      <c r="T29" s="2">
        <v>671086000000</v>
      </c>
      <c r="U29" s="2">
        <v>82833000000</v>
      </c>
      <c r="V29" s="2">
        <v>588253000000</v>
      </c>
      <c r="W29" s="2"/>
      <c r="X29" s="2">
        <v>584970000000</v>
      </c>
      <c r="Y29" s="2">
        <v>78214000000</v>
      </c>
      <c r="Z29" s="8">
        <f t="shared" si="9"/>
        <v>506756000000</v>
      </c>
      <c r="AB29" s="5">
        <v>0.94569140179572697</v>
      </c>
    </row>
    <row r="30" spans="1:28" x14ac:dyDescent="0.3">
      <c r="A30" s="1">
        <v>43101</v>
      </c>
      <c r="B30" s="2">
        <v>9874870000000</v>
      </c>
      <c r="C30" s="6">
        <f t="shared" si="10"/>
        <v>1363840622156.9619</v>
      </c>
      <c r="D30" s="6">
        <f t="shared" si="11"/>
        <v>8602431352379.6895</v>
      </c>
      <c r="E30" s="4">
        <f t="shared" si="12"/>
        <v>9966271974536.6523</v>
      </c>
      <c r="F30" s="14">
        <f t="shared" si="13"/>
        <v>6.4609115146833901E-2</v>
      </c>
      <c r="G30" s="14">
        <f t="shared" si="14"/>
        <v>6.2556755983587259E-2</v>
      </c>
      <c r="H30" s="14">
        <f t="shared" si="15"/>
        <v>6.4248018408929061E-2</v>
      </c>
      <c r="I30" s="2"/>
      <c r="J30" s="2">
        <f t="shared" si="16"/>
        <v>81621995342.053726</v>
      </c>
      <c r="L30" s="2">
        <f t="shared" si="3"/>
        <v>742091217585.75232</v>
      </c>
      <c r="M30" s="2">
        <f t="shared" si="4"/>
        <v>94341335660.010544</v>
      </c>
      <c r="N30" s="2">
        <f t="shared" si="5"/>
        <v>647749881925.7417</v>
      </c>
      <c r="O30" s="2"/>
      <c r="P30" s="2">
        <f t="shared" si="6"/>
        <v>638006612890.01563</v>
      </c>
      <c r="Q30" s="2">
        <f t="shared" si="7"/>
        <v>85317445000.776901</v>
      </c>
      <c r="R30" s="13">
        <f t="shared" si="8"/>
        <v>552689167889.23877</v>
      </c>
      <c r="T30" s="2">
        <v>714880000000</v>
      </c>
      <c r="U30" s="2">
        <v>90882000000</v>
      </c>
      <c r="V30" s="2">
        <v>623998000000</v>
      </c>
      <c r="W30" s="2"/>
      <c r="X30" s="2">
        <v>614612000000</v>
      </c>
      <c r="Y30" s="2">
        <v>82189000000</v>
      </c>
      <c r="Z30" s="8">
        <f t="shared" si="9"/>
        <v>532423000000</v>
      </c>
      <c r="AB30" s="5">
        <v>0.96333170782659494</v>
      </c>
    </row>
    <row r="31" spans="1:28" x14ac:dyDescent="0.3">
      <c r="A31" s="1">
        <v>43466</v>
      </c>
      <c r="B31" s="2">
        <v>9980260000000</v>
      </c>
      <c r="C31" s="6">
        <f t="shared" si="10"/>
        <v>1363189767085.6851</v>
      </c>
      <c r="D31" s="6">
        <f t="shared" si="11"/>
        <v>8713774247183.4902</v>
      </c>
      <c r="E31" s="4">
        <f t="shared" si="12"/>
        <v>10076964014269.176</v>
      </c>
      <c r="F31" s="14">
        <f t="shared" si="13"/>
        <v>6.5692284402370432E-2</v>
      </c>
      <c r="G31" s="14">
        <f t="shared" si="14"/>
        <v>6.4420713542230931E-2</v>
      </c>
      <c r="H31" s="14">
        <f t="shared" si="15"/>
        <v>6.5162167934750451E-2</v>
      </c>
      <c r="I31" s="2"/>
      <c r="J31" s="2">
        <f t="shared" si="16"/>
        <v>84666589929.500122</v>
      </c>
      <c r="L31" s="2">
        <f t="shared" si="3"/>
        <v>761347536190.92004</v>
      </c>
      <c r="M31" s="2">
        <f t="shared" si="4"/>
        <v>97315473497.881653</v>
      </c>
      <c r="N31" s="2">
        <f t="shared" si="5"/>
        <v>664032062693.03833</v>
      </c>
      <c r="O31" s="2"/>
      <c r="P31" s="2">
        <f t="shared" si="6"/>
        <v>655626078329.60156</v>
      </c>
      <c r="Q31" s="2">
        <f t="shared" si="7"/>
        <v>87817657489.127426</v>
      </c>
      <c r="R31" s="13">
        <f t="shared" si="8"/>
        <v>567808420840.47424</v>
      </c>
      <c r="T31" s="2">
        <v>748216000000</v>
      </c>
      <c r="U31" s="2">
        <v>95637000000</v>
      </c>
      <c r="V31" s="2">
        <v>652579000000</v>
      </c>
      <c r="W31" s="2"/>
      <c r="X31" s="2">
        <v>644318000000</v>
      </c>
      <c r="Y31" s="2">
        <v>86303000000</v>
      </c>
      <c r="Z31" s="8">
        <f t="shared" si="9"/>
        <v>558015000000</v>
      </c>
      <c r="AB31" s="5">
        <v>0.98275224445248999</v>
      </c>
    </row>
    <row r="32" spans="1:28" x14ac:dyDescent="0.3">
      <c r="A32" s="1">
        <v>43831</v>
      </c>
      <c r="B32" s="2">
        <v>10050260000000</v>
      </c>
      <c r="C32" s="6">
        <f t="shared" si="10"/>
        <v>1363068878932.7937</v>
      </c>
      <c r="D32" s="6">
        <f t="shared" si="11"/>
        <v>8777868826343.0156</v>
      </c>
      <c r="E32" s="4">
        <f t="shared" si="12"/>
        <v>10140937705275.809</v>
      </c>
      <c r="F32" s="14">
        <f t="shared" si="13"/>
        <v>6.6314602806295558E-2</v>
      </c>
      <c r="G32" s="14">
        <f t="shared" si="14"/>
        <v>6.4667311654135459E-2</v>
      </c>
      <c r="H32" s="14">
        <f t="shared" si="15"/>
        <v>6.5885354570847668E-2</v>
      </c>
      <c r="I32" s="2"/>
      <c r="J32" s="2">
        <f t="shared" si="16"/>
        <v>87696769336.235992</v>
      </c>
      <c r="L32" s="2">
        <f t="shared" si="3"/>
        <v>736476000000</v>
      </c>
      <c r="M32" s="2">
        <f t="shared" si="4"/>
        <v>104573000000</v>
      </c>
      <c r="N32" s="2">
        <f t="shared" si="5"/>
        <v>631903000000</v>
      </c>
      <c r="O32" s="2"/>
      <c r="P32" s="2">
        <f t="shared" si="6"/>
        <v>666479000000</v>
      </c>
      <c r="Q32" s="2">
        <f t="shared" si="7"/>
        <v>88146000000</v>
      </c>
      <c r="R32" s="13">
        <f t="shared" si="8"/>
        <v>578333000000</v>
      </c>
      <c r="T32" s="2">
        <v>736476000000</v>
      </c>
      <c r="U32" s="2">
        <v>104573000000</v>
      </c>
      <c r="V32" s="2">
        <v>631903000000</v>
      </c>
      <c r="W32" s="2"/>
      <c r="X32" s="2">
        <v>666479000000</v>
      </c>
      <c r="Y32" s="2">
        <v>88146000000</v>
      </c>
      <c r="Z32" s="8">
        <f t="shared" si="9"/>
        <v>578333000000</v>
      </c>
      <c r="AB32" s="5">
        <v>1</v>
      </c>
    </row>
    <row r="33" spans="1:28" x14ac:dyDescent="0.3">
      <c r="A33" s="1">
        <v>44197</v>
      </c>
      <c r="B33" s="2">
        <v>10116970000000</v>
      </c>
      <c r="C33" s="6">
        <f t="shared" si="10"/>
        <v>1366368695732.8645</v>
      </c>
      <c r="D33" s="6">
        <f t="shared" si="11"/>
        <v>8854269116220.1289</v>
      </c>
      <c r="E33" s="4">
        <f t="shared" si="12"/>
        <v>10220637811952.994</v>
      </c>
      <c r="F33" s="14">
        <f t="shared" si="13"/>
        <v>6.817635409043675E-2</v>
      </c>
      <c r="G33" s="14">
        <f t="shared" si="14"/>
        <v>6.7691486423018449E-2</v>
      </c>
      <c r="H33" s="14">
        <f t="shared" si="15"/>
        <v>6.7452953280151801E-2</v>
      </c>
      <c r="I33" s="2"/>
      <c r="J33" s="2">
        <f t="shared" si="16"/>
        <v>91445816800.070831</v>
      </c>
      <c r="L33" s="2">
        <f t="shared" si="3"/>
        <v>757959920572.72913</v>
      </c>
      <c r="M33" s="2">
        <f t="shared" si="4"/>
        <v>103226630695.6167</v>
      </c>
      <c r="N33" s="2">
        <f t="shared" si="5"/>
        <v>654733289877.11243</v>
      </c>
      <c r="O33" s="2"/>
      <c r="P33" s="2">
        <f t="shared" si="6"/>
        <v>689738129042.32593</v>
      </c>
      <c r="Q33" s="2">
        <f t="shared" si="7"/>
        <v>92491528016.03862</v>
      </c>
      <c r="R33" s="13">
        <f t="shared" si="8"/>
        <v>597246601026.28735</v>
      </c>
      <c r="T33" s="2">
        <v>779205000000</v>
      </c>
      <c r="U33" s="2">
        <v>106120000000</v>
      </c>
      <c r="V33" s="2">
        <v>673085000000</v>
      </c>
      <c r="W33" s="2"/>
      <c r="X33" s="2">
        <v>709071000000</v>
      </c>
      <c r="Y33" s="2">
        <v>95084000000</v>
      </c>
      <c r="Z33" s="8">
        <f t="shared" si="9"/>
        <v>613987000000</v>
      </c>
      <c r="AB33" s="5">
        <v>1.02802929132614</v>
      </c>
    </row>
    <row r="34" spans="1:28" x14ac:dyDescent="0.3">
      <c r="A34" s="1">
        <v>44562</v>
      </c>
      <c r="B34" s="2">
        <v>10171380000000</v>
      </c>
      <c r="C34" s="6">
        <f t="shared" si="10"/>
        <v>1368088790969.2104</v>
      </c>
      <c r="D34" s="6">
        <f t="shared" si="11"/>
        <v>8941572398109.9297</v>
      </c>
      <c r="E34" s="4">
        <f>SUM(C34:D34)</f>
        <v>10309661189079.141</v>
      </c>
      <c r="F34" s="14">
        <f t="shared" si="13"/>
        <v>7.1675047630610708E-2</v>
      </c>
      <c r="G34" s="14">
        <f t="shared" si="14"/>
        <v>7.2097068368646475E-2</v>
      </c>
      <c r="H34" s="14">
        <f t="shared" si="15"/>
        <v>7.0502024342542796E-2</v>
      </c>
      <c r="I34" s="2"/>
      <c r="J34" s="2">
        <f t="shared" si="16"/>
        <v>94211623252.384521</v>
      </c>
      <c r="L34" s="2">
        <f t="shared" si="3"/>
        <v>786914941525.37952</v>
      </c>
      <c r="M34" s="2">
        <f t="shared" si="4"/>
        <v>102365058609.29236</v>
      </c>
      <c r="N34" s="2">
        <f t="shared" si="5"/>
        <v>684549882916.08716</v>
      </c>
      <c r="O34" s="2"/>
      <c r="P34" s="2">
        <f t="shared" si="6"/>
        <v>729034145969.04114</v>
      </c>
      <c r="Q34" s="2">
        <f t="shared" si="7"/>
        <v>98635191096.886063</v>
      </c>
      <c r="R34" s="13">
        <f t="shared" si="8"/>
        <v>630398954872.15503</v>
      </c>
      <c r="T34" s="2">
        <v>858253000000</v>
      </c>
      <c r="U34" s="2">
        <v>111645000000</v>
      </c>
      <c r="V34" s="2">
        <v>746608000000</v>
      </c>
      <c r="W34" s="2"/>
      <c r="X34" s="2">
        <v>795125000000</v>
      </c>
      <c r="Y34" s="2">
        <v>107577000000</v>
      </c>
      <c r="Z34" s="8">
        <f t="shared" si="9"/>
        <v>687548000000</v>
      </c>
      <c r="AB34" s="5">
        <v>1.09065536147571</v>
      </c>
    </row>
    <row r="35" spans="1:28" x14ac:dyDescent="0.3">
      <c r="A35" s="1">
        <v>44927</v>
      </c>
      <c r="B35" s="2">
        <v>10207000000000</v>
      </c>
      <c r="C35" s="8">
        <v>1337904256039.9216</v>
      </c>
      <c r="D35" s="8">
        <f>B35-C35</f>
        <v>8869095743960.0781</v>
      </c>
      <c r="E35" s="4"/>
      <c r="F35" s="14">
        <f t="shared" si="13"/>
        <v>7.2444380739765654E-2</v>
      </c>
      <c r="G35" s="14">
        <f t="shared" si="14"/>
        <v>7.4374232627522144E-2</v>
      </c>
      <c r="H35" s="14">
        <f t="shared" si="15"/>
        <v>7.2153262329423248E-2</v>
      </c>
      <c r="I35" s="2"/>
      <c r="J35" s="2">
        <f t="shared" si="16"/>
        <v>96173764208.779434</v>
      </c>
      <c r="L35" s="2">
        <f t="shared" si="3"/>
        <v>777331100523.24292</v>
      </c>
      <c r="M35" s="2">
        <f t="shared" si="4"/>
        <v>102345830689.75235</v>
      </c>
      <c r="N35" s="2">
        <f t="shared" si="5"/>
        <v>674985269833.4906</v>
      </c>
      <c r="O35" s="2"/>
      <c r="P35" s="2">
        <f t="shared" si="6"/>
        <v>739439794210.78796</v>
      </c>
      <c r="Q35" s="2">
        <f t="shared" si="7"/>
        <v>99505602372.065079</v>
      </c>
      <c r="R35" s="13">
        <f t="shared" si="8"/>
        <v>639934191838.72278</v>
      </c>
      <c r="T35" s="2">
        <v>899880000000</v>
      </c>
      <c r="U35" s="2">
        <v>118481000000</v>
      </c>
      <c r="V35" s="2">
        <v>781399000000</v>
      </c>
      <c r="W35" s="2"/>
      <c r="X35" s="2">
        <v>856015000000</v>
      </c>
      <c r="Y35" s="2">
        <v>115193000000</v>
      </c>
      <c r="Z35" s="8">
        <f t="shared" si="9"/>
        <v>740822000000</v>
      </c>
      <c r="AB35" s="5">
        <v>1.15765341100371</v>
      </c>
    </row>
    <row r="36" spans="1:28" x14ac:dyDescent="0.3">
      <c r="A36" s="1">
        <v>45292</v>
      </c>
      <c r="B36" s="2">
        <v>10215680000000</v>
      </c>
      <c r="C36" s="8">
        <f>C35+J36-Q36</f>
        <v>1335542361149.1096</v>
      </c>
      <c r="D36" s="8">
        <f>D35+N36-R35</f>
        <v>8876019248755.6074</v>
      </c>
      <c r="E36" s="4">
        <f>SUM(C36:D36)</f>
        <v>10211561609904.717</v>
      </c>
      <c r="F36" s="14">
        <f t="shared" si="13"/>
        <v>7.2742201811502663E-2</v>
      </c>
      <c r="G36" s="14">
        <f t="shared" si="14"/>
        <v>7.492235047801972E-2</v>
      </c>
      <c r="H36" s="14">
        <f t="shared" si="15"/>
        <v>7.2447914467020744E-2</v>
      </c>
      <c r="I36" s="2"/>
      <c r="J36" s="2">
        <f t="shared" si="16"/>
        <v>97700077969.443481</v>
      </c>
      <c r="L36" s="2">
        <f t="shared" si="3"/>
        <v>752297471678.03833</v>
      </c>
      <c r="M36" s="2">
        <f t="shared" si="4"/>
        <v>105439775043.78622</v>
      </c>
      <c r="N36" s="2">
        <f t="shared" si="5"/>
        <v>646857696634.25208</v>
      </c>
      <c r="O36" s="2"/>
      <c r="P36" s="2">
        <f t="shared" si="6"/>
        <v>743111056201.73157</v>
      </c>
      <c r="Q36" s="2">
        <f t="shared" si="7"/>
        <v>100061972860.25558</v>
      </c>
      <c r="R36" s="13">
        <f t="shared" si="8"/>
        <v>643049083341.47595</v>
      </c>
      <c r="T36" s="2">
        <v>897950000000</v>
      </c>
      <c r="U36" s="2">
        <v>125854000000</v>
      </c>
      <c r="V36" s="2">
        <v>772096000000</v>
      </c>
      <c r="W36" s="2"/>
      <c r="X36" s="2">
        <v>886985000000</v>
      </c>
      <c r="Y36" s="2">
        <v>119435000000</v>
      </c>
      <c r="Z36" s="8">
        <f t="shared" si="9"/>
        <v>767550000000</v>
      </c>
      <c r="AB36" s="5">
        <v>1.19361028556573</v>
      </c>
    </row>
    <row r="37" spans="1:28" x14ac:dyDescent="0.3">
      <c r="A37" s="1">
        <v>45658</v>
      </c>
      <c r="B37" s="2">
        <v>10225520000000</v>
      </c>
      <c r="C37" s="8">
        <f t="shared" ref="C37:C38" si="17">C36+J37-Q37</f>
        <v>1333928038320.3867</v>
      </c>
      <c r="D37" s="8">
        <f>D36+N37-R36</f>
        <v>8876376815536.0449</v>
      </c>
      <c r="E37" s="4">
        <f>SUM(C37:D37)</f>
        <v>10210304853856.432</v>
      </c>
      <c r="F37" s="14">
        <f t="shared" si="13"/>
        <v>7.2332100503349372E-2</v>
      </c>
      <c r="G37" s="14">
        <f t="shared" si="14"/>
        <v>7.5923366866602421E-2</v>
      </c>
      <c r="H37" s="14">
        <f t="shared" si="15"/>
        <v>7.191639627045425E-2</v>
      </c>
      <c r="I37" s="2"/>
      <c r="J37" s="2">
        <f t="shared" si="16"/>
        <v>99661984998.323349</v>
      </c>
      <c r="L37" s="2">
        <f t="shared" si="3"/>
        <v>749984308111.64368</v>
      </c>
      <c r="M37" s="2">
        <f t="shared" si="4"/>
        <v>106577657989.73016</v>
      </c>
      <c r="N37" s="2">
        <f t="shared" si="5"/>
        <v>643406650121.91357</v>
      </c>
      <c r="O37" s="2"/>
      <c r="P37" s="2">
        <f t="shared" si="6"/>
        <v>739633340339.00903</v>
      </c>
      <c r="Q37" s="2">
        <f t="shared" si="7"/>
        <v>101276307827.04602</v>
      </c>
      <c r="R37" s="13">
        <f t="shared" si="8"/>
        <v>638357032511.96301</v>
      </c>
      <c r="T37" s="2">
        <v>917025500000</v>
      </c>
      <c r="U37" s="2">
        <v>130315300000.00002</v>
      </c>
      <c r="V37" s="2">
        <v>786710200000</v>
      </c>
      <c r="W37" s="2"/>
      <c r="X37" s="2">
        <v>904369100000</v>
      </c>
      <c r="Y37" s="2">
        <v>123833200000</v>
      </c>
      <c r="Z37" s="8">
        <f t="shared" si="9"/>
        <v>780535900000</v>
      </c>
      <c r="AB37" s="5">
        <v>1.2227262491783899</v>
      </c>
    </row>
    <row r="38" spans="1:28" x14ac:dyDescent="0.3">
      <c r="A38" s="1">
        <v>46023</v>
      </c>
      <c r="B38" s="2">
        <v>10253110000000</v>
      </c>
      <c r="C38" s="8">
        <f t="shared" si="17"/>
        <v>1332876439649.5559</v>
      </c>
      <c r="D38" s="8">
        <f>D37+N38-R37</f>
        <v>8896660659387.9043</v>
      </c>
      <c r="E38" s="4">
        <f>SUM(C38:D38)</f>
        <v>10229537099037.461</v>
      </c>
      <c r="F38" s="14">
        <f t="shared" si="13"/>
        <v>7.192780222224858E-2</v>
      </c>
      <c r="G38" s="14">
        <f t="shared" si="14"/>
        <v>7.7111262733705235E-2</v>
      </c>
      <c r="H38" s="14">
        <f t="shared" si="15"/>
        <v>7.1341810957331123E-2</v>
      </c>
      <c r="I38" s="2"/>
      <c r="J38" s="2">
        <f>$K$3*M28+$K$4*M29+$K$5*M30+$K$6*M31+$K$7*M32+$K$8*M33+$K$9*M34+$K$10*M35+$K$11*M36+$K$12*M37+$K$13*M38</f>
        <v>101728186658.55173</v>
      </c>
      <c r="L38" s="2">
        <f t="shared" si="3"/>
        <v>766404616814.42407</v>
      </c>
      <c r="M38" s="2">
        <f t="shared" si="4"/>
        <v>107763740450.60164</v>
      </c>
      <c r="N38" s="2">
        <f t="shared" si="5"/>
        <v>658640876363.82251</v>
      </c>
      <c r="O38" s="2"/>
      <c r="P38" s="2">
        <f t="shared" si="6"/>
        <v>737483668242.95911</v>
      </c>
      <c r="Q38" s="2">
        <f t="shared" si="7"/>
        <v>102779785329.38252</v>
      </c>
      <c r="R38" s="13">
        <f t="shared" si="8"/>
        <v>634703882913.57666</v>
      </c>
      <c r="T38" s="2">
        <v>957399300000</v>
      </c>
      <c r="U38" s="2">
        <v>134619400000.00002</v>
      </c>
      <c r="V38" s="2">
        <v>822779900000</v>
      </c>
      <c r="W38" s="2"/>
      <c r="X38" s="2">
        <v>921271000000</v>
      </c>
      <c r="Y38" s="2">
        <v>128393400000.00002</v>
      </c>
      <c r="Z38" s="8">
        <f t="shared" si="9"/>
        <v>792877600000</v>
      </c>
      <c r="AB38" s="5">
        <v>1.24920868036971</v>
      </c>
    </row>
    <row r="40" spans="1:28" x14ac:dyDescent="0.3">
      <c r="G40" s="14">
        <f>AVERAGE(G13:G38)</f>
        <v>5.9556616726146802E-2</v>
      </c>
      <c r="H40" s="14">
        <f>AVERAGE(H13:H38)</f>
        <v>6.2577283573093237E-2</v>
      </c>
      <c r="L40" t="s">
        <v>30</v>
      </c>
    </row>
    <row r="41" spans="1:28" x14ac:dyDescent="0.3">
      <c r="L41">
        <v>2024</v>
      </c>
      <c r="M41" s="15">
        <f>(M36/[1]Dataset!$AZ64-M35/[1]Dataset!$AZ63)*100</f>
        <v>7.1998745440190678E-2</v>
      </c>
      <c r="N41" s="15">
        <f>(N36/[1]Dataset!$AZ64-N35/[1]Dataset!$AZ63)*100</f>
        <v>-0.85231139916127352</v>
      </c>
    </row>
    <row r="42" spans="1:28" x14ac:dyDescent="0.3">
      <c r="L42">
        <v>2025</v>
      </c>
      <c r="M42" s="15">
        <f>(M37/[1]Dataset!$AZ65-M36/[1]Dataset!$AZ64)*100</f>
        <v>2.3345706442085695E-2</v>
      </c>
      <c r="N42" s="15">
        <f>(N37/[1]Dataset!$AZ65-N36/[1]Dataset!$AZ64)*100</f>
        <v>-0.14128076237135412</v>
      </c>
    </row>
    <row r="43" spans="1:28" x14ac:dyDescent="0.3">
      <c r="L43">
        <v>2026</v>
      </c>
      <c r="M43" s="15">
        <f>(M38/[1]Dataset!$AZ66-M37/[1]Dataset!$AZ65)*100</f>
        <v>2.2159425355695525E-2</v>
      </c>
      <c r="N43" s="15">
        <f>(N38/[1]Dataset!$AZ66-N37/[1]Dataset!$AZ65)*100</f>
        <v>0.35320906342042602</v>
      </c>
    </row>
  </sheetData>
  <mergeCells count="6">
    <mergeCell ref="C11:D11"/>
    <mergeCell ref="B1:D1"/>
    <mergeCell ref="T1:V1"/>
    <mergeCell ref="X1:Z1"/>
    <mergeCell ref="L1:N1"/>
    <mergeCell ref="P1:R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3D7F7715-CF93-4FF1-9335-2765BCCCA725}"/>
</file>

<file path=customXml/itemProps2.xml><?xml version="1.0" encoding="utf-8"?>
<ds:datastoreItem xmlns:ds="http://schemas.openxmlformats.org/officeDocument/2006/customXml" ds:itemID="{684E24C1-CB1A-4C11-978A-A7C1B9E5A5CF}"/>
</file>

<file path=customXml/itemProps3.xml><?xml version="1.0" encoding="utf-8"?>
<ds:datastoreItem xmlns:ds="http://schemas.openxmlformats.org/officeDocument/2006/customXml" ds:itemID="{D707DA8F-9022-4EA8-9DDB-9DBF744B36A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AMECO Expenditure (ESA 2010)</vt:lpstr>
      <vt:lpstr>AMECO Revenues (ESA 2010)</vt:lpstr>
      <vt:lpstr>AMECO Capital Calcs</vt:lpstr>
      <vt:lpstr>'AMECO Capital Calcs'!Macrobond_Object1</vt:lpstr>
      <vt:lpstr>'AMECO Expenditure (ESA 2010)'!Macrobond_Object1</vt:lpstr>
      <vt:lpstr>'AMECO Revenues (ESA 2010)'!Macrobond_Object1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von Wangenheim</dc:creator>
  <cp:lastModifiedBy>Sven von Wangenheim</cp:lastModifiedBy>
  <dcterms:created xsi:type="dcterms:W3CDTF">2025-06-25T07:43:10Z</dcterms:created>
  <dcterms:modified xsi:type="dcterms:W3CDTF">2025-08-12T12:43:26Z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